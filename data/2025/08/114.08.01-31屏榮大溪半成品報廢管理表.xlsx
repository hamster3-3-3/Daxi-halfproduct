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13_ncr:1_{888F0B34-9EC4-493A-82DE-FA10902ADD33}" xr6:coauthVersionLast="47" xr6:coauthVersionMax="47" xr10:uidLastSave="{00000000-0000-0000-0000-000000000000}"/>
  <bookViews>
    <workbookView xWindow="-120" yWindow="-120" windowWidth="29040" windowHeight="15720" xr2:uid="{4AF330C9-3A18-4C65-A1EB-7BA26DA31CE3}"/>
  </bookViews>
  <sheets>
    <sheet name="日別報廢率總表 " sheetId="1" r:id="rId1"/>
    <sheet name="0831分析標準表" sheetId="42" r:id="rId2"/>
    <sheet name="0830分析標準表" sheetId="43" r:id="rId3"/>
    <sheet name="0829分析標準表" sheetId="44" r:id="rId4"/>
    <sheet name="0828分析標準表" sheetId="45" r:id="rId5"/>
    <sheet name="0827分析標準表" sheetId="40" r:id="rId6"/>
    <sheet name="0826分析標準表" sheetId="41" r:id="rId7"/>
    <sheet name="0825分析標準表" sheetId="39" r:id="rId8"/>
    <sheet name="0824分析標準表" sheetId="38" r:id="rId9"/>
    <sheet name="0823分析標準表" sheetId="36" r:id="rId10"/>
    <sheet name="0822分析標準表" sheetId="37" r:id="rId11"/>
    <sheet name="0821分析標準表" sheetId="33" r:id="rId12"/>
    <sheet name="0820分析標準表" sheetId="34" r:id="rId13"/>
    <sheet name="0819分析標準表" sheetId="35" r:id="rId14"/>
    <sheet name="0818分析標準表" sheetId="31" r:id="rId15"/>
    <sheet name="0817分析標準表" sheetId="32" r:id="rId16"/>
    <sheet name="0816分析標準表" sheetId="30" r:id="rId17"/>
    <sheet name="0815分析標準表" sheetId="28" r:id="rId18"/>
    <sheet name="0814分析標準表" sheetId="27" r:id="rId19"/>
    <sheet name="0813分析標準表" sheetId="26" r:id="rId20"/>
    <sheet name="0812分析標準表" sheetId="24" r:id="rId21"/>
    <sheet name="0811分析標準表" sheetId="22" r:id="rId22"/>
    <sheet name="0810分析標準表" sheetId="20" r:id="rId23"/>
    <sheet name="0809分析標準表" sheetId="18" r:id="rId24"/>
    <sheet name="0808分析標準表" sheetId="16" r:id="rId25"/>
    <sheet name="0807分析標準表" sheetId="14" r:id="rId26"/>
    <sheet name="0806分析標準表" sheetId="12" r:id="rId27"/>
    <sheet name="0805分析標準表" sheetId="10" r:id="rId28"/>
    <sheet name="0804分析標準表" sheetId="8" r:id="rId29"/>
    <sheet name="0803分析標準表" sheetId="6" r:id="rId30"/>
    <sheet name="0802分析標準表" sheetId="4" r:id="rId31"/>
    <sheet name="0801分析標準表" sheetId="2" r:id="rId3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1" l="1"/>
  <c r="L34" i="1" s="1"/>
  <c r="K33" i="1"/>
  <c r="K32" i="1"/>
  <c r="K31" i="1"/>
  <c r="I34" i="1"/>
  <c r="I33" i="1"/>
  <c r="J33" i="1" s="1"/>
  <c r="I32" i="1"/>
  <c r="I31" i="1"/>
  <c r="J34" i="1"/>
  <c r="G34" i="1"/>
  <c r="H34" i="1" s="1"/>
  <c r="G33" i="1"/>
  <c r="G32" i="1"/>
  <c r="G31" i="1"/>
  <c r="H33" i="1"/>
  <c r="E34" i="1"/>
  <c r="E33" i="1"/>
  <c r="F33" i="1" s="1"/>
  <c r="E32" i="1"/>
  <c r="F32" i="1" s="1"/>
  <c r="E31" i="1"/>
  <c r="C34" i="1"/>
  <c r="C33" i="1"/>
  <c r="C32" i="1"/>
  <c r="C31" i="1"/>
  <c r="D33" i="1"/>
  <c r="B34" i="1"/>
  <c r="B33" i="1"/>
  <c r="B32" i="1"/>
  <c r="B31" i="1"/>
  <c r="L33" i="1"/>
  <c r="J31" i="1"/>
  <c r="F31" i="1"/>
  <c r="G5" i="44"/>
  <c r="D46" i="45"/>
  <c r="M37" i="45"/>
  <c r="N37" i="45" s="1"/>
  <c r="L37" i="45"/>
  <c r="K37" i="45"/>
  <c r="H37" i="45"/>
  <c r="M36" i="45"/>
  <c r="N36" i="45" s="1"/>
  <c r="L36" i="45"/>
  <c r="K36" i="45"/>
  <c r="H36" i="45"/>
  <c r="M35" i="45"/>
  <c r="N35" i="45" s="1"/>
  <c r="L35" i="45"/>
  <c r="K35" i="45"/>
  <c r="H35" i="45"/>
  <c r="M34" i="45"/>
  <c r="N34" i="45" s="1"/>
  <c r="L34" i="45"/>
  <c r="K34" i="45"/>
  <c r="H34" i="45"/>
  <c r="M33" i="45"/>
  <c r="N33" i="45" s="1"/>
  <c r="L33" i="45"/>
  <c r="K33" i="45"/>
  <c r="H33" i="45"/>
  <c r="M32" i="45"/>
  <c r="N32" i="45" s="1"/>
  <c r="L32" i="45"/>
  <c r="K32" i="45"/>
  <c r="H32" i="45"/>
  <c r="M31" i="45"/>
  <c r="N31" i="45" s="1"/>
  <c r="L31" i="45"/>
  <c r="K31" i="45"/>
  <c r="H31" i="45"/>
  <c r="M30" i="45"/>
  <c r="N30" i="45" s="1"/>
  <c r="L30" i="45"/>
  <c r="K30" i="45"/>
  <c r="H30" i="45"/>
  <c r="M29" i="45"/>
  <c r="N29" i="45" s="1"/>
  <c r="L29" i="45"/>
  <c r="K29" i="45"/>
  <c r="H29" i="45"/>
  <c r="M28" i="45"/>
  <c r="N28" i="45" s="1"/>
  <c r="L28" i="45"/>
  <c r="K28" i="45"/>
  <c r="H28" i="45"/>
  <c r="M21" i="45"/>
  <c r="L21" i="45"/>
  <c r="N21" i="45" s="1"/>
  <c r="K21" i="45"/>
  <c r="H21" i="45"/>
  <c r="L20" i="45"/>
  <c r="N20" i="45" s="1"/>
  <c r="K20" i="45"/>
  <c r="H20" i="45"/>
  <c r="N19" i="45"/>
  <c r="M19" i="45"/>
  <c r="L19" i="45"/>
  <c r="K19" i="45"/>
  <c r="H19" i="45"/>
  <c r="L18" i="45"/>
  <c r="M18" i="45" s="1"/>
  <c r="K18" i="45"/>
  <c r="H18" i="45"/>
  <c r="M17" i="45"/>
  <c r="L17" i="45"/>
  <c r="N17" i="45" s="1"/>
  <c r="K17" i="45"/>
  <c r="H17" i="45"/>
  <c r="M16" i="45"/>
  <c r="L16" i="45"/>
  <c r="N16" i="45" s="1"/>
  <c r="K16" i="45"/>
  <c r="H16" i="45"/>
  <c r="N15" i="45"/>
  <c r="M15" i="45"/>
  <c r="L15" i="45"/>
  <c r="K15" i="45"/>
  <c r="H15" i="45"/>
  <c r="L14" i="45"/>
  <c r="M14" i="45" s="1"/>
  <c r="K14" i="45"/>
  <c r="H14" i="45"/>
  <c r="M13" i="45"/>
  <c r="L13" i="45"/>
  <c r="N13" i="45" s="1"/>
  <c r="K13" i="45"/>
  <c r="H13" i="45"/>
  <c r="M12" i="45"/>
  <c r="L12" i="45"/>
  <c r="N12" i="45" s="1"/>
  <c r="K12" i="45"/>
  <c r="H12" i="45"/>
  <c r="D48" i="45"/>
  <c r="J5" i="45"/>
  <c r="K5" i="45" s="1"/>
  <c r="H5" i="45"/>
  <c r="G5" i="45"/>
  <c r="I5" i="45"/>
  <c r="M37" i="44"/>
  <c r="N37" i="44" s="1"/>
  <c r="L37" i="44"/>
  <c r="K37" i="44"/>
  <c r="H37" i="44"/>
  <c r="M36" i="44"/>
  <c r="N36" i="44" s="1"/>
  <c r="L36" i="44"/>
  <c r="K36" i="44"/>
  <c r="H36" i="44"/>
  <c r="M35" i="44"/>
  <c r="N35" i="44" s="1"/>
  <c r="L35" i="44"/>
  <c r="K35" i="44"/>
  <c r="H35" i="44"/>
  <c r="M34" i="44"/>
  <c r="N34" i="44" s="1"/>
  <c r="L34" i="44"/>
  <c r="K34" i="44"/>
  <c r="H34" i="44"/>
  <c r="M33" i="44"/>
  <c r="N33" i="44" s="1"/>
  <c r="L33" i="44"/>
  <c r="K33" i="44"/>
  <c r="H33" i="44"/>
  <c r="M32" i="44"/>
  <c r="N32" i="44" s="1"/>
  <c r="L32" i="44"/>
  <c r="K32" i="44"/>
  <c r="H32" i="44"/>
  <c r="M31" i="44"/>
  <c r="N31" i="44" s="1"/>
  <c r="L31" i="44"/>
  <c r="K31" i="44"/>
  <c r="H31" i="44"/>
  <c r="M30" i="44"/>
  <c r="N30" i="44" s="1"/>
  <c r="L30" i="44"/>
  <c r="K30" i="44"/>
  <c r="H30" i="44"/>
  <c r="M29" i="44"/>
  <c r="N29" i="44" s="1"/>
  <c r="L29" i="44"/>
  <c r="K29" i="44"/>
  <c r="H29" i="44"/>
  <c r="M28" i="44"/>
  <c r="N28" i="44" s="1"/>
  <c r="L28" i="44"/>
  <c r="K28" i="44"/>
  <c r="H28" i="44"/>
  <c r="L21" i="44"/>
  <c r="N21" i="44" s="1"/>
  <c r="K21" i="44"/>
  <c r="H21" i="44"/>
  <c r="L20" i="44"/>
  <c r="N20" i="44" s="1"/>
  <c r="K20" i="44"/>
  <c r="H20" i="44"/>
  <c r="N19" i="44"/>
  <c r="M19" i="44"/>
  <c r="L19" i="44"/>
  <c r="K19" i="44"/>
  <c r="H19" i="44"/>
  <c r="L18" i="44"/>
  <c r="N18" i="44" s="1"/>
  <c r="K18" i="44"/>
  <c r="H18" i="44"/>
  <c r="L17" i="44"/>
  <c r="N17" i="44" s="1"/>
  <c r="K17" i="44"/>
  <c r="H17" i="44"/>
  <c r="L16" i="44"/>
  <c r="M16" i="44" s="1"/>
  <c r="K16" i="44"/>
  <c r="H16" i="44"/>
  <c r="N15" i="44"/>
  <c r="M15" i="44"/>
  <c r="L15" i="44"/>
  <c r="K15" i="44"/>
  <c r="H15" i="44"/>
  <c r="L14" i="44"/>
  <c r="M14" i="44" s="1"/>
  <c r="K14" i="44"/>
  <c r="H14" i="44"/>
  <c r="L13" i="44"/>
  <c r="N13" i="44" s="1"/>
  <c r="K13" i="44"/>
  <c r="H13" i="44"/>
  <c r="L12" i="44"/>
  <c r="N12" i="44" s="1"/>
  <c r="K12" i="44"/>
  <c r="H12" i="44"/>
  <c r="D52" i="44"/>
  <c r="J5" i="44"/>
  <c r="H5" i="44"/>
  <c r="I5" i="44"/>
  <c r="D46" i="43"/>
  <c r="M37" i="43"/>
  <c r="N37" i="43" s="1"/>
  <c r="L37" i="43"/>
  <c r="K37" i="43"/>
  <c r="H37" i="43"/>
  <c r="M36" i="43"/>
  <c r="N36" i="43" s="1"/>
  <c r="L36" i="43"/>
  <c r="K36" i="43"/>
  <c r="H36" i="43"/>
  <c r="M35" i="43"/>
  <c r="N35" i="43" s="1"/>
  <c r="L35" i="43"/>
  <c r="K35" i="43"/>
  <c r="H35" i="43"/>
  <c r="M34" i="43"/>
  <c r="N34" i="43" s="1"/>
  <c r="L34" i="43"/>
  <c r="K34" i="43"/>
  <c r="H34" i="43"/>
  <c r="M33" i="43"/>
  <c r="N33" i="43" s="1"/>
  <c r="L33" i="43"/>
  <c r="K33" i="43"/>
  <c r="H33" i="43"/>
  <c r="M32" i="43"/>
  <c r="N32" i="43" s="1"/>
  <c r="L32" i="43"/>
  <c r="K32" i="43"/>
  <c r="H32" i="43"/>
  <c r="M31" i="43"/>
  <c r="N31" i="43" s="1"/>
  <c r="L31" i="43"/>
  <c r="K31" i="43"/>
  <c r="H31" i="43"/>
  <c r="M30" i="43"/>
  <c r="N30" i="43" s="1"/>
  <c r="L30" i="43"/>
  <c r="K30" i="43"/>
  <c r="H30" i="43"/>
  <c r="M29" i="43"/>
  <c r="N29" i="43" s="1"/>
  <c r="L29" i="43"/>
  <c r="K29" i="43"/>
  <c r="H29" i="43"/>
  <c r="M28" i="43"/>
  <c r="N28" i="43" s="1"/>
  <c r="L28" i="43"/>
  <c r="K28" i="43"/>
  <c r="H28" i="43"/>
  <c r="L21" i="43"/>
  <c r="N21" i="43" s="1"/>
  <c r="K21" i="43"/>
  <c r="H21" i="43"/>
  <c r="L20" i="43"/>
  <c r="N20" i="43" s="1"/>
  <c r="K20" i="43"/>
  <c r="H20" i="43"/>
  <c r="N19" i="43"/>
  <c r="M19" i="43"/>
  <c r="L19" i="43"/>
  <c r="K19" i="43"/>
  <c r="H19" i="43"/>
  <c r="L18" i="43"/>
  <c r="M18" i="43" s="1"/>
  <c r="K18" i="43"/>
  <c r="H18" i="43"/>
  <c r="L17" i="43"/>
  <c r="M17" i="43" s="1"/>
  <c r="K17" i="43"/>
  <c r="H17" i="43"/>
  <c r="L16" i="43"/>
  <c r="M16" i="43" s="1"/>
  <c r="K16" i="43"/>
  <c r="H16" i="43"/>
  <c r="N15" i="43"/>
  <c r="M15" i="43"/>
  <c r="L15" i="43"/>
  <c r="K15" i="43"/>
  <c r="H15" i="43"/>
  <c r="L14" i="43"/>
  <c r="M14" i="43" s="1"/>
  <c r="K14" i="43"/>
  <c r="H14" i="43"/>
  <c r="L13" i="43"/>
  <c r="N13" i="43" s="1"/>
  <c r="K13" i="43"/>
  <c r="H13" i="43"/>
  <c r="L12" i="43"/>
  <c r="N12" i="43" s="1"/>
  <c r="K12" i="43"/>
  <c r="H12" i="43"/>
  <c r="D48" i="43"/>
  <c r="J5" i="43"/>
  <c r="K5" i="43" s="1"/>
  <c r="H5" i="43"/>
  <c r="G5" i="43"/>
  <c r="I5" i="43"/>
  <c r="M37" i="42"/>
  <c r="N37" i="42" s="1"/>
  <c r="L37" i="42"/>
  <c r="K37" i="42"/>
  <c r="H37" i="42"/>
  <c r="M36" i="42"/>
  <c r="N36" i="42" s="1"/>
  <c r="L36" i="42"/>
  <c r="K36" i="42"/>
  <c r="H36" i="42"/>
  <c r="M35" i="42"/>
  <c r="N35" i="42" s="1"/>
  <c r="L35" i="42"/>
  <c r="K35" i="42"/>
  <c r="H35" i="42"/>
  <c r="M34" i="42"/>
  <c r="N34" i="42" s="1"/>
  <c r="L34" i="42"/>
  <c r="K34" i="42"/>
  <c r="H34" i="42"/>
  <c r="M33" i="42"/>
  <c r="N33" i="42" s="1"/>
  <c r="L33" i="42"/>
  <c r="K33" i="42"/>
  <c r="H33" i="42"/>
  <c r="M32" i="42"/>
  <c r="N32" i="42" s="1"/>
  <c r="L32" i="42"/>
  <c r="K32" i="42"/>
  <c r="H32" i="42"/>
  <c r="M31" i="42"/>
  <c r="N31" i="42" s="1"/>
  <c r="L31" i="42"/>
  <c r="K31" i="42"/>
  <c r="H31" i="42"/>
  <c r="M30" i="42"/>
  <c r="N30" i="42" s="1"/>
  <c r="L30" i="42"/>
  <c r="K30" i="42"/>
  <c r="H30" i="42"/>
  <c r="M29" i="42"/>
  <c r="N29" i="42" s="1"/>
  <c r="L29" i="42"/>
  <c r="K29" i="42"/>
  <c r="H29" i="42"/>
  <c r="M28" i="42"/>
  <c r="N28" i="42" s="1"/>
  <c r="L28" i="42"/>
  <c r="K28" i="42"/>
  <c r="H28" i="42"/>
  <c r="L21" i="42"/>
  <c r="N21" i="42" s="1"/>
  <c r="K21" i="42"/>
  <c r="H21" i="42"/>
  <c r="L20" i="42"/>
  <c r="M20" i="42" s="1"/>
  <c r="K20" i="42"/>
  <c r="H20" i="42"/>
  <c r="N19" i="42"/>
  <c r="M19" i="42"/>
  <c r="L19" i="42"/>
  <c r="K19" i="42"/>
  <c r="H19" i="42"/>
  <c r="L18" i="42"/>
  <c r="M18" i="42" s="1"/>
  <c r="K18" i="42"/>
  <c r="H18" i="42"/>
  <c r="L17" i="42"/>
  <c r="N17" i="42" s="1"/>
  <c r="K17" i="42"/>
  <c r="H17" i="42"/>
  <c r="L16" i="42"/>
  <c r="N16" i="42" s="1"/>
  <c r="K16" i="42"/>
  <c r="H16" i="42"/>
  <c r="N15" i="42"/>
  <c r="M15" i="42"/>
  <c r="L15" i="42"/>
  <c r="K15" i="42"/>
  <c r="H15" i="42"/>
  <c r="L14" i="42"/>
  <c r="N14" i="42" s="1"/>
  <c r="K14" i="42"/>
  <c r="H14" i="42"/>
  <c r="L13" i="42"/>
  <c r="N13" i="42" s="1"/>
  <c r="K13" i="42"/>
  <c r="H13" i="42"/>
  <c r="L12" i="42"/>
  <c r="M12" i="42" s="1"/>
  <c r="K12" i="42"/>
  <c r="H12" i="42"/>
  <c r="D48" i="42"/>
  <c r="J5" i="42"/>
  <c r="K5" i="42" s="1"/>
  <c r="H5" i="42"/>
  <c r="G5" i="42"/>
  <c r="I5" i="42"/>
  <c r="K30" i="1"/>
  <c r="L30" i="1" s="1"/>
  <c r="K29" i="1"/>
  <c r="I30" i="1"/>
  <c r="J30" i="1" s="1"/>
  <c r="I29" i="1"/>
  <c r="G30" i="1"/>
  <c r="G29" i="1"/>
  <c r="E30" i="1"/>
  <c r="E29" i="1"/>
  <c r="F29" i="1" s="1"/>
  <c r="C30" i="1"/>
  <c r="C29" i="1"/>
  <c r="D29" i="1" s="1"/>
  <c r="D30" i="1"/>
  <c r="B30" i="1"/>
  <c r="B29" i="1"/>
  <c r="M37" i="41"/>
  <c r="N37" i="41" s="1"/>
  <c r="L37" i="41"/>
  <c r="K37" i="41"/>
  <c r="H37" i="41"/>
  <c r="N36" i="41"/>
  <c r="M36" i="41"/>
  <c r="L36" i="41"/>
  <c r="K36" i="41"/>
  <c r="H36" i="41"/>
  <c r="N35" i="41"/>
  <c r="M35" i="41"/>
  <c r="L35" i="41"/>
  <c r="K35" i="41"/>
  <c r="H35" i="41"/>
  <c r="N34" i="41"/>
  <c r="M34" i="41"/>
  <c r="L34" i="41"/>
  <c r="K34" i="41"/>
  <c r="H34" i="41"/>
  <c r="M33" i="41"/>
  <c r="N33" i="41" s="1"/>
  <c r="L33" i="41"/>
  <c r="K33" i="41"/>
  <c r="H33" i="41"/>
  <c r="N32" i="41"/>
  <c r="M32" i="41"/>
  <c r="L32" i="41"/>
  <c r="K32" i="41"/>
  <c r="H32" i="41"/>
  <c r="N31" i="41"/>
  <c r="M31" i="41"/>
  <c r="L31" i="41"/>
  <c r="K31" i="41"/>
  <c r="H31" i="41"/>
  <c r="N30" i="41"/>
  <c r="M30" i="41"/>
  <c r="L30" i="41"/>
  <c r="K30" i="41"/>
  <c r="H30" i="41"/>
  <c r="M29" i="41"/>
  <c r="N29" i="41" s="1"/>
  <c r="L29" i="41"/>
  <c r="K29" i="41"/>
  <c r="H29" i="41"/>
  <c r="N28" i="41"/>
  <c r="M28" i="41"/>
  <c r="L28" i="41"/>
  <c r="K28" i="41"/>
  <c r="H28" i="41"/>
  <c r="N21" i="41"/>
  <c r="L21" i="41"/>
  <c r="M21" i="41" s="1"/>
  <c r="K21" i="41"/>
  <c r="H21" i="41"/>
  <c r="N20" i="41"/>
  <c r="L20" i="41"/>
  <c r="M20" i="41" s="1"/>
  <c r="K20" i="41"/>
  <c r="H20" i="41"/>
  <c r="L19" i="41"/>
  <c r="M19" i="41" s="1"/>
  <c r="K19" i="41"/>
  <c r="H19" i="41"/>
  <c r="N18" i="41"/>
  <c r="M18" i="41"/>
  <c r="L18" i="41"/>
  <c r="K18" i="41"/>
  <c r="H18" i="41"/>
  <c r="N17" i="41"/>
  <c r="L17" i="41"/>
  <c r="M17" i="41" s="1"/>
  <c r="K17" i="41"/>
  <c r="H17" i="41"/>
  <c r="N16" i="41"/>
  <c r="L16" i="41"/>
  <c r="M16" i="41" s="1"/>
  <c r="K16" i="41"/>
  <c r="H16" i="41"/>
  <c r="L15" i="41"/>
  <c r="M15" i="41" s="1"/>
  <c r="K15" i="41"/>
  <c r="H15" i="41"/>
  <c r="N14" i="41"/>
  <c r="M14" i="41"/>
  <c r="L14" i="41"/>
  <c r="K14" i="41"/>
  <c r="H14" i="41"/>
  <c r="N13" i="41"/>
  <c r="L13" i="41"/>
  <c r="M13" i="41" s="1"/>
  <c r="K13" i="41"/>
  <c r="H13" i="41"/>
  <c r="N12" i="41"/>
  <c r="L12" i="41"/>
  <c r="M12" i="41" s="1"/>
  <c r="K12" i="41"/>
  <c r="H12" i="41"/>
  <c r="D53" i="41"/>
  <c r="J5" i="41"/>
  <c r="K5" i="41" s="1"/>
  <c r="H5" i="41"/>
  <c r="I5" i="41" s="1"/>
  <c r="G5" i="41"/>
  <c r="E5" i="41"/>
  <c r="M37" i="40"/>
  <c r="N37" i="40" s="1"/>
  <c r="L37" i="40"/>
  <c r="K37" i="40"/>
  <c r="H37" i="40"/>
  <c r="N36" i="40"/>
  <c r="M36" i="40"/>
  <c r="L36" i="40"/>
  <c r="K36" i="40"/>
  <c r="H36" i="40"/>
  <c r="N35" i="40"/>
  <c r="M35" i="40"/>
  <c r="L35" i="40"/>
  <c r="K35" i="40"/>
  <c r="H35" i="40"/>
  <c r="N34" i="40"/>
  <c r="M34" i="40"/>
  <c r="L34" i="40"/>
  <c r="K34" i="40"/>
  <c r="H34" i="40"/>
  <c r="M33" i="40"/>
  <c r="N33" i="40" s="1"/>
  <c r="L33" i="40"/>
  <c r="K33" i="40"/>
  <c r="H33" i="40"/>
  <c r="N32" i="40"/>
  <c r="M32" i="40"/>
  <c r="L32" i="40"/>
  <c r="K32" i="40"/>
  <c r="H32" i="40"/>
  <c r="N31" i="40"/>
  <c r="M31" i="40"/>
  <c r="L31" i="40"/>
  <c r="K31" i="40"/>
  <c r="H31" i="40"/>
  <c r="N30" i="40"/>
  <c r="M30" i="40"/>
  <c r="L30" i="40"/>
  <c r="K30" i="40"/>
  <c r="H30" i="40"/>
  <c r="M29" i="40"/>
  <c r="N29" i="40" s="1"/>
  <c r="L29" i="40"/>
  <c r="K29" i="40"/>
  <c r="H29" i="40"/>
  <c r="M28" i="40"/>
  <c r="N28" i="40" s="1"/>
  <c r="L28" i="40"/>
  <c r="K28" i="40"/>
  <c r="H28" i="40"/>
  <c r="N21" i="40"/>
  <c r="L21" i="40"/>
  <c r="M21" i="40" s="1"/>
  <c r="K21" i="40"/>
  <c r="H21" i="40"/>
  <c r="N20" i="40"/>
  <c r="L20" i="40"/>
  <c r="M20" i="40" s="1"/>
  <c r="K20" i="40"/>
  <c r="H20" i="40"/>
  <c r="L19" i="40"/>
  <c r="M19" i="40" s="1"/>
  <c r="K19" i="40"/>
  <c r="H19" i="40"/>
  <c r="L18" i="40"/>
  <c r="N18" i="40" s="1"/>
  <c r="K18" i="40"/>
  <c r="H18" i="40"/>
  <c r="N17" i="40"/>
  <c r="L17" i="40"/>
  <c r="M17" i="40" s="1"/>
  <c r="K17" i="40"/>
  <c r="H17" i="40"/>
  <c r="N16" i="40"/>
  <c r="L16" i="40"/>
  <c r="M16" i="40" s="1"/>
  <c r="K16" i="40"/>
  <c r="H16" i="40"/>
  <c r="L15" i="40"/>
  <c r="N15" i="40" s="1"/>
  <c r="K15" i="40"/>
  <c r="H15" i="40"/>
  <c r="L14" i="40"/>
  <c r="N14" i="40" s="1"/>
  <c r="K14" i="40"/>
  <c r="H14" i="40"/>
  <c r="N13" i="40"/>
  <c r="L13" i="40"/>
  <c r="M13" i="40" s="1"/>
  <c r="K13" i="40"/>
  <c r="H13" i="40"/>
  <c r="N12" i="40"/>
  <c r="L12" i="40"/>
  <c r="M12" i="40" s="1"/>
  <c r="K12" i="40"/>
  <c r="H12" i="40"/>
  <c r="D53" i="40"/>
  <c r="J5" i="40"/>
  <c r="K5" i="40" s="1"/>
  <c r="H5" i="40"/>
  <c r="I5" i="40" s="1"/>
  <c r="G5" i="40"/>
  <c r="E5" i="40"/>
  <c r="K28" i="1"/>
  <c r="I28" i="1"/>
  <c r="G28" i="1"/>
  <c r="H28" i="1" s="1"/>
  <c r="E28" i="1"/>
  <c r="C28" i="1"/>
  <c r="B28" i="1"/>
  <c r="J28" i="1"/>
  <c r="F28" i="1"/>
  <c r="D28" i="1"/>
  <c r="M37" i="39"/>
  <c r="N37" i="39" s="1"/>
  <c r="L37" i="39"/>
  <c r="K37" i="39"/>
  <c r="H37" i="39"/>
  <c r="M36" i="39"/>
  <c r="N36" i="39" s="1"/>
  <c r="L36" i="39"/>
  <c r="K36" i="39"/>
  <c r="H36" i="39"/>
  <c r="M35" i="39"/>
  <c r="N35" i="39" s="1"/>
  <c r="L35" i="39"/>
  <c r="K35" i="39"/>
  <c r="H35" i="39"/>
  <c r="N34" i="39"/>
  <c r="M34" i="39"/>
  <c r="L34" i="39"/>
  <c r="K34" i="39"/>
  <c r="H34" i="39"/>
  <c r="M33" i="39"/>
  <c r="N33" i="39" s="1"/>
  <c r="L33" i="39"/>
  <c r="K33" i="39"/>
  <c r="H33" i="39"/>
  <c r="M32" i="39"/>
  <c r="N32" i="39" s="1"/>
  <c r="L32" i="39"/>
  <c r="K32" i="39"/>
  <c r="H32" i="39"/>
  <c r="M31" i="39"/>
  <c r="N31" i="39" s="1"/>
  <c r="L31" i="39"/>
  <c r="K31" i="39"/>
  <c r="H31" i="39"/>
  <c r="M30" i="39"/>
  <c r="N30" i="39" s="1"/>
  <c r="L30" i="39"/>
  <c r="K30" i="39"/>
  <c r="H30" i="39"/>
  <c r="M29" i="39"/>
  <c r="N29" i="39" s="1"/>
  <c r="L29" i="39"/>
  <c r="K29" i="39"/>
  <c r="H29" i="39"/>
  <c r="M28" i="39"/>
  <c r="N28" i="39" s="1"/>
  <c r="L28" i="39"/>
  <c r="K28" i="39"/>
  <c r="H28" i="39"/>
  <c r="L21" i="39"/>
  <c r="N21" i="39" s="1"/>
  <c r="K21" i="39"/>
  <c r="H21" i="39"/>
  <c r="L20" i="39"/>
  <c r="N20" i="39" s="1"/>
  <c r="K20" i="39"/>
  <c r="H20" i="39"/>
  <c r="L19" i="39"/>
  <c r="N19" i="39" s="1"/>
  <c r="K19" i="39"/>
  <c r="H19" i="39"/>
  <c r="L18" i="39"/>
  <c r="M18" i="39" s="1"/>
  <c r="K18" i="39"/>
  <c r="H18" i="39"/>
  <c r="L17" i="39"/>
  <c r="N17" i="39" s="1"/>
  <c r="K17" i="39"/>
  <c r="H17" i="39"/>
  <c r="L16" i="39"/>
  <c r="N16" i="39" s="1"/>
  <c r="K16" i="39"/>
  <c r="H16" i="39"/>
  <c r="L15" i="39"/>
  <c r="N15" i="39" s="1"/>
  <c r="K15" i="39"/>
  <c r="H15" i="39"/>
  <c r="L14" i="39"/>
  <c r="M14" i="39" s="1"/>
  <c r="K14" i="39"/>
  <c r="H14" i="39"/>
  <c r="L13" i="39"/>
  <c r="N13" i="39" s="1"/>
  <c r="K13" i="39"/>
  <c r="H13" i="39"/>
  <c r="L12" i="39"/>
  <c r="N12" i="39" s="1"/>
  <c r="K12" i="39"/>
  <c r="H12" i="39"/>
  <c r="D53" i="39"/>
  <c r="J5" i="39"/>
  <c r="K5" i="39" s="1"/>
  <c r="H5" i="39"/>
  <c r="I5" i="39" s="1"/>
  <c r="G5" i="39"/>
  <c r="E5" i="39"/>
  <c r="K27" i="1"/>
  <c r="L27" i="1" s="1"/>
  <c r="I27" i="1"/>
  <c r="G27" i="1"/>
  <c r="H27" i="1" s="1"/>
  <c r="E27" i="1"/>
  <c r="C27" i="1"/>
  <c r="B27" i="1"/>
  <c r="J27" i="1"/>
  <c r="N37" i="38"/>
  <c r="M37" i="38"/>
  <c r="L37" i="38"/>
  <c r="K37" i="38"/>
  <c r="H37" i="38"/>
  <c r="M36" i="38"/>
  <c r="N36" i="38" s="1"/>
  <c r="L36" i="38"/>
  <c r="K36" i="38"/>
  <c r="H36" i="38"/>
  <c r="N35" i="38"/>
  <c r="M35" i="38"/>
  <c r="L35" i="38"/>
  <c r="K35" i="38"/>
  <c r="H35" i="38"/>
  <c r="M34" i="38"/>
  <c r="N34" i="38" s="1"/>
  <c r="L34" i="38"/>
  <c r="K34" i="38"/>
  <c r="H34" i="38"/>
  <c r="N33" i="38"/>
  <c r="M33" i="38"/>
  <c r="L33" i="38"/>
  <c r="K33" i="38"/>
  <c r="H33" i="38"/>
  <c r="M32" i="38"/>
  <c r="N32" i="38" s="1"/>
  <c r="L32" i="38"/>
  <c r="K32" i="38"/>
  <c r="H32" i="38"/>
  <c r="N31" i="38"/>
  <c r="M31" i="38"/>
  <c r="L31" i="38"/>
  <c r="K31" i="38"/>
  <c r="H31" i="38"/>
  <c r="M30" i="38"/>
  <c r="N30" i="38" s="1"/>
  <c r="L30" i="38"/>
  <c r="K30" i="38"/>
  <c r="H30" i="38"/>
  <c r="N29" i="38"/>
  <c r="M29" i="38"/>
  <c r="L29" i="38"/>
  <c r="K29" i="38"/>
  <c r="H29" i="38"/>
  <c r="M28" i="38"/>
  <c r="N28" i="38" s="1"/>
  <c r="L28" i="38"/>
  <c r="K28" i="38"/>
  <c r="H28" i="38"/>
  <c r="N21" i="38"/>
  <c r="L21" i="38"/>
  <c r="M21" i="38" s="1"/>
  <c r="K21" i="38"/>
  <c r="H21" i="38"/>
  <c r="L20" i="38"/>
  <c r="N20" i="38" s="1"/>
  <c r="K20" i="38"/>
  <c r="H20" i="38"/>
  <c r="L19" i="38"/>
  <c r="N19" i="38" s="1"/>
  <c r="K19" i="38"/>
  <c r="H19" i="38"/>
  <c r="L18" i="38"/>
  <c r="N18" i="38" s="1"/>
  <c r="K18" i="38"/>
  <c r="H18" i="38"/>
  <c r="N17" i="38"/>
  <c r="L17" i="38"/>
  <c r="M17" i="38" s="1"/>
  <c r="K17" i="38"/>
  <c r="H17" i="38"/>
  <c r="L16" i="38"/>
  <c r="N16" i="38" s="1"/>
  <c r="K16" i="38"/>
  <c r="H16" i="38"/>
  <c r="L15" i="38"/>
  <c r="N15" i="38" s="1"/>
  <c r="K15" i="38"/>
  <c r="H15" i="38"/>
  <c r="L14" i="38"/>
  <c r="M14" i="38" s="1"/>
  <c r="K14" i="38"/>
  <c r="H14" i="38"/>
  <c r="N13" i="38"/>
  <c r="L13" i="38"/>
  <c r="M13" i="38" s="1"/>
  <c r="K13" i="38"/>
  <c r="H13" i="38"/>
  <c r="L12" i="38"/>
  <c r="N12" i="38" s="1"/>
  <c r="K12" i="38"/>
  <c r="H12" i="38"/>
  <c r="D53" i="38"/>
  <c r="J5" i="38"/>
  <c r="K5" i="38" s="1"/>
  <c r="H5" i="38"/>
  <c r="I5" i="38" s="1"/>
  <c r="G5" i="38"/>
  <c r="E5" i="38"/>
  <c r="K26" i="1"/>
  <c r="K25" i="1"/>
  <c r="I26" i="1"/>
  <c r="I25" i="1"/>
  <c r="G26" i="1"/>
  <c r="G25" i="1"/>
  <c r="H26" i="1"/>
  <c r="E26" i="1"/>
  <c r="E25" i="1"/>
  <c r="F25" i="1" s="1"/>
  <c r="C26" i="1"/>
  <c r="C25" i="1"/>
  <c r="D25" i="1"/>
  <c r="B26" i="1"/>
  <c r="B25" i="1"/>
  <c r="M37" i="37"/>
  <c r="N37" i="37" s="1"/>
  <c r="L37" i="37"/>
  <c r="K37" i="37"/>
  <c r="H37" i="37"/>
  <c r="M36" i="37"/>
  <c r="N36" i="37" s="1"/>
  <c r="L36" i="37"/>
  <c r="K36" i="37"/>
  <c r="H36" i="37"/>
  <c r="M35" i="37"/>
  <c r="N35" i="37" s="1"/>
  <c r="L35" i="37"/>
  <c r="K35" i="37"/>
  <c r="H35" i="37"/>
  <c r="M34" i="37"/>
  <c r="N34" i="37" s="1"/>
  <c r="L34" i="37"/>
  <c r="K34" i="37"/>
  <c r="H34" i="37"/>
  <c r="M33" i="37"/>
  <c r="N33" i="37" s="1"/>
  <c r="L33" i="37"/>
  <c r="K33" i="37"/>
  <c r="H33" i="37"/>
  <c r="M32" i="37"/>
  <c r="N32" i="37" s="1"/>
  <c r="L32" i="37"/>
  <c r="K32" i="37"/>
  <c r="H32" i="37"/>
  <c r="M31" i="37"/>
  <c r="N31" i="37" s="1"/>
  <c r="L31" i="37"/>
  <c r="K31" i="37"/>
  <c r="H31" i="37"/>
  <c r="M30" i="37"/>
  <c r="N30" i="37" s="1"/>
  <c r="L30" i="37"/>
  <c r="K30" i="37"/>
  <c r="H30" i="37"/>
  <c r="M29" i="37"/>
  <c r="N29" i="37" s="1"/>
  <c r="L29" i="37"/>
  <c r="K29" i="37"/>
  <c r="H29" i="37"/>
  <c r="M28" i="37"/>
  <c r="N28" i="37" s="1"/>
  <c r="L28" i="37"/>
  <c r="K28" i="37"/>
  <c r="H28" i="37"/>
  <c r="L21" i="37"/>
  <c r="N21" i="37" s="1"/>
  <c r="K21" i="37"/>
  <c r="H21" i="37"/>
  <c r="L20" i="37"/>
  <c r="N20" i="37" s="1"/>
  <c r="K20" i="37"/>
  <c r="H20" i="37"/>
  <c r="L19" i="37"/>
  <c r="N19" i="37" s="1"/>
  <c r="K19" i="37"/>
  <c r="H19" i="37"/>
  <c r="L18" i="37"/>
  <c r="N18" i="37" s="1"/>
  <c r="K18" i="37"/>
  <c r="H18" i="37"/>
  <c r="L17" i="37"/>
  <c r="N17" i="37" s="1"/>
  <c r="K17" i="37"/>
  <c r="H17" i="37"/>
  <c r="L16" i="37"/>
  <c r="N16" i="37" s="1"/>
  <c r="K16" i="37"/>
  <c r="H16" i="37"/>
  <c r="L15" i="37"/>
  <c r="N15" i="37" s="1"/>
  <c r="K15" i="37"/>
  <c r="H15" i="37"/>
  <c r="L14" i="37"/>
  <c r="N14" i="37" s="1"/>
  <c r="K14" i="37"/>
  <c r="H14" i="37"/>
  <c r="L13" i="37"/>
  <c r="N13" i="37" s="1"/>
  <c r="K13" i="37"/>
  <c r="H13" i="37"/>
  <c r="L12" i="37"/>
  <c r="N12" i="37" s="1"/>
  <c r="K12" i="37"/>
  <c r="H12" i="37"/>
  <c r="D53" i="37"/>
  <c r="J5" i="37"/>
  <c r="K5" i="37" s="1"/>
  <c r="H5" i="37"/>
  <c r="G5" i="37"/>
  <c r="I5" i="37"/>
  <c r="M37" i="36"/>
  <c r="N37" i="36" s="1"/>
  <c r="L37" i="36"/>
  <c r="K37" i="36"/>
  <c r="H37" i="36"/>
  <c r="M36" i="36"/>
  <c r="N36" i="36" s="1"/>
  <c r="L36" i="36"/>
  <c r="K36" i="36"/>
  <c r="H36" i="36"/>
  <c r="M35" i="36"/>
  <c r="N35" i="36" s="1"/>
  <c r="L35" i="36"/>
  <c r="K35" i="36"/>
  <c r="H35" i="36"/>
  <c r="M34" i="36"/>
  <c r="N34" i="36" s="1"/>
  <c r="L34" i="36"/>
  <c r="K34" i="36"/>
  <c r="H34" i="36"/>
  <c r="M33" i="36"/>
  <c r="N33" i="36" s="1"/>
  <c r="L33" i="36"/>
  <c r="K33" i="36"/>
  <c r="H33" i="36"/>
  <c r="M32" i="36"/>
  <c r="N32" i="36" s="1"/>
  <c r="L32" i="36"/>
  <c r="K32" i="36"/>
  <c r="H32" i="36"/>
  <c r="M31" i="36"/>
  <c r="N31" i="36" s="1"/>
  <c r="L31" i="36"/>
  <c r="K31" i="36"/>
  <c r="H31" i="36"/>
  <c r="M30" i="36"/>
  <c r="N30" i="36" s="1"/>
  <c r="L30" i="36"/>
  <c r="K30" i="36"/>
  <c r="H30" i="36"/>
  <c r="M29" i="36"/>
  <c r="N29" i="36" s="1"/>
  <c r="L29" i="36"/>
  <c r="K29" i="36"/>
  <c r="H29" i="36"/>
  <c r="M28" i="36"/>
  <c r="N28" i="36" s="1"/>
  <c r="L28" i="36"/>
  <c r="K28" i="36"/>
  <c r="H28" i="36"/>
  <c r="L21" i="36"/>
  <c r="N21" i="36" s="1"/>
  <c r="K21" i="36"/>
  <c r="H21" i="36"/>
  <c r="L20" i="36"/>
  <c r="N20" i="36" s="1"/>
  <c r="K20" i="36"/>
  <c r="H20" i="36"/>
  <c r="L19" i="36"/>
  <c r="M19" i="36" s="1"/>
  <c r="K19" i="36"/>
  <c r="H19" i="36"/>
  <c r="L18" i="36"/>
  <c r="N18" i="36" s="1"/>
  <c r="K18" i="36"/>
  <c r="H18" i="36"/>
  <c r="L17" i="36"/>
  <c r="N17" i="36" s="1"/>
  <c r="K17" i="36"/>
  <c r="H17" i="36"/>
  <c r="L16" i="36"/>
  <c r="N16" i="36" s="1"/>
  <c r="K16" i="36"/>
  <c r="H16" i="36"/>
  <c r="L15" i="36"/>
  <c r="M15" i="36" s="1"/>
  <c r="K15" i="36"/>
  <c r="H15" i="36"/>
  <c r="L14" i="36"/>
  <c r="N14" i="36" s="1"/>
  <c r="K14" i="36"/>
  <c r="H14" i="36"/>
  <c r="L13" i="36"/>
  <c r="N13" i="36" s="1"/>
  <c r="K13" i="36"/>
  <c r="H13" i="36"/>
  <c r="L12" i="36"/>
  <c r="N12" i="36" s="1"/>
  <c r="K12" i="36"/>
  <c r="H12" i="36"/>
  <c r="D53" i="36"/>
  <c r="J5" i="36"/>
  <c r="K5" i="36" s="1"/>
  <c r="H5" i="36"/>
  <c r="G5" i="36"/>
  <c r="I5" i="36"/>
  <c r="K24" i="1"/>
  <c r="L24" i="1" s="1"/>
  <c r="K23" i="1"/>
  <c r="L23" i="1" s="1"/>
  <c r="K22" i="1"/>
  <c r="L22" i="1"/>
  <c r="I24" i="1"/>
  <c r="I22" i="1"/>
  <c r="I21" i="1"/>
  <c r="I20" i="1"/>
  <c r="G24" i="1"/>
  <c r="G22" i="1"/>
  <c r="E24" i="1"/>
  <c r="E23" i="1"/>
  <c r="F23" i="1" s="1"/>
  <c r="E22" i="1"/>
  <c r="F22" i="1" s="1"/>
  <c r="C24" i="1"/>
  <c r="C23" i="1"/>
  <c r="D23" i="1" s="1"/>
  <c r="C22" i="1"/>
  <c r="B24" i="1"/>
  <c r="B23" i="1"/>
  <c r="B22" i="1"/>
  <c r="J24" i="1"/>
  <c r="H24" i="1"/>
  <c r="H22" i="1"/>
  <c r="M37" i="35"/>
  <c r="N37" i="35" s="1"/>
  <c r="L37" i="35"/>
  <c r="K37" i="35"/>
  <c r="H37" i="35"/>
  <c r="M36" i="35"/>
  <c r="N36" i="35" s="1"/>
  <c r="L36" i="35"/>
  <c r="K36" i="35"/>
  <c r="H36" i="35"/>
  <c r="N35" i="35"/>
  <c r="M35" i="35"/>
  <c r="L35" i="35"/>
  <c r="K35" i="35"/>
  <c r="H35" i="35"/>
  <c r="M34" i="35"/>
  <c r="N34" i="35" s="1"/>
  <c r="L34" i="35"/>
  <c r="K34" i="35"/>
  <c r="H34" i="35"/>
  <c r="M33" i="35"/>
  <c r="N33" i="35" s="1"/>
  <c r="L33" i="35"/>
  <c r="K33" i="35"/>
  <c r="H33" i="35"/>
  <c r="M32" i="35"/>
  <c r="N32" i="35" s="1"/>
  <c r="L32" i="35"/>
  <c r="K32" i="35"/>
  <c r="H32" i="35"/>
  <c r="N31" i="35"/>
  <c r="M31" i="35"/>
  <c r="L31" i="35"/>
  <c r="K31" i="35"/>
  <c r="H31" i="35"/>
  <c r="M30" i="35"/>
  <c r="N30" i="35" s="1"/>
  <c r="L30" i="35"/>
  <c r="K30" i="35"/>
  <c r="H30" i="35"/>
  <c r="M29" i="35"/>
  <c r="N29" i="35" s="1"/>
  <c r="L29" i="35"/>
  <c r="K29" i="35"/>
  <c r="H29" i="35"/>
  <c r="M28" i="35"/>
  <c r="N28" i="35" s="1"/>
  <c r="L28" i="35"/>
  <c r="K28" i="35"/>
  <c r="H28" i="35"/>
  <c r="N21" i="35"/>
  <c r="L21" i="35"/>
  <c r="M21" i="35" s="1"/>
  <c r="K21" i="35"/>
  <c r="H21" i="35"/>
  <c r="L20" i="35"/>
  <c r="N20" i="35" s="1"/>
  <c r="K20" i="35"/>
  <c r="H20" i="35"/>
  <c r="L19" i="35"/>
  <c r="N19" i="35" s="1"/>
  <c r="K19" i="35"/>
  <c r="H19" i="35"/>
  <c r="L18" i="35"/>
  <c r="N18" i="35" s="1"/>
  <c r="K18" i="35"/>
  <c r="H18" i="35"/>
  <c r="N17" i="35"/>
  <c r="L17" i="35"/>
  <c r="M17" i="35" s="1"/>
  <c r="K17" i="35"/>
  <c r="H17" i="35"/>
  <c r="L16" i="35"/>
  <c r="N16" i="35" s="1"/>
  <c r="K16" i="35"/>
  <c r="H16" i="35"/>
  <c r="L15" i="35"/>
  <c r="N15" i="35" s="1"/>
  <c r="K15" i="35"/>
  <c r="H15" i="35"/>
  <c r="L14" i="35"/>
  <c r="N14" i="35" s="1"/>
  <c r="K14" i="35"/>
  <c r="H14" i="35"/>
  <c r="N13" i="35"/>
  <c r="L13" i="35"/>
  <c r="M13" i="35" s="1"/>
  <c r="K13" i="35"/>
  <c r="H13" i="35"/>
  <c r="L12" i="35"/>
  <c r="N12" i="35" s="1"/>
  <c r="K12" i="35"/>
  <c r="H12" i="35"/>
  <c r="D52" i="35"/>
  <c r="J5" i="35"/>
  <c r="K5" i="35" s="1"/>
  <c r="H5" i="35"/>
  <c r="I5" i="35" s="1"/>
  <c r="G5" i="35"/>
  <c r="E5" i="35"/>
  <c r="M37" i="34"/>
  <c r="N37" i="34" s="1"/>
  <c r="L37" i="34"/>
  <c r="K37" i="34"/>
  <c r="H37" i="34"/>
  <c r="M36" i="34"/>
  <c r="N36" i="34" s="1"/>
  <c r="L36" i="34"/>
  <c r="K36" i="34"/>
  <c r="H36" i="34"/>
  <c r="M35" i="34"/>
  <c r="N35" i="34" s="1"/>
  <c r="L35" i="34"/>
  <c r="K35" i="34"/>
  <c r="H35" i="34"/>
  <c r="M34" i="34"/>
  <c r="N34" i="34" s="1"/>
  <c r="L34" i="34"/>
  <c r="K34" i="34"/>
  <c r="H34" i="34"/>
  <c r="M33" i="34"/>
  <c r="N33" i="34" s="1"/>
  <c r="L33" i="34"/>
  <c r="K33" i="34"/>
  <c r="H33" i="34"/>
  <c r="M32" i="34"/>
  <c r="N32" i="34" s="1"/>
  <c r="L32" i="34"/>
  <c r="K32" i="34"/>
  <c r="H32" i="34"/>
  <c r="M31" i="34"/>
  <c r="N31" i="34" s="1"/>
  <c r="L31" i="34"/>
  <c r="K31" i="34"/>
  <c r="H31" i="34"/>
  <c r="M30" i="34"/>
  <c r="N30" i="34" s="1"/>
  <c r="L30" i="34"/>
  <c r="K30" i="34"/>
  <c r="H30" i="34"/>
  <c r="M29" i="34"/>
  <c r="N29" i="34" s="1"/>
  <c r="L29" i="34"/>
  <c r="K29" i="34"/>
  <c r="H29" i="34"/>
  <c r="M28" i="34"/>
  <c r="N28" i="34" s="1"/>
  <c r="L28" i="34"/>
  <c r="K28" i="34"/>
  <c r="H28" i="34"/>
  <c r="L21" i="34"/>
  <c r="N21" i="34" s="1"/>
  <c r="K21" i="34"/>
  <c r="H21" i="34"/>
  <c r="L20" i="34"/>
  <c r="N20" i="34" s="1"/>
  <c r="K20" i="34"/>
  <c r="H20" i="34"/>
  <c r="L19" i="34"/>
  <c r="N19" i="34" s="1"/>
  <c r="K19" i="34"/>
  <c r="H19" i="34"/>
  <c r="L18" i="34"/>
  <c r="N18" i="34" s="1"/>
  <c r="K18" i="34"/>
  <c r="H18" i="34"/>
  <c r="L17" i="34"/>
  <c r="N17" i="34" s="1"/>
  <c r="K17" i="34"/>
  <c r="H17" i="34"/>
  <c r="L16" i="34"/>
  <c r="N16" i="34" s="1"/>
  <c r="K16" i="34"/>
  <c r="H16" i="34"/>
  <c r="L15" i="34"/>
  <c r="N15" i="34" s="1"/>
  <c r="K15" i="34"/>
  <c r="H15" i="34"/>
  <c r="L14" i="34"/>
  <c r="M14" i="34" s="1"/>
  <c r="K14" i="34"/>
  <c r="H14" i="34"/>
  <c r="L13" i="34"/>
  <c r="N13" i="34" s="1"/>
  <c r="K13" i="34"/>
  <c r="H13" i="34"/>
  <c r="L12" i="34"/>
  <c r="N12" i="34" s="1"/>
  <c r="K12" i="34"/>
  <c r="H12" i="34"/>
  <c r="D53" i="34"/>
  <c r="J5" i="34"/>
  <c r="K5" i="34" s="1"/>
  <c r="H5" i="34"/>
  <c r="I5" i="34" s="1"/>
  <c r="G5" i="34"/>
  <c r="E5" i="34"/>
  <c r="M37" i="33"/>
  <c r="N37" i="33" s="1"/>
  <c r="L37" i="33"/>
  <c r="K37" i="33"/>
  <c r="H37" i="33"/>
  <c r="M36" i="33"/>
  <c r="N36" i="33" s="1"/>
  <c r="L36" i="33"/>
  <c r="K36" i="33"/>
  <c r="H36" i="33"/>
  <c r="M35" i="33"/>
  <c r="N35" i="33" s="1"/>
  <c r="L35" i="33"/>
  <c r="K35" i="33"/>
  <c r="H35" i="33"/>
  <c r="M34" i="33"/>
  <c r="N34" i="33" s="1"/>
  <c r="L34" i="33"/>
  <c r="K34" i="33"/>
  <c r="H34" i="33"/>
  <c r="M33" i="33"/>
  <c r="N33" i="33" s="1"/>
  <c r="L33" i="33"/>
  <c r="K33" i="33"/>
  <c r="H33" i="33"/>
  <c r="M32" i="33"/>
  <c r="N32" i="33" s="1"/>
  <c r="L32" i="33"/>
  <c r="K32" i="33"/>
  <c r="H32" i="33"/>
  <c r="M31" i="33"/>
  <c r="N31" i="33" s="1"/>
  <c r="L31" i="33"/>
  <c r="K31" i="33"/>
  <c r="H31" i="33"/>
  <c r="M30" i="33"/>
  <c r="N30" i="33" s="1"/>
  <c r="L30" i="33"/>
  <c r="K30" i="33"/>
  <c r="H30" i="33"/>
  <c r="M29" i="33"/>
  <c r="N29" i="33" s="1"/>
  <c r="L29" i="33"/>
  <c r="K29" i="33"/>
  <c r="H29" i="33"/>
  <c r="M28" i="33"/>
  <c r="N28" i="33" s="1"/>
  <c r="L28" i="33"/>
  <c r="K28" i="33"/>
  <c r="H28" i="33"/>
  <c r="L21" i="33"/>
  <c r="N21" i="33" s="1"/>
  <c r="K21" i="33"/>
  <c r="H21" i="33"/>
  <c r="L20" i="33"/>
  <c r="N20" i="33" s="1"/>
  <c r="K20" i="33"/>
  <c r="H20" i="33"/>
  <c r="L19" i="33"/>
  <c r="N19" i="33" s="1"/>
  <c r="K19" i="33"/>
  <c r="H19" i="33"/>
  <c r="L18" i="33"/>
  <c r="N18" i="33" s="1"/>
  <c r="K18" i="33"/>
  <c r="H18" i="33"/>
  <c r="L17" i="33"/>
  <c r="N17" i="33" s="1"/>
  <c r="K17" i="33"/>
  <c r="H17" i="33"/>
  <c r="L16" i="33"/>
  <c r="N16" i="33" s="1"/>
  <c r="K16" i="33"/>
  <c r="H16" i="33"/>
  <c r="L15" i="33"/>
  <c r="N15" i="33" s="1"/>
  <c r="K15" i="33"/>
  <c r="H15" i="33"/>
  <c r="L14" i="33"/>
  <c r="N14" i="33" s="1"/>
  <c r="K14" i="33"/>
  <c r="H14" i="33"/>
  <c r="L13" i="33"/>
  <c r="N13" i="33" s="1"/>
  <c r="K13" i="33"/>
  <c r="H13" i="33"/>
  <c r="L12" i="33"/>
  <c r="N12" i="33" s="1"/>
  <c r="K12" i="33"/>
  <c r="H12" i="33"/>
  <c r="D53" i="33"/>
  <c r="J5" i="33"/>
  <c r="K5" i="33" s="1"/>
  <c r="H5" i="33"/>
  <c r="G5" i="33"/>
  <c r="E5" i="33"/>
  <c r="K21" i="1"/>
  <c r="K20" i="1"/>
  <c r="G21" i="1"/>
  <c r="G20" i="1"/>
  <c r="E21" i="1"/>
  <c r="E20" i="1"/>
  <c r="C21" i="1"/>
  <c r="D21" i="1" s="1"/>
  <c r="C20" i="1"/>
  <c r="B21" i="1"/>
  <c r="B20" i="1"/>
  <c r="J21" i="1"/>
  <c r="F21" i="1"/>
  <c r="M37" i="32"/>
  <c r="N37" i="32" s="1"/>
  <c r="L37" i="32"/>
  <c r="K37" i="32"/>
  <c r="H37" i="32"/>
  <c r="M36" i="32"/>
  <c r="N36" i="32" s="1"/>
  <c r="L36" i="32"/>
  <c r="K36" i="32"/>
  <c r="H36" i="32"/>
  <c r="M35" i="32"/>
  <c r="N35" i="32" s="1"/>
  <c r="L35" i="32"/>
  <c r="K35" i="32"/>
  <c r="H35" i="32"/>
  <c r="M34" i="32"/>
  <c r="N34" i="32" s="1"/>
  <c r="L34" i="32"/>
  <c r="K34" i="32"/>
  <c r="H34" i="32"/>
  <c r="M33" i="32"/>
  <c r="N33" i="32" s="1"/>
  <c r="L33" i="32"/>
  <c r="K33" i="32"/>
  <c r="H33" i="32"/>
  <c r="M32" i="32"/>
  <c r="N32" i="32" s="1"/>
  <c r="L32" i="32"/>
  <c r="K32" i="32"/>
  <c r="H32" i="32"/>
  <c r="M31" i="32"/>
  <c r="N31" i="32" s="1"/>
  <c r="L31" i="32"/>
  <c r="K31" i="32"/>
  <c r="H31" i="32"/>
  <c r="M30" i="32"/>
  <c r="N30" i="32" s="1"/>
  <c r="L30" i="32"/>
  <c r="K30" i="32"/>
  <c r="H30" i="32"/>
  <c r="M29" i="32"/>
  <c r="N29" i="32" s="1"/>
  <c r="L29" i="32"/>
  <c r="K29" i="32"/>
  <c r="H29" i="32"/>
  <c r="M28" i="32"/>
  <c r="N28" i="32" s="1"/>
  <c r="L28" i="32"/>
  <c r="K28" i="32"/>
  <c r="H28" i="32"/>
  <c r="L21" i="32"/>
  <c r="N21" i="32" s="1"/>
  <c r="K21" i="32"/>
  <c r="H21" i="32"/>
  <c r="L20" i="32"/>
  <c r="N20" i="32" s="1"/>
  <c r="K20" i="32"/>
  <c r="H20" i="32"/>
  <c r="L19" i="32"/>
  <c r="N19" i="32" s="1"/>
  <c r="K19" i="32"/>
  <c r="H19" i="32"/>
  <c r="L18" i="32"/>
  <c r="N18" i="32" s="1"/>
  <c r="K18" i="32"/>
  <c r="H18" i="32"/>
  <c r="L17" i="32"/>
  <c r="N17" i="32" s="1"/>
  <c r="K17" i="32"/>
  <c r="H17" i="32"/>
  <c r="L16" i="32"/>
  <c r="N16" i="32" s="1"/>
  <c r="K16" i="32"/>
  <c r="H16" i="32"/>
  <c r="L15" i="32"/>
  <c r="N15" i="32" s="1"/>
  <c r="K15" i="32"/>
  <c r="H15" i="32"/>
  <c r="L14" i="32"/>
  <c r="N14" i="32" s="1"/>
  <c r="K14" i="32"/>
  <c r="H14" i="32"/>
  <c r="L13" i="32"/>
  <c r="N13" i="32" s="1"/>
  <c r="K13" i="32"/>
  <c r="H13" i="32"/>
  <c r="L12" i="32"/>
  <c r="N12" i="32" s="1"/>
  <c r="K12" i="32"/>
  <c r="H12" i="32"/>
  <c r="D53" i="32"/>
  <c r="J5" i="32"/>
  <c r="K5" i="32" s="1"/>
  <c r="H5" i="32"/>
  <c r="I5" i="32" s="1"/>
  <c r="G5" i="32"/>
  <c r="E5" i="32"/>
  <c r="M37" i="31"/>
  <c r="N37" i="31" s="1"/>
  <c r="L37" i="31"/>
  <c r="K37" i="31"/>
  <c r="H37" i="31"/>
  <c r="M36" i="31"/>
  <c r="N36" i="31" s="1"/>
  <c r="L36" i="31"/>
  <c r="K36" i="31"/>
  <c r="H36" i="31"/>
  <c r="M35" i="31"/>
  <c r="N35" i="31" s="1"/>
  <c r="L35" i="31"/>
  <c r="K35" i="31"/>
  <c r="H35" i="31"/>
  <c r="M34" i="31"/>
  <c r="N34" i="31" s="1"/>
  <c r="L34" i="31"/>
  <c r="K34" i="31"/>
  <c r="H34" i="31"/>
  <c r="M33" i="31"/>
  <c r="N33" i="31" s="1"/>
  <c r="L33" i="31"/>
  <c r="K33" i="31"/>
  <c r="H33" i="31"/>
  <c r="M32" i="31"/>
  <c r="N32" i="31" s="1"/>
  <c r="L32" i="31"/>
  <c r="K32" i="31"/>
  <c r="H32" i="31"/>
  <c r="M31" i="31"/>
  <c r="N31" i="31" s="1"/>
  <c r="L31" i="31"/>
  <c r="K31" i="31"/>
  <c r="H31" i="31"/>
  <c r="M30" i="31"/>
  <c r="N30" i="31" s="1"/>
  <c r="L30" i="31"/>
  <c r="K30" i="31"/>
  <c r="H30" i="31"/>
  <c r="M29" i="31"/>
  <c r="N29" i="31" s="1"/>
  <c r="L29" i="31"/>
  <c r="K29" i="31"/>
  <c r="H29" i="31"/>
  <c r="M28" i="31"/>
  <c r="N28" i="31" s="1"/>
  <c r="L28" i="31"/>
  <c r="K28" i="31"/>
  <c r="H28" i="31"/>
  <c r="L21" i="31"/>
  <c r="N21" i="31" s="1"/>
  <c r="K21" i="31"/>
  <c r="H21" i="31"/>
  <c r="L20" i="31"/>
  <c r="N20" i="31" s="1"/>
  <c r="K20" i="31"/>
  <c r="H20" i="31"/>
  <c r="L19" i="31"/>
  <c r="N19" i="31" s="1"/>
  <c r="K19" i="31"/>
  <c r="H19" i="31"/>
  <c r="L18" i="31"/>
  <c r="N18" i="31" s="1"/>
  <c r="K18" i="31"/>
  <c r="H18" i="31"/>
  <c r="L17" i="31"/>
  <c r="N17" i="31" s="1"/>
  <c r="K17" i="31"/>
  <c r="H17" i="31"/>
  <c r="L16" i="31"/>
  <c r="N16" i="31" s="1"/>
  <c r="K16" i="31"/>
  <c r="H16" i="31"/>
  <c r="L15" i="31"/>
  <c r="M15" i="31" s="1"/>
  <c r="K15" i="31"/>
  <c r="H15" i="31"/>
  <c r="L14" i="31"/>
  <c r="N14" i="31" s="1"/>
  <c r="K14" i="31"/>
  <c r="H14" i="31"/>
  <c r="L13" i="31"/>
  <c r="N13" i="31" s="1"/>
  <c r="K13" i="31"/>
  <c r="H13" i="31"/>
  <c r="L12" i="31"/>
  <c r="N12" i="31" s="1"/>
  <c r="K12" i="31"/>
  <c r="H12" i="31"/>
  <c r="D53" i="31"/>
  <c r="J5" i="31"/>
  <c r="K5" i="31" s="1"/>
  <c r="H5" i="31"/>
  <c r="I5" i="31" s="1"/>
  <c r="G5" i="31"/>
  <c r="E5" i="31"/>
  <c r="K19" i="1"/>
  <c r="I19" i="1"/>
  <c r="G19" i="1"/>
  <c r="E19" i="1"/>
  <c r="C19" i="1"/>
  <c r="D19" i="1"/>
  <c r="B19" i="1"/>
  <c r="M37" i="30"/>
  <c r="N37" i="30" s="1"/>
  <c r="L37" i="30"/>
  <c r="K37" i="30"/>
  <c r="H37" i="30"/>
  <c r="M36" i="30"/>
  <c r="N36" i="30" s="1"/>
  <c r="L36" i="30"/>
  <c r="K36" i="30"/>
  <c r="H36" i="30"/>
  <c r="N35" i="30"/>
  <c r="M35" i="30"/>
  <c r="L35" i="30"/>
  <c r="K35" i="30"/>
  <c r="H35" i="30"/>
  <c r="M34" i="30"/>
  <c r="N34" i="30" s="1"/>
  <c r="L34" i="30"/>
  <c r="K34" i="30"/>
  <c r="H34" i="30"/>
  <c r="M33" i="30"/>
  <c r="N33" i="30" s="1"/>
  <c r="L33" i="30"/>
  <c r="K33" i="30"/>
  <c r="H33" i="30"/>
  <c r="M32" i="30"/>
  <c r="N32" i="30" s="1"/>
  <c r="L32" i="30"/>
  <c r="K32" i="30"/>
  <c r="H32" i="30"/>
  <c r="N31" i="30"/>
  <c r="M31" i="30"/>
  <c r="L31" i="30"/>
  <c r="K31" i="30"/>
  <c r="H31" i="30"/>
  <c r="M30" i="30"/>
  <c r="N30" i="30" s="1"/>
  <c r="L30" i="30"/>
  <c r="K30" i="30"/>
  <c r="H30" i="30"/>
  <c r="M29" i="30"/>
  <c r="N29" i="30" s="1"/>
  <c r="L29" i="30"/>
  <c r="K29" i="30"/>
  <c r="H29" i="30"/>
  <c r="M28" i="30"/>
  <c r="N28" i="30" s="1"/>
  <c r="L28" i="30"/>
  <c r="K28" i="30"/>
  <c r="H28" i="30"/>
  <c r="L21" i="30"/>
  <c r="N21" i="30" s="1"/>
  <c r="K21" i="30"/>
  <c r="H21" i="30"/>
  <c r="L20" i="30"/>
  <c r="N20" i="30" s="1"/>
  <c r="K20" i="30"/>
  <c r="H20" i="30"/>
  <c r="L19" i="30"/>
  <c r="N19" i="30" s="1"/>
  <c r="K19" i="30"/>
  <c r="H19" i="30"/>
  <c r="L18" i="30"/>
  <c r="M18" i="30" s="1"/>
  <c r="K18" i="30"/>
  <c r="H18" i="30"/>
  <c r="L17" i="30"/>
  <c r="N17" i="30" s="1"/>
  <c r="K17" i="30"/>
  <c r="H17" i="30"/>
  <c r="L16" i="30"/>
  <c r="N16" i="30" s="1"/>
  <c r="K16" i="30"/>
  <c r="H16" i="30"/>
  <c r="L15" i="30"/>
  <c r="M15" i="30" s="1"/>
  <c r="K15" i="30"/>
  <c r="H15" i="30"/>
  <c r="L14" i="30"/>
  <c r="M14" i="30" s="1"/>
  <c r="K14" i="30"/>
  <c r="H14" i="30"/>
  <c r="N13" i="30"/>
  <c r="L13" i="30"/>
  <c r="M13" i="30" s="1"/>
  <c r="K13" i="30"/>
  <c r="H13" i="30"/>
  <c r="L12" i="30"/>
  <c r="N12" i="30" s="1"/>
  <c r="K12" i="30"/>
  <c r="H12" i="30"/>
  <c r="D53" i="30"/>
  <c r="J5" i="30"/>
  <c r="K5" i="30" s="1"/>
  <c r="H5" i="30"/>
  <c r="I5" i="30" s="1"/>
  <c r="G5" i="30"/>
  <c r="E5" i="30"/>
  <c r="K18" i="1"/>
  <c r="I18" i="1"/>
  <c r="I17" i="1"/>
  <c r="G18" i="1"/>
  <c r="E18" i="1"/>
  <c r="F18" i="1"/>
  <c r="C18" i="1"/>
  <c r="D18" i="1" s="1"/>
  <c r="B18" i="1"/>
  <c r="B17" i="1"/>
  <c r="M37" i="28"/>
  <c r="N37" i="28" s="1"/>
  <c r="L37" i="28"/>
  <c r="K37" i="28"/>
  <c r="H37" i="28"/>
  <c r="M36" i="28"/>
  <c r="N36" i="28" s="1"/>
  <c r="L36" i="28"/>
  <c r="K36" i="28"/>
  <c r="H36" i="28"/>
  <c r="N35" i="28"/>
  <c r="M35" i="28"/>
  <c r="L35" i="28"/>
  <c r="K35" i="28"/>
  <c r="H35" i="28"/>
  <c r="M34" i="28"/>
  <c r="N34" i="28" s="1"/>
  <c r="L34" i="28"/>
  <c r="K34" i="28"/>
  <c r="H34" i="28"/>
  <c r="M33" i="28"/>
  <c r="N33" i="28" s="1"/>
  <c r="L33" i="28"/>
  <c r="K33" i="28"/>
  <c r="H33" i="28"/>
  <c r="M32" i="28"/>
  <c r="N32" i="28" s="1"/>
  <c r="L32" i="28"/>
  <c r="K32" i="28"/>
  <c r="H32" i="28"/>
  <c r="N31" i="28"/>
  <c r="M31" i="28"/>
  <c r="L31" i="28"/>
  <c r="K31" i="28"/>
  <c r="H31" i="28"/>
  <c r="M30" i="28"/>
  <c r="N30" i="28" s="1"/>
  <c r="L30" i="28"/>
  <c r="K30" i="28"/>
  <c r="H30" i="28"/>
  <c r="M29" i="28"/>
  <c r="N29" i="28" s="1"/>
  <c r="L29" i="28"/>
  <c r="K29" i="28"/>
  <c r="H29" i="28"/>
  <c r="M28" i="28"/>
  <c r="N28" i="28" s="1"/>
  <c r="L28" i="28"/>
  <c r="K28" i="28"/>
  <c r="H28" i="28"/>
  <c r="N21" i="28"/>
  <c r="M21" i="28"/>
  <c r="L21" i="28"/>
  <c r="K21" i="28"/>
  <c r="H21" i="28"/>
  <c r="L20" i="28"/>
  <c r="N20" i="28" s="1"/>
  <c r="K20" i="28"/>
  <c r="H20" i="28"/>
  <c r="L19" i="28"/>
  <c r="N19" i="28" s="1"/>
  <c r="K19" i="28"/>
  <c r="H19" i="28"/>
  <c r="L18" i="28"/>
  <c r="M18" i="28" s="1"/>
  <c r="K18" i="28"/>
  <c r="H18" i="28"/>
  <c r="N17" i="28"/>
  <c r="M17" i="28"/>
  <c r="L17" i="28"/>
  <c r="K17" i="28"/>
  <c r="H17" i="28"/>
  <c r="L16" i="28"/>
  <c r="N16" i="28" s="1"/>
  <c r="K16" i="28"/>
  <c r="H16" i="28"/>
  <c r="L15" i="28"/>
  <c r="N15" i="28" s="1"/>
  <c r="K15" i="28"/>
  <c r="H15" i="28"/>
  <c r="L14" i="28"/>
  <c r="N14" i="28" s="1"/>
  <c r="K14" i="28"/>
  <c r="H14" i="28"/>
  <c r="N13" i="28"/>
  <c r="M13" i="28"/>
  <c r="L13" i="28"/>
  <c r="K13" i="28"/>
  <c r="H13" i="28"/>
  <c r="L12" i="28"/>
  <c r="N12" i="28" s="1"/>
  <c r="K12" i="28"/>
  <c r="H12" i="28"/>
  <c r="D53" i="28"/>
  <c r="J5" i="28"/>
  <c r="K5" i="28" s="1"/>
  <c r="H5" i="28"/>
  <c r="I5" i="28" s="1"/>
  <c r="G5" i="28"/>
  <c r="E5" i="28"/>
  <c r="K17" i="1"/>
  <c r="L17" i="1" s="1"/>
  <c r="G17" i="1"/>
  <c r="E17" i="1"/>
  <c r="C17" i="1"/>
  <c r="H17" i="1"/>
  <c r="D17" i="1"/>
  <c r="M37" i="27"/>
  <c r="N37" i="27" s="1"/>
  <c r="L37" i="27"/>
  <c r="K37" i="27"/>
  <c r="H37" i="27"/>
  <c r="M36" i="27"/>
  <c r="N36" i="27" s="1"/>
  <c r="L36" i="27"/>
  <c r="K36" i="27"/>
  <c r="H36" i="27"/>
  <c r="M35" i="27"/>
  <c r="N35" i="27" s="1"/>
  <c r="L35" i="27"/>
  <c r="K35" i="27"/>
  <c r="H35" i="27"/>
  <c r="M34" i="27"/>
  <c r="N34" i="27" s="1"/>
  <c r="L34" i="27"/>
  <c r="K34" i="27"/>
  <c r="H34" i="27"/>
  <c r="M33" i="27"/>
  <c r="N33" i="27" s="1"/>
  <c r="L33" i="27"/>
  <c r="K33" i="27"/>
  <c r="H33" i="27"/>
  <c r="N32" i="27"/>
  <c r="M32" i="27"/>
  <c r="L32" i="27"/>
  <c r="K32" i="27"/>
  <c r="H32" i="27"/>
  <c r="M31" i="27"/>
  <c r="N31" i="27" s="1"/>
  <c r="L31" i="27"/>
  <c r="K31" i="27"/>
  <c r="H31" i="27"/>
  <c r="M30" i="27"/>
  <c r="N30" i="27" s="1"/>
  <c r="L30" i="27"/>
  <c r="K30" i="27"/>
  <c r="H30" i="27"/>
  <c r="M29" i="27"/>
  <c r="N29" i="27" s="1"/>
  <c r="L29" i="27"/>
  <c r="K29" i="27"/>
  <c r="H29" i="27"/>
  <c r="M28" i="27"/>
  <c r="N28" i="27" s="1"/>
  <c r="L28" i="27"/>
  <c r="K28" i="27"/>
  <c r="H28" i="27"/>
  <c r="L21" i="27"/>
  <c r="N21" i="27" s="1"/>
  <c r="K21" i="27"/>
  <c r="H21" i="27"/>
  <c r="L20" i="27"/>
  <c r="N20" i="27" s="1"/>
  <c r="K20" i="27"/>
  <c r="H20" i="27"/>
  <c r="L19" i="27"/>
  <c r="N19" i="27" s="1"/>
  <c r="K19" i="27"/>
  <c r="H19" i="27"/>
  <c r="L18" i="27"/>
  <c r="N18" i="27" s="1"/>
  <c r="K18" i="27"/>
  <c r="H18" i="27"/>
  <c r="L17" i="27"/>
  <c r="N17" i="27" s="1"/>
  <c r="K17" i="27"/>
  <c r="H17" i="27"/>
  <c r="L16" i="27"/>
  <c r="N16" i="27" s="1"/>
  <c r="K16" i="27"/>
  <c r="H16" i="27"/>
  <c r="L15" i="27"/>
  <c r="N15" i="27" s="1"/>
  <c r="K15" i="27"/>
  <c r="H15" i="27"/>
  <c r="L14" i="27"/>
  <c r="N14" i="27" s="1"/>
  <c r="K14" i="27"/>
  <c r="H14" i="27"/>
  <c r="L13" i="27"/>
  <c r="N13" i="27" s="1"/>
  <c r="K13" i="27"/>
  <c r="H13" i="27"/>
  <c r="L12" i="27"/>
  <c r="N12" i="27" s="1"/>
  <c r="K12" i="27"/>
  <c r="H12" i="27"/>
  <c r="J5" i="27"/>
  <c r="K5" i="27" s="1"/>
  <c r="H5" i="27"/>
  <c r="I5" i="27" s="1"/>
  <c r="G5" i="27"/>
  <c r="E5" i="27"/>
  <c r="E16" i="1"/>
  <c r="E15" i="1"/>
  <c r="E14" i="1"/>
  <c r="E13" i="1"/>
  <c r="E12" i="1"/>
  <c r="E11" i="1"/>
  <c r="E10" i="1"/>
  <c r="E9" i="1"/>
  <c r="E8" i="1"/>
  <c r="E7" i="1"/>
  <c r="E6" i="1"/>
  <c r="E5" i="1"/>
  <c r="E4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L31" i="1" l="1"/>
  <c r="J32" i="1"/>
  <c r="L32" i="1"/>
  <c r="D31" i="1"/>
  <c r="H31" i="1"/>
  <c r="H32" i="1"/>
  <c r="D34" i="1"/>
  <c r="F34" i="1"/>
  <c r="D32" i="1"/>
  <c r="K5" i="44"/>
  <c r="M20" i="43"/>
  <c r="M16" i="42"/>
  <c r="M20" i="44"/>
  <c r="E5" i="42"/>
  <c r="E5" i="43"/>
  <c r="E5" i="44"/>
  <c r="E5" i="45"/>
  <c r="N20" i="42"/>
  <c r="D48" i="44"/>
  <c r="D46" i="42"/>
  <c r="M12" i="43"/>
  <c r="M12" i="44"/>
  <c r="N16" i="43"/>
  <c r="N16" i="44"/>
  <c r="D52" i="43"/>
  <c r="D47" i="42"/>
  <c r="M20" i="45"/>
  <c r="D49" i="43"/>
  <c r="N17" i="43"/>
  <c r="D53" i="44"/>
  <c r="D53" i="45"/>
  <c r="M14" i="42"/>
  <c r="M18" i="44"/>
  <c r="N18" i="42"/>
  <c r="N14" i="43"/>
  <c r="N18" i="43"/>
  <c r="N14" i="44"/>
  <c r="N14" i="45"/>
  <c r="N18" i="45"/>
  <c r="D47" i="44"/>
  <c r="M13" i="44"/>
  <c r="M21" i="43"/>
  <c r="M21" i="44"/>
  <c r="D47" i="43"/>
  <c r="D47" i="45"/>
  <c r="N12" i="42"/>
  <c r="D51" i="42"/>
  <c r="M13" i="42"/>
  <c r="M17" i="42"/>
  <c r="M21" i="42"/>
  <c r="D52" i="42"/>
  <c r="M13" i="43"/>
  <c r="M17" i="44"/>
  <c r="D53" i="42"/>
  <c r="D53" i="43"/>
  <c r="M5" i="42"/>
  <c r="M5" i="43"/>
  <c r="M5" i="44"/>
  <c r="M5" i="45"/>
  <c r="D44" i="42"/>
  <c r="D44" i="43"/>
  <c r="D44" i="44"/>
  <c r="D44" i="45"/>
  <c r="D45" i="42"/>
  <c r="D45" i="43"/>
  <c r="D45" i="44"/>
  <c r="D45" i="45"/>
  <c r="D46" i="44"/>
  <c r="D49" i="42"/>
  <c r="D49" i="44"/>
  <c r="D49" i="45"/>
  <c r="D50" i="42"/>
  <c r="D50" i="43"/>
  <c r="D50" i="44"/>
  <c r="D50" i="45"/>
  <c r="D51" i="43"/>
  <c r="D51" i="44"/>
  <c r="D51" i="45"/>
  <c r="D52" i="45"/>
  <c r="J29" i="1"/>
  <c r="H29" i="1"/>
  <c r="L29" i="1"/>
  <c r="H30" i="1"/>
  <c r="F30" i="1"/>
  <c r="M14" i="40"/>
  <c r="M18" i="40"/>
  <c r="M15" i="40"/>
  <c r="M5" i="41"/>
  <c r="D44" i="40"/>
  <c r="D44" i="41"/>
  <c r="D45" i="40"/>
  <c r="D45" i="41"/>
  <c r="M5" i="40"/>
  <c r="N19" i="40"/>
  <c r="N15" i="41"/>
  <c r="N19" i="41"/>
  <c r="D46" i="40"/>
  <c r="D46" i="41"/>
  <c r="D47" i="40"/>
  <c r="D47" i="41"/>
  <c r="D48" i="40"/>
  <c r="D48" i="41"/>
  <c r="D50" i="40"/>
  <c r="D50" i="41"/>
  <c r="D49" i="40"/>
  <c r="D51" i="40"/>
  <c r="D51" i="41"/>
  <c r="D49" i="41"/>
  <c r="D52" i="40"/>
  <c r="D52" i="41"/>
  <c r="L28" i="1"/>
  <c r="M19" i="39"/>
  <c r="M5" i="39"/>
  <c r="M12" i="39"/>
  <c r="M16" i="39"/>
  <c r="M20" i="39"/>
  <c r="D47" i="39"/>
  <c r="N18" i="39"/>
  <c r="M15" i="39"/>
  <c r="N14" i="39"/>
  <c r="D48" i="39"/>
  <c r="D49" i="39"/>
  <c r="D50" i="39"/>
  <c r="D51" i="39"/>
  <c r="D44" i="39"/>
  <c r="M13" i="39"/>
  <c r="M17" i="39"/>
  <c r="M21" i="39"/>
  <c r="D52" i="39"/>
  <c r="D45" i="39"/>
  <c r="D46" i="39"/>
  <c r="D27" i="1"/>
  <c r="F27" i="1"/>
  <c r="M15" i="38"/>
  <c r="M19" i="38"/>
  <c r="N14" i="38"/>
  <c r="D48" i="38"/>
  <c r="D51" i="38"/>
  <c r="M18" i="38"/>
  <c r="M5" i="38"/>
  <c r="D44" i="38"/>
  <c r="D45" i="38"/>
  <c r="D46" i="38"/>
  <c r="M12" i="38"/>
  <c r="M16" i="38"/>
  <c r="M20" i="38"/>
  <c r="D47" i="38"/>
  <c r="D49" i="38"/>
  <c r="D50" i="38"/>
  <c r="D52" i="38"/>
  <c r="J26" i="1"/>
  <c r="J25" i="1"/>
  <c r="L26" i="1"/>
  <c r="H25" i="1"/>
  <c r="L25" i="1"/>
  <c r="D26" i="1"/>
  <c r="F26" i="1"/>
  <c r="E5" i="36"/>
  <c r="E5" i="37"/>
  <c r="M14" i="36"/>
  <c r="M18" i="36"/>
  <c r="M14" i="37"/>
  <c r="M18" i="37"/>
  <c r="M15" i="37"/>
  <c r="M19" i="37"/>
  <c r="M5" i="36"/>
  <c r="N15" i="36"/>
  <c r="N19" i="36"/>
  <c r="M5" i="37"/>
  <c r="D44" i="36"/>
  <c r="D44" i="37"/>
  <c r="D45" i="36"/>
  <c r="D45" i="37"/>
  <c r="D46" i="36"/>
  <c r="D46" i="37"/>
  <c r="M12" i="36"/>
  <c r="M16" i="36"/>
  <c r="M20" i="36"/>
  <c r="D47" i="36"/>
  <c r="M20" i="37"/>
  <c r="M12" i="37"/>
  <c r="M16" i="37"/>
  <c r="D47" i="37"/>
  <c r="D48" i="36"/>
  <c r="D48" i="37"/>
  <c r="D49" i="36"/>
  <c r="D49" i="37"/>
  <c r="D50" i="36"/>
  <c r="D50" i="37"/>
  <c r="D51" i="36"/>
  <c r="D51" i="37"/>
  <c r="M13" i="36"/>
  <c r="M17" i="36"/>
  <c r="M21" i="36"/>
  <c r="D52" i="36"/>
  <c r="M13" i="37"/>
  <c r="M17" i="37"/>
  <c r="M21" i="37"/>
  <c r="D52" i="37"/>
  <c r="G23" i="1"/>
  <c r="H23" i="1" s="1"/>
  <c r="I23" i="1"/>
  <c r="J23" i="1"/>
  <c r="J22" i="1"/>
  <c r="F24" i="1"/>
  <c r="D22" i="1"/>
  <c r="D24" i="1"/>
  <c r="I5" i="33"/>
  <c r="D53" i="35"/>
  <c r="M14" i="35"/>
  <c r="M15" i="35"/>
  <c r="D44" i="35"/>
  <c r="D45" i="35"/>
  <c r="M18" i="35"/>
  <c r="M19" i="35"/>
  <c r="D46" i="35"/>
  <c r="D51" i="35"/>
  <c r="M5" i="35"/>
  <c r="M12" i="35"/>
  <c r="M16" i="35"/>
  <c r="M20" i="35"/>
  <c r="D47" i="35"/>
  <c r="D48" i="35"/>
  <c r="D49" i="35"/>
  <c r="D50" i="35"/>
  <c r="M14" i="33"/>
  <c r="M18" i="33"/>
  <c r="M15" i="33"/>
  <c r="M19" i="33"/>
  <c r="M15" i="34"/>
  <c r="D46" i="34"/>
  <c r="M12" i="33"/>
  <c r="M16" i="33"/>
  <c r="M20" i="33"/>
  <c r="D47" i="33"/>
  <c r="M12" i="34"/>
  <c r="M16" i="34"/>
  <c r="M20" i="34"/>
  <c r="D47" i="34"/>
  <c r="D48" i="33"/>
  <c r="D48" i="34"/>
  <c r="N14" i="34"/>
  <c r="M19" i="34"/>
  <c r="D45" i="33"/>
  <c r="D45" i="34"/>
  <c r="D49" i="34"/>
  <c r="D50" i="33"/>
  <c r="D50" i="34"/>
  <c r="D46" i="33"/>
  <c r="D51" i="33"/>
  <c r="D51" i="34"/>
  <c r="M18" i="34"/>
  <c r="M5" i="33"/>
  <c r="D44" i="34"/>
  <c r="M13" i="33"/>
  <c r="M17" i="33"/>
  <c r="M21" i="33"/>
  <c r="D52" i="33"/>
  <c r="M13" i="34"/>
  <c r="M17" i="34"/>
  <c r="M21" i="34"/>
  <c r="D52" i="34"/>
  <c r="M5" i="34"/>
  <c r="D44" i="33"/>
  <c r="D49" i="33"/>
  <c r="J20" i="1"/>
  <c r="F20" i="1"/>
  <c r="H21" i="1"/>
  <c r="L21" i="1"/>
  <c r="H20" i="1"/>
  <c r="L20" i="1"/>
  <c r="D20" i="1"/>
  <c r="M14" i="31"/>
  <c r="M14" i="32"/>
  <c r="M19" i="31"/>
  <c r="D46" i="32"/>
  <c r="D48" i="32"/>
  <c r="M15" i="32"/>
  <c r="M19" i="32"/>
  <c r="M5" i="31"/>
  <c r="N15" i="31"/>
  <c r="M5" i="32"/>
  <c r="D46" i="31"/>
  <c r="M12" i="31"/>
  <c r="M20" i="31"/>
  <c r="M12" i="32"/>
  <c r="M16" i="32"/>
  <c r="M20" i="32"/>
  <c r="D48" i="31"/>
  <c r="D49" i="31"/>
  <c r="D49" i="32"/>
  <c r="D50" i="31"/>
  <c r="D50" i="32"/>
  <c r="D51" i="31"/>
  <c r="D51" i="32"/>
  <c r="M13" i="31"/>
  <c r="M17" i="31"/>
  <c r="M21" i="31"/>
  <c r="D52" i="31"/>
  <c r="M13" i="32"/>
  <c r="M17" i="32"/>
  <c r="M21" i="32"/>
  <c r="D52" i="32"/>
  <c r="M18" i="31"/>
  <c r="M18" i="32"/>
  <c r="D44" i="31"/>
  <c r="D44" i="32"/>
  <c r="D45" i="31"/>
  <c r="D45" i="32"/>
  <c r="M16" i="31"/>
  <c r="D47" i="31"/>
  <c r="D47" i="32"/>
  <c r="J19" i="1"/>
  <c r="H19" i="1"/>
  <c r="L19" i="1"/>
  <c r="F19" i="1"/>
  <c r="M5" i="30"/>
  <c r="D46" i="30"/>
  <c r="M12" i="30"/>
  <c r="M16" i="30"/>
  <c r="M20" i="30"/>
  <c r="D47" i="30"/>
  <c r="D48" i="30"/>
  <c r="N14" i="30"/>
  <c r="N18" i="30"/>
  <c r="M19" i="30"/>
  <c r="N15" i="30"/>
  <c r="D44" i="30"/>
  <c r="D45" i="30"/>
  <c r="D49" i="30"/>
  <c r="D50" i="30"/>
  <c r="D51" i="30"/>
  <c r="M17" i="30"/>
  <c r="M21" i="30"/>
  <c r="D52" i="30"/>
  <c r="J18" i="1"/>
  <c r="H18" i="1"/>
  <c r="L18" i="1"/>
  <c r="M15" i="28"/>
  <c r="M19" i="28"/>
  <c r="M5" i="28"/>
  <c r="D44" i="28"/>
  <c r="D45" i="28"/>
  <c r="D46" i="28"/>
  <c r="M12" i="28"/>
  <c r="M16" i="28"/>
  <c r="M20" i="28"/>
  <c r="D47" i="28"/>
  <c r="D48" i="28"/>
  <c r="D49" i="28"/>
  <c r="D50" i="28"/>
  <c r="D51" i="28"/>
  <c r="M14" i="28"/>
  <c r="N18" i="28"/>
  <c r="D52" i="28"/>
  <c r="F17" i="1"/>
  <c r="D53" i="27"/>
  <c r="J17" i="1"/>
  <c r="M14" i="27"/>
  <c r="M18" i="27"/>
  <c r="D52" i="27"/>
  <c r="M15" i="27"/>
  <c r="M19" i="27"/>
  <c r="M5" i="27"/>
  <c r="D44" i="27"/>
  <c r="D45" i="27"/>
  <c r="D46" i="27"/>
  <c r="M12" i="27"/>
  <c r="M16" i="27"/>
  <c r="M20" i="27"/>
  <c r="D47" i="27"/>
  <c r="D48" i="27"/>
  <c r="D49" i="27"/>
  <c r="D50" i="27"/>
  <c r="D51" i="27"/>
  <c r="M13" i="27"/>
  <c r="M17" i="27"/>
  <c r="M21" i="27"/>
  <c r="K16" i="1"/>
  <c r="I16" i="1"/>
  <c r="G16" i="1"/>
  <c r="B16" i="1" l="1"/>
  <c r="L16" i="1"/>
  <c r="J16" i="1"/>
  <c r="H16" i="1"/>
  <c r="M37" i="26"/>
  <c r="N37" i="26" s="1"/>
  <c r="L37" i="26"/>
  <c r="K37" i="26"/>
  <c r="H37" i="26"/>
  <c r="M36" i="26"/>
  <c r="N36" i="26" s="1"/>
  <c r="L36" i="26"/>
  <c r="K36" i="26"/>
  <c r="H36" i="26"/>
  <c r="M35" i="26"/>
  <c r="N35" i="26" s="1"/>
  <c r="L35" i="26"/>
  <c r="K35" i="26"/>
  <c r="H35" i="26"/>
  <c r="M34" i="26"/>
  <c r="N34" i="26" s="1"/>
  <c r="L34" i="26"/>
  <c r="K34" i="26"/>
  <c r="H34" i="26"/>
  <c r="M33" i="26"/>
  <c r="N33" i="26" s="1"/>
  <c r="L33" i="26"/>
  <c r="K33" i="26"/>
  <c r="H33" i="26"/>
  <c r="M32" i="26"/>
  <c r="N32" i="26" s="1"/>
  <c r="L32" i="26"/>
  <c r="K32" i="26"/>
  <c r="H32" i="26"/>
  <c r="M31" i="26"/>
  <c r="N31" i="26" s="1"/>
  <c r="L31" i="26"/>
  <c r="K31" i="26"/>
  <c r="H31" i="26"/>
  <c r="M30" i="26"/>
  <c r="N30" i="26" s="1"/>
  <c r="L30" i="26"/>
  <c r="K30" i="26"/>
  <c r="H30" i="26"/>
  <c r="M29" i="26"/>
  <c r="N29" i="26" s="1"/>
  <c r="L29" i="26"/>
  <c r="K29" i="26"/>
  <c r="H29" i="26"/>
  <c r="M28" i="26"/>
  <c r="N28" i="26" s="1"/>
  <c r="L28" i="26"/>
  <c r="K28" i="26"/>
  <c r="H28" i="26"/>
  <c r="L21" i="26"/>
  <c r="M21" i="26" s="1"/>
  <c r="K21" i="26"/>
  <c r="H21" i="26"/>
  <c r="L20" i="26"/>
  <c r="N20" i="26" s="1"/>
  <c r="K20" i="26"/>
  <c r="H20" i="26"/>
  <c r="L19" i="26"/>
  <c r="N19" i="26" s="1"/>
  <c r="K19" i="26"/>
  <c r="H19" i="26"/>
  <c r="L18" i="26"/>
  <c r="N18" i="26" s="1"/>
  <c r="K18" i="26"/>
  <c r="H18" i="26"/>
  <c r="L17" i="26"/>
  <c r="N17" i="26" s="1"/>
  <c r="K17" i="26"/>
  <c r="H17" i="26"/>
  <c r="L16" i="26"/>
  <c r="N16" i="26" s="1"/>
  <c r="K16" i="26"/>
  <c r="H16" i="26"/>
  <c r="L15" i="26"/>
  <c r="N15" i="26" s="1"/>
  <c r="K15" i="26"/>
  <c r="H15" i="26"/>
  <c r="L14" i="26"/>
  <c r="N14" i="26" s="1"/>
  <c r="K14" i="26"/>
  <c r="H14" i="26"/>
  <c r="L13" i="26"/>
  <c r="N13" i="26" s="1"/>
  <c r="K13" i="26"/>
  <c r="H13" i="26"/>
  <c r="L12" i="26"/>
  <c r="N12" i="26" s="1"/>
  <c r="K12" i="26"/>
  <c r="H12" i="26"/>
  <c r="J5" i="26"/>
  <c r="H5" i="26"/>
  <c r="K15" i="1"/>
  <c r="I15" i="1"/>
  <c r="G15" i="1"/>
  <c r="D15" i="1"/>
  <c r="B15" i="1"/>
  <c r="D16" i="1" l="1"/>
  <c r="F16" i="1"/>
  <c r="D45" i="26"/>
  <c r="E5" i="26"/>
  <c r="M12" i="26"/>
  <c r="M16" i="26"/>
  <c r="M20" i="26"/>
  <c r="M13" i="26"/>
  <c r="M17" i="26"/>
  <c r="N21" i="26"/>
  <c r="M15" i="26"/>
  <c r="M19" i="26"/>
  <c r="M14" i="26"/>
  <c r="M18" i="26"/>
  <c r="H15" i="1"/>
  <c r="L15" i="1"/>
  <c r="F15" i="1"/>
  <c r="J15" i="1"/>
  <c r="D53" i="26" l="1"/>
  <c r="D50" i="26"/>
  <c r="D52" i="26"/>
  <c r="D51" i="26"/>
  <c r="D48" i="26"/>
  <c r="D47" i="26"/>
  <c r="D46" i="26"/>
  <c r="I5" i="26"/>
  <c r="D49" i="26"/>
  <c r="D44" i="26"/>
  <c r="M5" i="26"/>
  <c r="M37" i="24"/>
  <c r="N37" i="24" s="1"/>
  <c r="L37" i="24"/>
  <c r="K37" i="24"/>
  <c r="H37" i="24"/>
  <c r="M36" i="24"/>
  <c r="N36" i="24" s="1"/>
  <c r="L36" i="24"/>
  <c r="K36" i="24"/>
  <c r="H36" i="24"/>
  <c r="M35" i="24"/>
  <c r="N35" i="24" s="1"/>
  <c r="L35" i="24"/>
  <c r="K35" i="24"/>
  <c r="H35" i="24"/>
  <c r="M34" i="24"/>
  <c r="N34" i="24" s="1"/>
  <c r="L34" i="24"/>
  <c r="K34" i="24"/>
  <c r="H34" i="24"/>
  <c r="M33" i="24"/>
  <c r="N33" i="24" s="1"/>
  <c r="L33" i="24"/>
  <c r="K33" i="24"/>
  <c r="H33" i="24"/>
  <c r="M32" i="24"/>
  <c r="N32" i="24" s="1"/>
  <c r="L32" i="24"/>
  <c r="K32" i="24"/>
  <c r="H32" i="24"/>
  <c r="M31" i="24"/>
  <c r="N31" i="24" s="1"/>
  <c r="L31" i="24"/>
  <c r="K31" i="24"/>
  <c r="H31" i="24"/>
  <c r="M30" i="24"/>
  <c r="N30" i="24" s="1"/>
  <c r="L30" i="24"/>
  <c r="K30" i="24"/>
  <c r="H30" i="24"/>
  <c r="M29" i="24"/>
  <c r="N29" i="24" s="1"/>
  <c r="L29" i="24"/>
  <c r="K29" i="24"/>
  <c r="H29" i="24"/>
  <c r="M28" i="24"/>
  <c r="N28" i="24" s="1"/>
  <c r="L28" i="24"/>
  <c r="K28" i="24"/>
  <c r="H28" i="24"/>
  <c r="L21" i="24"/>
  <c r="N21" i="24" s="1"/>
  <c r="K21" i="24"/>
  <c r="H21" i="24"/>
  <c r="L20" i="24"/>
  <c r="M20" i="24" s="1"/>
  <c r="K20" i="24"/>
  <c r="H20" i="24"/>
  <c r="L19" i="24"/>
  <c r="M19" i="24" s="1"/>
  <c r="K19" i="24"/>
  <c r="H19" i="24"/>
  <c r="L18" i="24"/>
  <c r="N18" i="24" s="1"/>
  <c r="K18" i="24"/>
  <c r="H18" i="24"/>
  <c r="L17" i="24"/>
  <c r="N17" i="24" s="1"/>
  <c r="K17" i="24"/>
  <c r="H17" i="24"/>
  <c r="L16" i="24"/>
  <c r="M16" i="24" s="1"/>
  <c r="K16" i="24"/>
  <c r="H16" i="24"/>
  <c r="L15" i="24"/>
  <c r="N15" i="24" s="1"/>
  <c r="K15" i="24"/>
  <c r="H15" i="24"/>
  <c r="L14" i="24"/>
  <c r="N14" i="24" s="1"/>
  <c r="K14" i="24"/>
  <c r="H14" i="24"/>
  <c r="L13" i="24"/>
  <c r="N13" i="24" s="1"/>
  <c r="K13" i="24"/>
  <c r="H13" i="24"/>
  <c r="L12" i="24"/>
  <c r="M12" i="24" s="1"/>
  <c r="K12" i="24"/>
  <c r="H12" i="24"/>
  <c r="J5" i="24"/>
  <c r="H5" i="24"/>
  <c r="K14" i="1"/>
  <c r="L14" i="1" s="1"/>
  <c r="I14" i="1"/>
  <c r="G14" i="1"/>
  <c r="F14" i="1"/>
  <c r="B14" i="1"/>
  <c r="M37" i="22"/>
  <c r="N37" i="22" s="1"/>
  <c r="L37" i="22"/>
  <c r="K37" i="22"/>
  <c r="H37" i="22"/>
  <c r="M36" i="22"/>
  <c r="N36" i="22" s="1"/>
  <c r="L36" i="22"/>
  <c r="K36" i="22"/>
  <c r="H36" i="22"/>
  <c r="M35" i="22"/>
  <c r="N35" i="22" s="1"/>
  <c r="L35" i="22"/>
  <c r="K35" i="22"/>
  <c r="H35" i="22"/>
  <c r="M34" i="22"/>
  <c r="N34" i="22" s="1"/>
  <c r="L34" i="22"/>
  <c r="K34" i="22"/>
  <c r="H34" i="22"/>
  <c r="M33" i="22"/>
  <c r="N33" i="22" s="1"/>
  <c r="L33" i="22"/>
  <c r="K33" i="22"/>
  <c r="H33" i="22"/>
  <c r="M32" i="22"/>
  <c r="N32" i="22" s="1"/>
  <c r="L32" i="22"/>
  <c r="K32" i="22"/>
  <c r="H32" i="22"/>
  <c r="M31" i="22"/>
  <c r="N31" i="22" s="1"/>
  <c r="L31" i="22"/>
  <c r="K31" i="22"/>
  <c r="H31" i="22"/>
  <c r="M30" i="22"/>
  <c r="N30" i="22" s="1"/>
  <c r="L30" i="22"/>
  <c r="K30" i="22"/>
  <c r="H30" i="22"/>
  <c r="M29" i="22"/>
  <c r="N29" i="22" s="1"/>
  <c r="L29" i="22"/>
  <c r="K29" i="22"/>
  <c r="H29" i="22"/>
  <c r="M28" i="22"/>
  <c r="N28" i="22" s="1"/>
  <c r="L28" i="22"/>
  <c r="K28" i="22"/>
  <c r="H28" i="22"/>
  <c r="L21" i="22"/>
  <c r="N21" i="22" s="1"/>
  <c r="K21" i="22"/>
  <c r="H21" i="22"/>
  <c r="L20" i="22"/>
  <c r="N20" i="22" s="1"/>
  <c r="K20" i="22"/>
  <c r="H20" i="22"/>
  <c r="L19" i="22"/>
  <c r="M19" i="22" s="1"/>
  <c r="K19" i="22"/>
  <c r="H19" i="22"/>
  <c r="L18" i="22"/>
  <c r="N18" i="22" s="1"/>
  <c r="K18" i="22"/>
  <c r="H18" i="22"/>
  <c r="L17" i="22"/>
  <c r="N17" i="22" s="1"/>
  <c r="K17" i="22"/>
  <c r="H17" i="22"/>
  <c r="L16" i="22"/>
  <c r="N16" i="22" s="1"/>
  <c r="K16" i="22"/>
  <c r="H16" i="22"/>
  <c r="L15" i="22"/>
  <c r="M15" i="22" s="1"/>
  <c r="K15" i="22"/>
  <c r="H15" i="22"/>
  <c r="L14" i="22"/>
  <c r="N14" i="22" s="1"/>
  <c r="K14" i="22"/>
  <c r="H14" i="22"/>
  <c r="L13" i="22"/>
  <c r="N13" i="22" s="1"/>
  <c r="K13" i="22"/>
  <c r="H13" i="22"/>
  <c r="L12" i="22"/>
  <c r="N12" i="22" s="1"/>
  <c r="K12" i="22"/>
  <c r="H12" i="22"/>
  <c r="J5" i="22"/>
  <c r="H5" i="22"/>
  <c r="K13" i="1"/>
  <c r="L13" i="1" s="1"/>
  <c r="I13" i="1"/>
  <c r="G13" i="1"/>
  <c r="H13" i="1" s="1"/>
  <c r="B13" i="1"/>
  <c r="G5" i="26" l="1"/>
  <c r="K5" i="26"/>
  <c r="D53" i="24"/>
  <c r="E5" i="24"/>
  <c r="N19" i="24"/>
  <c r="M15" i="24"/>
  <c r="N20" i="24"/>
  <c r="N16" i="24"/>
  <c r="N12" i="24"/>
  <c r="M14" i="24"/>
  <c r="M18" i="24"/>
  <c r="M13" i="24"/>
  <c r="M17" i="24"/>
  <c r="M21" i="24"/>
  <c r="J14" i="1"/>
  <c r="H14" i="1"/>
  <c r="D14" i="1"/>
  <c r="E5" i="22"/>
  <c r="D53" i="22"/>
  <c r="N19" i="22"/>
  <c r="M13" i="22"/>
  <c r="M12" i="22"/>
  <c r="M16" i="22"/>
  <c r="M20" i="22"/>
  <c r="M17" i="22"/>
  <c r="M21" i="22"/>
  <c r="M14" i="22"/>
  <c r="M18" i="22"/>
  <c r="N15" i="22"/>
  <c r="J13" i="1"/>
  <c r="D13" i="1"/>
  <c r="F13" i="1"/>
  <c r="I5" i="24" l="1"/>
  <c r="M5" i="24"/>
  <c r="D52" i="24"/>
  <c r="D49" i="24"/>
  <c r="D48" i="24"/>
  <c r="D46" i="24"/>
  <c r="D45" i="24"/>
  <c r="D51" i="24"/>
  <c r="D50" i="24"/>
  <c r="D47" i="24"/>
  <c r="D44" i="24"/>
  <c r="D51" i="22"/>
  <c r="M5" i="22"/>
  <c r="D44" i="22"/>
  <c r="I5" i="22"/>
  <c r="D46" i="22"/>
  <c r="D47" i="22"/>
  <c r="D50" i="22"/>
  <c r="D52" i="22"/>
  <c r="D49" i="22"/>
  <c r="D48" i="22"/>
  <c r="D45" i="22"/>
  <c r="G5" i="24" l="1"/>
  <c r="K5" i="24"/>
  <c r="G5" i="22"/>
  <c r="K5" i="22"/>
  <c r="M37" i="20" l="1"/>
  <c r="N37" i="20" s="1"/>
  <c r="L37" i="20"/>
  <c r="K37" i="20"/>
  <c r="H37" i="20"/>
  <c r="M36" i="20"/>
  <c r="N36" i="20" s="1"/>
  <c r="L36" i="20"/>
  <c r="K36" i="20"/>
  <c r="H36" i="20"/>
  <c r="M35" i="20"/>
  <c r="N35" i="20" s="1"/>
  <c r="L35" i="20"/>
  <c r="K35" i="20"/>
  <c r="H35" i="20"/>
  <c r="M34" i="20"/>
  <c r="N34" i="20" s="1"/>
  <c r="L34" i="20"/>
  <c r="K34" i="20"/>
  <c r="H34" i="20"/>
  <c r="M33" i="20"/>
  <c r="N33" i="20" s="1"/>
  <c r="L33" i="20"/>
  <c r="K33" i="20"/>
  <c r="H33" i="20"/>
  <c r="M32" i="20"/>
  <c r="N32" i="20" s="1"/>
  <c r="L32" i="20"/>
  <c r="K32" i="20"/>
  <c r="H32" i="20"/>
  <c r="M31" i="20"/>
  <c r="N31" i="20" s="1"/>
  <c r="L31" i="20"/>
  <c r="K31" i="20"/>
  <c r="H31" i="20"/>
  <c r="M30" i="20"/>
  <c r="N30" i="20" s="1"/>
  <c r="L30" i="20"/>
  <c r="K30" i="20"/>
  <c r="H30" i="20"/>
  <c r="M29" i="20"/>
  <c r="N29" i="20" s="1"/>
  <c r="L29" i="20"/>
  <c r="K29" i="20"/>
  <c r="H29" i="20"/>
  <c r="M28" i="20"/>
  <c r="N28" i="20" s="1"/>
  <c r="L28" i="20"/>
  <c r="K28" i="20"/>
  <c r="H28" i="20"/>
  <c r="L21" i="20"/>
  <c r="N21" i="20" s="1"/>
  <c r="K21" i="20"/>
  <c r="H21" i="20"/>
  <c r="L20" i="20"/>
  <c r="N20" i="20" s="1"/>
  <c r="K20" i="20"/>
  <c r="H20" i="20"/>
  <c r="L19" i="20"/>
  <c r="N19" i="20" s="1"/>
  <c r="K19" i="20"/>
  <c r="H19" i="20"/>
  <c r="L18" i="20"/>
  <c r="N18" i="20" s="1"/>
  <c r="K18" i="20"/>
  <c r="H18" i="20"/>
  <c r="L17" i="20"/>
  <c r="N17" i="20" s="1"/>
  <c r="K17" i="20"/>
  <c r="H17" i="20"/>
  <c r="L16" i="20"/>
  <c r="N16" i="20" s="1"/>
  <c r="K16" i="20"/>
  <c r="H16" i="20"/>
  <c r="L15" i="20"/>
  <c r="M15" i="20" s="1"/>
  <c r="K15" i="20"/>
  <c r="H15" i="20"/>
  <c r="L14" i="20"/>
  <c r="N14" i="20" s="1"/>
  <c r="K14" i="20"/>
  <c r="H14" i="20"/>
  <c r="L13" i="20"/>
  <c r="N13" i="20" s="1"/>
  <c r="K13" i="20"/>
  <c r="H13" i="20"/>
  <c r="L12" i="20"/>
  <c r="N12" i="20" s="1"/>
  <c r="K12" i="20"/>
  <c r="H12" i="20"/>
  <c r="J5" i="20"/>
  <c r="H5" i="20"/>
  <c r="N15" i="20" l="1"/>
  <c r="M19" i="20"/>
  <c r="E5" i="20"/>
  <c r="D53" i="20"/>
  <c r="M12" i="20"/>
  <c r="M16" i="20"/>
  <c r="M20" i="20"/>
  <c r="M13" i="20"/>
  <c r="M17" i="20"/>
  <c r="M21" i="20"/>
  <c r="M14" i="20"/>
  <c r="M18" i="20"/>
  <c r="K12" i="1"/>
  <c r="I12" i="1"/>
  <c r="G12" i="1"/>
  <c r="B12" i="1"/>
  <c r="M37" i="18"/>
  <c r="N37" i="18" s="1"/>
  <c r="L37" i="18"/>
  <c r="K37" i="18"/>
  <c r="H37" i="18"/>
  <c r="M36" i="18"/>
  <c r="N36" i="18" s="1"/>
  <c r="L36" i="18"/>
  <c r="K36" i="18"/>
  <c r="H36" i="18"/>
  <c r="M35" i="18"/>
  <c r="N35" i="18" s="1"/>
  <c r="L35" i="18"/>
  <c r="K35" i="18"/>
  <c r="H35" i="18"/>
  <c r="M34" i="18"/>
  <c r="N34" i="18" s="1"/>
  <c r="L34" i="18"/>
  <c r="K34" i="18"/>
  <c r="H34" i="18"/>
  <c r="M33" i="18"/>
  <c r="N33" i="18" s="1"/>
  <c r="L33" i="18"/>
  <c r="K33" i="18"/>
  <c r="H33" i="18"/>
  <c r="M32" i="18"/>
  <c r="N32" i="18" s="1"/>
  <c r="L32" i="18"/>
  <c r="K32" i="18"/>
  <c r="H32" i="18"/>
  <c r="M31" i="18"/>
  <c r="N31" i="18" s="1"/>
  <c r="L31" i="18"/>
  <c r="K31" i="18"/>
  <c r="H31" i="18"/>
  <c r="M30" i="18"/>
  <c r="N30" i="18" s="1"/>
  <c r="L30" i="18"/>
  <c r="K30" i="18"/>
  <c r="H30" i="18"/>
  <c r="M29" i="18"/>
  <c r="N29" i="18" s="1"/>
  <c r="L29" i="18"/>
  <c r="K29" i="18"/>
  <c r="H29" i="18"/>
  <c r="M28" i="18"/>
  <c r="N28" i="18" s="1"/>
  <c r="L28" i="18"/>
  <c r="K28" i="18"/>
  <c r="H28" i="18"/>
  <c r="L21" i="18"/>
  <c r="N21" i="18" s="1"/>
  <c r="K21" i="18"/>
  <c r="H21" i="18"/>
  <c r="L20" i="18"/>
  <c r="N20" i="18" s="1"/>
  <c r="K20" i="18"/>
  <c r="H20" i="18"/>
  <c r="L19" i="18"/>
  <c r="N19" i="18" s="1"/>
  <c r="K19" i="18"/>
  <c r="H19" i="18"/>
  <c r="L18" i="18"/>
  <c r="M18" i="18" s="1"/>
  <c r="K18" i="18"/>
  <c r="H18" i="18"/>
  <c r="L17" i="18"/>
  <c r="M17" i="18" s="1"/>
  <c r="K17" i="18"/>
  <c r="H17" i="18"/>
  <c r="L16" i="18"/>
  <c r="N16" i="18" s="1"/>
  <c r="K16" i="18"/>
  <c r="H16" i="18"/>
  <c r="L15" i="18"/>
  <c r="N15" i="18" s="1"/>
  <c r="K15" i="18"/>
  <c r="H15" i="18"/>
  <c r="L14" i="18"/>
  <c r="M14" i="18" s="1"/>
  <c r="K14" i="18"/>
  <c r="H14" i="18"/>
  <c r="L13" i="18"/>
  <c r="N13" i="18" s="1"/>
  <c r="K13" i="18"/>
  <c r="H13" i="18"/>
  <c r="L12" i="18"/>
  <c r="N12" i="18" s="1"/>
  <c r="K12" i="18"/>
  <c r="H12" i="18"/>
  <c r="J5" i="18"/>
  <c r="H5" i="18"/>
  <c r="D49" i="20" l="1"/>
  <c r="D47" i="20"/>
  <c r="D52" i="20"/>
  <c r="D51" i="20"/>
  <c r="D50" i="20"/>
  <c r="D46" i="20"/>
  <c r="D45" i="20"/>
  <c r="D44" i="20"/>
  <c r="D48" i="20"/>
  <c r="M5" i="20"/>
  <c r="I5" i="20"/>
  <c r="H12" i="1"/>
  <c r="J12" i="1"/>
  <c r="L12" i="1"/>
  <c r="F12" i="1"/>
  <c r="D12" i="1"/>
  <c r="E5" i="18"/>
  <c r="D48" i="18"/>
  <c r="M13" i="18"/>
  <c r="N17" i="18"/>
  <c r="M21" i="18"/>
  <c r="N14" i="18"/>
  <c r="N18" i="18"/>
  <c r="M15" i="18"/>
  <c r="M19" i="18"/>
  <c r="M12" i="18"/>
  <c r="M16" i="18"/>
  <c r="M20" i="18"/>
  <c r="I11" i="1"/>
  <c r="G11" i="1"/>
  <c r="B11" i="1"/>
  <c r="M37" i="16"/>
  <c r="N37" i="16" s="1"/>
  <c r="L37" i="16"/>
  <c r="K37" i="16"/>
  <c r="H37" i="16"/>
  <c r="M36" i="16"/>
  <c r="N36" i="16" s="1"/>
  <c r="L36" i="16"/>
  <c r="K36" i="16"/>
  <c r="H36" i="16"/>
  <c r="M35" i="16"/>
  <c r="N35" i="16" s="1"/>
  <c r="L35" i="16"/>
  <c r="K35" i="16"/>
  <c r="H35" i="16"/>
  <c r="M34" i="16"/>
  <c r="N34" i="16" s="1"/>
  <c r="L34" i="16"/>
  <c r="K34" i="16"/>
  <c r="H34" i="16"/>
  <c r="M33" i="16"/>
  <c r="N33" i="16" s="1"/>
  <c r="L33" i="16"/>
  <c r="K33" i="16"/>
  <c r="H33" i="16"/>
  <c r="M32" i="16"/>
  <c r="N32" i="16" s="1"/>
  <c r="L32" i="16"/>
  <c r="K32" i="16"/>
  <c r="H32" i="16"/>
  <c r="M31" i="16"/>
  <c r="N31" i="16" s="1"/>
  <c r="L31" i="16"/>
  <c r="K31" i="16"/>
  <c r="H31" i="16"/>
  <c r="M30" i="16"/>
  <c r="N30" i="16" s="1"/>
  <c r="L30" i="16"/>
  <c r="K30" i="16"/>
  <c r="H30" i="16"/>
  <c r="M29" i="16"/>
  <c r="N29" i="16" s="1"/>
  <c r="L29" i="16"/>
  <c r="K29" i="16"/>
  <c r="H29" i="16"/>
  <c r="M28" i="16"/>
  <c r="N28" i="16" s="1"/>
  <c r="L28" i="16"/>
  <c r="K28" i="16"/>
  <c r="H28" i="16"/>
  <c r="L21" i="16"/>
  <c r="N21" i="16" s="1"/>
  <c r="K21" i="16"/>
  <c r="H21" i="16"/>
  <c r="L20" i="16"/>
  <c r="N20" i="16" s="1"/>
  <c r="K20" i="16"/>
  <c r="H20" i="16"/>
  <c r="L19" i="16"/>
  <c r="N19" i="16" s="1"/>
  <c r="K19" i="16"/>
  <c r="H19" i="16"/>
  <c r="L18" i="16"/>
  <c r="M18" i="16" s="1"/>
  <c r="K18" i="16"/>
  <c r="H18" i="16"/>
  <c r="L17" i="16"/>
  <c r="N17" i="16" s="1"/>
  <c r="K17" i="16"/>
  <c r="H17" i="16"/>
  <c r="L16" i="16"/>
  <c r="N16" i="16" s="1"/>
  <c r="K16" i="16"/>
  <c r="H16" i="16"/>
  <c r="L15" i="16"/>
  <c r="N15" i="16" s="1"/>
  <c r="K15" i="16"/>
  <c r="H15" i="16"/>
  <c r="L14" i="16"/>
  <c r="N14" i="16" s="1"/>
  <c r="K14" i="16"/>
  <c r="H14" i="16"/>
  <c r="L13" i="16"/>
  <c r="N13" i="16" s="1"/>
  <c r="K13" i="16"/>
  <c r="H13" i="16"/>
  <c r="L12" i="16"/>
  <c r="M12" i="16" s="1"/>
  <c r="K12" i="16"/>
  <c r="H12" i="16"/>
  <c r="J5" i="16"/>
  <c r="H5" i="16"/>
  <c r="G5" i="20" l="1"/>
  <c r="D11" i="1"/>
  <c r="D50" i="18"/>
  <c r="D52" i="18"/>
  <c r="D53" i="18"/>
  <c r="D47" i="18"/>
  <c r="M5" i="18"/>
  <c r="D49" i="18"/>
  <c r="D45" i="18"/>
  <c r="D51" i="18"/>
  <c r="D46" i="18"/>
  <c r="D44" i="18"/>
  <c r="I5" i="18"/>
  <c r="H11" i="1"/>
  <c r="E5" i="16"/>
  <c r="F11" i="1"/>
  <c r="N18" i="16"/>
  <c r="M14" i="16"/>
  <c r="M15" i="16"/>
  <c r="M19" i="16"/>
  <c r="M20" i="16"/>
  <c r="N12" i="16"/>
  <c r="M16" i="16"/>
  <c r="M13" i="16"/>
  <c r="M17" i="16"/>
  <c r="M21" i="16"/>
  <c r="K10" i="1"/>
  <c r="I10" i="1"/>
  <c r="G10" i="1"/>
  <c r="B10" i="1"/>
  <c r="K5" i="20" l="1"/>
  <c r="D51" i="16"/>
  <c r="K11" i="1"/>
  <c r="L11" i="1" s="1"/>
  <c r="G5" i="18"/>
  <c r="K5" i="18"/>
  <c r="J11" i="1"/>
  <c r="I5" i="16"/>
  <c r="M5" i="16"/>
  <c r="D52" i="16"/>
  <c r="D53" i="16"/>
  <c r="D50" i="16"/>
  <c r="D49" i="16"/>
  <c r="D48" i="16"/>
  <c r="D47" i="16"/>
  <c r="D46" i="16"/>
  <c r="D45" i="16"/>
  <c r="D44" i="16"/>
  <c r="J10" i="1"/>
  <c r="H10" i="1"/>
  <c r="D10" i="1"/>
  <c r="F10" i="1"/>
  <c r="L10" i="1"/>
  <c r="D52" i="14"/>
  <c r="M37" i="14"/>
  <c r="N37" i="14" s="1"/>
  <c r="L37" i="14"/>
  <c r="K37" i="14"/>
  <c r="H37" i="14"/>
  <c r="M36" i="14"/>
  <c r="N36" i="14" s="1"/>
  <c r="L36" i="14"/>
  <c r="K36" i="14"/>
  <c r="H36" i="14"/>
  <c r="M35" i="14"/>
  <c r="N35" i="14" s="1"/>
  <c r="L35" i="14"/>
  <c r="K35" i="14"/>
  <c r="H35" i="14"/>
  <c r="M34" i="14"/>
  <c r="N34" i="14" s="1"/>
  <c r="L34" i="14"/>
  <c r="K34" i="14"/>
  <c r="H34" i="14"/>
  <c r="M33" i="14"/>
  <c r="N33" i="14" s="1"/>
  <c r="L33" i="14"/>
  <c r="K33" i="14"/>
  <c r="H33" i="14"/>
  <c r="M32" i="14"/>
  <c r="N32" i="14" s="1"/>
  <c r="L32" i="14"/>
  <c r="K32" i="14"/>
  <c r="H32" i="14"/>
  <c r="M31" i="14"/>
  <c r="N31" i="14" s="1"/>
  <c r="L31" i="14"/>
  <c r="K31" i="14"/>
  <c r="H31" i="14"/>
  <c r="M30" i="14"/>
  <c r="N30" i="14" s="1"/>
  <c r="L30" i="14"/>
  <c r="K30" i="14"/>
  <c r="H30" i="14"/>
  <c r="M29" i="14"/>
  <c r="N29" i="14" s="1"/>
  <c r="L29" i="14"/>
  <c r="K29" i="14"/>
  <c r="H29" i="14"/>
  <c r="M28" i="14"/>
  <c r="N28" i="14" s="1"/>
  <c r="L28" i="14"/>
  <c r="K28" i="14"/>
  <c r="H28" i="14"/>
  <c r="L21" i="14"/>
  <c r="M21" i="14" s="1"/>
  <c r="K21" i="14"/>
  <c r="H21" i="14"/>
  <c r="L20" i="14"/>
  <c r="N20" i="14" s="1"/>
  <c r="K20" i="14"/>
  <c r="H20" i="14"/>
  <c r="L19" i="14"/>
  <c r="N19" i="14" s="1"/>
  <c r="K19" i="14"/>
  <c r="H19" i="14"/>
  <c r="L18" i="14"/>
  <c r="N18" i="14" s="1"/>
  <c r="K18" i="14"/>
  <c r="H18" i="14"/>
  <c r="L17" i="14"/>
  <c r="M17" i="14" s="1"/>
  <c r="K17" i="14"/>
  <c r="H17" i="14"/>
  <c r="L16" i="14"/>
  <c r="N16" i="14" s="1"/>
  <c r="K16" i="14"/>
  <c r="H16" i="14"/>
  <c r="L15" i="14"/>
  <c r="N15" i="14" s="1"/>
  <c r="K15" i="14"/>
  <c r="H15" i="14"/>
  <c r="L14" i="14"/>
  <c r="N14" i="14" s="1"/>
  <c r="K14" i="14"/>
  <c r="H14" i="14"/>
  <c r="L13" i="14"/>
  <c r="M13" i="14" s="1"/>
  <c r="K13" i="14"/>
  <c r="H13" i="14"/>
  <c r="L12" i="14"/>
  <c r="N12" i="14" s="1"/>
  <c r="K12" i="14"/>
  <c r="H12" i="14"/>
  <c r="J5" i="14"/>
  <c r="H5" i="14"/>
  <c r="K9" i="1"/>
  <c r="L9" i="1" s="1"/>
  <c r="I9" i="1"/>
  <c r="G9" i="1"/>
  <c r="B9" i="1"/>
  <c r="J9" i="1"/>
  <c r="H9" i="1"/>
  <c r="F9" i="1"/>
  <c r="D9" i="1"/>
  <c r="M37" i="12"/>
  <c r="N37" i="12" s="1"/>
  <c r="L37" i="12"/>
  <c r="K37" i="12"/>
  <c r="H37" i="12"/>
  <c r="M36" i="12"/>
  <c r="N36" i="12" s="1"/>
  <c r="L36" i="12"/>
  <c r="K36" i="12"/>
  <c r="H36" i="12"/>
  <c r="M35" i="12"/>
  <c r="N35" i="12" s="1"/>
  <c r="L35" i="12"/>
  <c r="K35" i="12"/>
  <c r="H35" i="12"/>
  <c r="M34" i="12"/>
  <c r="N34" i="12" s="1"/>
  <c r="L34" i="12"/>
  <c r="K34" i="12"/>
  <c r="H34" i="12"/>
  <c r="M33" i="12"/>
  <c r="N33" i="12" s="1"/>
  <c r="L33" i="12"/>
  <c r="K33" i="12"/>
  <c r="H33" i="12"/>
  <c r="M32" i="12"/>
  <c r="N32" i="12" s="1"/>
  <c r="L32" i="12"/>
  <c r="K32" i="12"/>
  <c r="H32" i="12"/>
  <c r="M31" i="12"/>
  <c r="N31" i="12" s="1"/>
  <c r="L31" i="12"/>
  <c r="K31" i="12"/>
  <c r="H31" i="12"/>
  <c r="M30" i="12"/>
  <c r="N30" i="12" s="1"/>
  <c r="L30" i="12"/>
  <c r="K30" i="12"/>
  <c r="H30" i="12"/>
  <c r="M29" i="12"/>
  <c r="N29" i="12" s="1"/>
  <c r="L29" i="12"/>
  <c r="K29" i="12"/>
  <c r="H29" i="12"/>
  <c r="M28" i="12"/>
  <c r="N28" i="12" s="1"/>
  <c r="L28" i="12"/>
  <c r="K28" i="12"/>
  <c r="H28" i="12"/>
  <c r="L21" i="12"/>
  <c r="M21" i="12" s="1"/>
  <c r="K21" i="12"/>
  <c r="H21" i="12"/>
  <c r="L20" i="12"/>
  <c r="N20" i="12" s="1"/>
  <c r="K20" i="12"/>
  <c r="H20" i="12"/>
  <c r="L19" i="12"/>
  <c r="N19" i="12" s="1"/>
  <c r="K19" i="12"/>
  <c r="H19" i="12"/>
  <c r="L18" i="12"/>
  <c r="N18" i="12" s="1"/>
  <c r="K18" i="12"/>
  <c r="H18" i="12"/>
  <c r="L17" i="12"/>
  <c r="M17" i="12" s="1"/>
  <c r="K17" i="12"/>
  <c r="H17" i="12"/>
  <c r="L16" i="12"/>
  <c r="N16" i="12" s="1"/>
  <c r="K16" i="12"/>
  <c r="H16" i="12"/>
  <c r="L15" i="12"/>
  <c r="N15" i="12" s="1"/>
  <c r="K15" i="12"/>
  <c r="H15" i="12"/>
  <c r="L14" i="12"/>
  <c r="N14" i="12" s="1"/>
  <c r="K14" i="12"/>
  <c r="H14" i="12"/>
  <c r="L13" i="12"/>
  <c r="M13" i="12" s="1"/>
  <c r="K13" i="12"/>
  <c r="H13" i="12"/>
  <c r="L12" i="12"/>
  <c r="N12" i="12" s="1"/>
  <c r="K12" i="12"/>
  <c r="H12" i="12"/>
  <c r="J5" i="12"/>
  <c r="H5" i="12"/>
  <c r="G5" i="16" l="1"/>
  <c r="K5" i="16"/>
  <c r="N13" i="14"/>
  <c r="M20" i="14"/>
  <c r="N21" i="14"/>
  <c r="M12" i="14"/>
  <c r="M16" i="14"/>
  <c r="N17" i="14"/>
  <c r="E5" i="14"/>
  <c r="D53" i="14"/>
  <c r="M14" i="14"/>
  <c r="M18" i="14"/>
  <c r="M15" i="14"/>
  <c r="M19" i="14"/>
  <c r="D44" i="14"/>
  <c r="D45" i="14"/>
  <c r="D46" i="14"/>
  <c r="D47" i="14"/>
  <c r="D48" i="14"/>
  <c r="D49" i="14"/>
  <c r="D50" i="14"/>
  <c r="D51" i="14"/>
  <c r="E5" i="12"/>
  <c r="D52" i="12"/>
  <c r="M14" i="12"/>
  <c r="N21" i="12"/>
  <c r="N17" i="12"/>
  <c r="M18" i="12"/>
  <c r="N13" i="12"/>
  <c r="M15" i="12"/>
  <c r="M19" i="12"/>
  <c r="M12" i="12"/>
  <c r="M16" i="12"/>
  <c r="M20" i="12"/>
  <c r="I5" i="14" l="1"/>
  <c r="M5" i="14"/>
  <c r="D53" i="12"/>
  <c r="I5" i="12"/>
  <c r="D44" i="12"/>
  <c r="M5" i="12"/>
  <c r="D50" i="12"/>
  <c r="D49" i="12"/>
  <c r="D51" i="12"/>
  <c r="D48" i="12"/>
  <c r="D46" i="12"/>
  <c r="D47" i="12"/>
  <c r="D45" i="12"/>
  <c r="K8" i="1"/>
  <c r="G5" i="14" l="1"/>
  <c r="K5" i="14"/>
  <c r="G5" i="12"/>
  <c r="K5" i="12"/>
  <c r="I7" i="1"/>
  <c r="I8" i="1"/>
  <c r="G8" i="1"/>
  <c r="D8" i="1"/>
  <c r="B8" i="1"/>
  <c r="H12" i="10"/>
  <c r="H13" i="10"/>
  <c r="H14" i="10"/>
  <c r="H15" i="10"/>
  <c r="H16" i="10"/>
  <c r="H17" i="10"/>
  <c r="H18" i="10"/>
  <c r="H19" i="10"/>
  <c r="H20" i="10"/>
  <c r="H21" i="10"/>
  <c r="M37" i="10"/>
  <c r="N37" i="10" s="1"/>
  <c r="L37" i="10"/>
  <c r="K37" i="10"/>
  <c r="H37" i="10"/>
  <c r="M36" i="10"/>
  <c r="N36" i="10" s="1"/>
  <c r="L36" i="10"/>
  <c r="K36" i="10"/>
  <c r="H36" i="10"/>
  <c r="M35" i="10"/>
  <c r="N35" i="10" s="1"/>
  <c r="L35" i="10"/>
  <c r="K35" i="10"/>
  <c r="H35" i="10"/>
  <c r="M34" i="10"/>
  <c r="N34" i="10" s="1"/>
  <c r="L34" i="10"/>
  <c r="K34" i="10"/>
  <c r="H34" i="10"/>
  <c r="M33" i="10"/>
  <c r="N33" i="10" s="1"/>
  <c r="L33" i="10"/>
  <c r="K33" i="10"/>
  <c r="H33" i="10"/>
  <c r="M32" i="10"/>
  <c r="N32" i="10" s="1"/>
  <c r="L32" i="10"/>
  <c r="K32" i="10"/>
  <c r="H32" i="10"/>
  <c r="M31" i="10"/>
  <c r="N31" i="10" s="1"/>
  <c r="L31" i="10"/>
  <c r="K31" i="10"/>
  <c r="H31" i="10"/>
  <c r="M30" i="10"/>
  <c r="N30" i="10" s="1"/>
  <c r="L30" i="10"/>
  <c r="K30" i="10"/>
  <c r="H30" i="10"/>
  <c r="M29" i="10"/>
  <c r="N29" i="10" s="1"/>
  <c r="L29" i="10"/>
  <c r="K29" i="10"/>
  <c r="H29" i="10"/>
  <c r="M28" i="10"/>
  <c r="N28" i="10" s="1"/>
  <c r="L28" i="10"/>
  <c r="K28" i="10"/>
  <c r="H28" i="10"/>
  <c r="L21" i="10"/>
  <c r="N21" i="10" s="1"/>
  <c r="K21" i="10"/>
  <c r="L20" i="10"/>
  <c r="N20" i="10" s="1"/>
  <c r="K20" i="10"/>
  <c r="L19" i="10"/>
  <c r="N19" i="10" s="1"/>
  <c r="K19" i="10"/>
  <c r="L18" i="10"/>
  <c r="N18" i="10" s="1"/>
  <c r="K18" i="10"/>
  <c r="L17" i="10"/>
  <c r="N17" i="10" s="1"/>
  <c r="K17" i="10"/>
  <c r="L16" i="10"/>
  <c r="N16" i="10" s="1"/>
  <c r="K16" i="10"/>
  <c r="L15" i="10"/>
  <c r="N15" i="10" s="1"/>
  <c r="K15" i="10"/>
  <c r="L14" i="10"/>
  <c r="N14" i="10" s="1"/>
  <c r="K14" i="10"/>
  <c r="L13" i="10"/>
  <c r="M13" i="10" s="1"/>
  <c r="K13" i="10"/>
  <c r="L12" i="10"/>
  <c r="N12" i="10" s="1"/>
  <c r="K12" i="10"/>
  <c r="J5" i="10"/>
  <c r="H5" i="10"/>
  <c r="K7" i="1"/>
  <c r="L7" i="1" s="1"/>
  <c r="G7" i="1"/>
  <c r="B7" i="1"/>
  <c r="J8" i="1" l="1"/>
  <c r="H8" i="1"/>
  <c r="L8" i="1"/>
  <c r="F8" i="1"/>
  <c r="M19" i="10"/>
  <c r="M15" i="10"/>
  <c r="D44" i="10"/>
  <c r="E5" i="10"/>
  <c r="M16" i="10"/>
  <c r="M17" i="10"/>
  <c r="M21" i="10"/>
  <c r="N13" i="10"/>
  <c r="M14" i="10"/>
  <c r="M18" i="10"/>
  <c r="M12" i="10"/>
  <c r="M20" i="10"/>
  <c r="J7" i="1"/>
  <c r="H7" i="1"/>
  <c r="F7" i="1"/>
  <c r="D7" i="1"/>
  <c r="I5" i="10" l="1"/>
  <c r="D51" i="10"/>
  <c r="D50" i="10"/>
  <c r="D49" i="10"/>
  <c r="D48" i="10"/>
  <c r="D46" i="10"/>
  <c r="D45" i="10"/>
  <c r="D53" i="10"/>
  <c r="D52" i="10"/>
  <c r="D47" i="10"/>
  <c r="M5" i="10"/>
  <c r="M37" i="8"/>
  <c r="N37" i="8" s="1"/>
  <c r="L37" i="8"/>
  <c r="K37" i="8"/>
  <c r="H37" i="8"/>
  <c r="M36" i="8"/>
  <c r="N36" i="8" s="1"/>
  <c r="L36" i="8"/>
  <c r="K36" i="8"/>
  <c r="H36" i="8"/>
  <c r="M35" i="8"/>
  <c r="N35" i="8" s="1"/>
  <c r="L35" i="8"/>
  <c r="K35" i="8"/>
  <c r="H35" i="8"/>
  <c r="M34" i="8"/>
  <c r="N34" i="8" s="1"/>
  <c r="L34" i="8"/>
  <c r="K34" i="8"/>
  <c r="H34" i="8"/>
  <c r="M33" i="8"/>
  <c r="N33" i="8" s="1"/>
  <c r="L33" i="8"/>
  <c r="K33" i="8"/>
  <c r="H33" i="8"/>
  <c r="M32" i="8"/>
  <c r="N32" i="8" s="1"/>
  <c r="L32" i="8"/>
  <c r="K32" i="8"/>
  <c r="H32" i="8"/>
  <c r="M31" i="8"/>
  <c r="N31" i="8" s="1"/>
  <c r="L31" i="8"/>
  <c r="K31" i="8"/>
  <c r="H31" i="8"/>
  <c r="M30" i="8"/>
  <c r="N30" i="8" s="1"/>
  <c r="L30" i="8"/>
  <c r="K30" i="8"/>
  <c r="H30" i="8"/>
  <c r="M29" i="8"/>
  <c r="N29" i="8" s="1"/>
  <c r="L29" i="8"/>
  <c r="K29" i="8"/>
  <c r="H29" i="8"/>
  <c r="M28" i="8"/>
  <c r="N28" i="8" s="1"/>
  <c r="L28" i="8"/>
  <c r="K28" i="8"/>
  <c r="H28" i="8"/>
  <c r="L21" i="8"/>
  <c r="N21" i="8" s="1"/>
  <c r="K21" i="8"/>
  <c r="H21" i="8"/>
  <c r="L20" i="8"/>
  <c r="N20" i="8" s="1"/>
  <c r="K20" i="8"/>
  <c r="H20" i="8"/>
  <c r="L19" i="8"/>
  <c r="M19" i="8" s="1"/>
  <c r="K19" i="8"/>
  <c r="H19" i="8"/>
  <c r="L18" i="8"/>
  <c r="N18" i="8" s="1"/>
  <c r="K18" i="8"/>
  <c r="H18" i="8"/>
  <c r="L17" i="8"/>
  <c r="M17" i="8" s="1"/>
  <c r="K17" i="8"/>
  <c r="H17" i="8"/>
  <c r="L16" i="8"/>
  <c r="N16" i="8" s="1"/>
  <c r="K16" i="8"/>
  <c r="H16" i="8"/>
  <c r="L15" i="8"/>
  <c r="M15" i="8" s="1"/>
  <c r="K15" i="8"/>
  <c r="H15" i="8"/>
  <c r="L14" i="8"/>
  <c r="N14" i="8" s="1"/>
  <c r="K14" i="8"/>
  <c r="H14" i="8"/>
  <c r="L13" i="8"/>
  <c r="N13" i="8" s="1"/>
  <c r="K13" i="8"/>
  <c r="H13" i="8"/>
  <c r="L12" i="8"/>
  <c r="N12" i="8" s="1"/>
  <c r="K12" i="8"/>
  <c r="H12" i="8"/>
  <c r="J5" i="8"/>
  <c r="H5" i="8"/>
  <c r="G5" i="10" l="1"/>
  <c r="K5" i="10"/>
  <c r="N15" i="8"/>
  <c r="N19" i="8"/>
  <c r="M14" i="8"/>
  <c r="D51" i="8"/>
  <c r="M12" i="8"/>
  <c r="M16" i="8"/>
  <c r="M20" i="8"/>
  <c r="M18" i="8"/>
  <c r="M13" i="8"/>
  <c r="M21" i="8"/>
  <c r="N17" i="8"/>
  <c r="K6" i="1"/>
  <c r="I6" i="1"/>
  <c r="G6" i="1"/>
  <c r="B6" i="1"/>
  <c r="J6" i="1"/>
  <c r="M37" i="6"/>
  <c r="N37" i="6" s="1"/>
  <c r="L37" i="6"/>
  <c r="K37" i="6"/>
  <c r="H37" i="6"/>
  <c r="M36" i="6"/>
  <c r="N36" i="6" s="1"/>
  <c r="L36" i="6"/>
  <c r="K36" i="6"/>
  <c r="H36" i="6"/>
  <c r="M35" i="6"/>
  <c r="N35" i="6" s="1"/>
  <c r="L35" i="6"/>
  <c r="K35" i="6"/>
  <c r="H35" i="6"/>
  <c r="M34" i="6"/>
  <c r="N34" i="6" s="1"/>
  <c r="L34" i="6"/>
  <c r="K34" i="6"/>
  <c r="H34" i="6"/>
  <c r="M33" i="6"/>
  <c r="N33" i="6" s="1"/>
  <c r="L33" i="6"/>
  <c r="K33" i="6"/>
  <c r="H33" i="6"/>
  <c r="M32" i="6"/>
  <c r="N32" i="6" s="1"/>
  <c r="L32" i="6"/>
  <c r="K32" i="6"/>
  <c r="H32" i="6"/>
  <c r="M31" i="6"/>
  <c r="N31" i="6" s="1"/>
  <c r="L31" i="6"/>
  <c r="K31" i="6"/>
  <c r="H31" i="6"/>
  <c r="M30" i="6"/>
  <c r="N30" i="6" s="1"/>
  <c r="L30" i="6"/>
  <c r="K30" i="6"/>
  <c r="H30" i="6"/>
  <c r="M29" i="6"/>
  <c r="N29" i="6" s="1"/>
  <c r="L29" i="6"/>
  <c r="K29" i="6"/>
  <c r="H29" i="6"/>
  <c r="M28" i="6"/>
  <c r="N28" i="6" s="1"/>
  <c r="L28" i="6"/>
  <c r="K28" i="6"/>
  <c r="H28" i="6"/>
  <c r="L21" i="6"/>
  <c r="M21" i="6" s="1"/>
  <c r="K21" i="6"/>
  <c r="H21" i="6"/>
  <c r="L20" i="6"/>
  <c r="M20" i="6" s="1"/>
  <c r="K20" i="6"/>
  <c r="H20" i="6"/>
  <c r="L19" i="6"/>
  <c r="N19" i="6" s="1"/>
  <c r="K19" i="6"/>
  <c r="H19" i="6"/>
  <c r="L18" i="6"/>
  <c r="N18" i="6" s="1"/>
  <c r="K18" i="6"/>
  <c r="H18" i="6"/>
  <c r="L17" i="6"/>
  <c r="N17" i="6" s="1"/>
  <c r="K17" i="6"/>
  <c r="H17" i="6"/>
  <c r="L16" i="6"/>
  <c r="M16" i="6" s="1"/>
  <c r="K16" i="6"/>
  <c r="H16" i="6"/>
  <c r="L15" i="6"/>
  <c r="N15" i="6" s="1"/>
  <c r="K15" i="6"/>
  <c r="H15" i="6"/>
  <c r="L14" i="6"/>
  <c r="N14" i="6" s="1"/>
  <c r="K14" i="6"/>
  <c r="H14" i="6"/>
  <c r="L13" i="6"/>
  <c r="M13" i="6" s="1"/>
  <c r="K13" i="6"/>
  <c r="H13" i="6"/>
  <c r="L12" i="6"/>
  <c r="M12" i="6" s="1"/>
  <c r="K12" i="6"/>
  <c r="H12" i="6"/>
  <c r="J5" i="6"/>
  <c r="H5" i="6"/>
  <c r="K5" i="1"/>
  <c r="I5" i="1"/>
  <c r="G5" i="1"/>
  <c r="B5" i="1"/>
  <c r="F5" i="1"/>
  <c r="D5" i="1"/>
  <c r="M37" i="4"/>
  <c r="N37" i="4" s="1"/>
  <c r="L37" i="4"/>
  <c r="K37" i="4"/>
  <c r="H37" i="4"/>
  <c r="M36" i="4"/>
  <c r="N36" i="4" s="1"/>
  <c r="L36" i="4"/>
  <c r="K36" i="4"/>
  <c r="H36" i="4"/>
  <c r="M35" i="4"/>
  <c r="N35" i="4" s="1"/>
  <c r="L35" i="4"/>
  <c r="K35" i="4"/>
  <c r="H35" i="4"/>
  <c r="M34" i="4"/>
  <c r="N34" i="4" s="1"/>
  <c r="L34" i="4"/>
  <c r="K34" i="4"/>
  <c r="H34" i="4"/>
  <c r="M33" i="4"/>
  <c r="N33" i="4" s="1"/>
  <c r="L33" i="4"/>
  <c r="K33" i="4"/>
  <c r="H33" i="4"/>
  <c r="M32" i="4"/>
  <c r="N32" i="4" s="1"/>
  <c r="L32" i="4"/>
  <c r="K32" i="4"/>
  <c r="H32" i="4"/>
  <c r="M31" i="4"/>
  <c r="N31" i="4" s="1"/>
  <c r="L31" i="4"/>
  <c r="K31" i="4"/>
  <c r="H31" i="4"/>
  <c r="M30" i="4"/>
  <c r="N30" i="4" s="1"/>
  <c r="L30" i="4"/>
  <c r="K30" i="4"/>
  <c r="H30" i="4"/>
  <c r="M29" i="4"/>
  <c r="N29" i="4" s="1"/>
  <c r="L29" i="4"/>
  <c r="K29" i="4"/>
  <c r="H29" i="4"/>
  <c r="M28" i="4"/>
  <c r="N28" i="4" s="1"/>
  <c r="L28" i="4"/>
  <c r="K28" i="4"/>
  <c r="H28" i="4"/>
  <c r="L21" i="4"/>
  <c r="M21" i="4" s="1"/>
  <c r="K21" i="4"/>
  <c r="H21" i="4"/>
  <c r="L20" i="4"/>
  <c r="N20" i="4" s="1"/>
  <c r="K20" i="4"/>
  <c r="H20" i="4"/>
  <c r="L19" i="4"/>
  <c r="N19" i="4" s="1"/>
  <c r="K19" i="4"/>
  <c r="H19" i="4"/>
  <c r="L18" i="4"/>
  <c r="N18" i="4" s="1"/>
  <c r="K18" i="4"/>
  <c r="H18" i="4"/>
  <c r="L17" i="4"/>
  <c r="M17" i="4" s="1"/>
  <c r="K17" i="4"/>
  <c r="H17" i="4"/>
  <c r="L16" i="4"/>
  <c r="N16" i="4" s="1"/>
  <c r="K16" i="4"/>
  <c r="H16" i="4"/>
  <c r="L15" i="4"/>
  <c r="N15" i="4" s="1"/>
  <c r="K15" i="4"/>
  <c r="H15" i="4"/>
  <c r="L14" i="4"/>
  <c r="N14" i="4" s="1"/>
  <c r="K14" i="4"/>
  <c r="H14" i="4"/>
  <c r="L13" i="4"/>
  <c r="N13" i="4" s="1"/>
  <c r="K13" i="4"/>
  <c r="H13" i="4"/>
  <c r="L12" i="4"/>
  <c r="N12" i="4" s="1"/>
  <c r="K12" i="4"/>
  <c r="H12" i="4"/>
  <c r="J5" i="4"/>
  <c r="H5" i="4"/>
  <c r="F4" i="1"/>
  <c r="D4" i="1"/>
  <c r="K4" i="1"/>
  <c r="I4" i="1"/>
  <c r="G4" i="1"/>
  <c r="B4" i="1"/>
  <c r="D53" i="2"/>
  <c r="K5" i="2"/>
  <c r="I5" i="2"/>
  <c r="N37" i="2"/>
  <c r="M37" i="2"/>
  <c r="L37" i="2"/>
  <c r="K37" i="2"/>
  <c r="H37" i="2"/>
  <c r="N36" i="2"/>
  <c r="M36" i="2"/>
  <c r="L36" i="2"/>
  <c r="K36" i="2"/>
  <c r="H36" i="2"/>
  <c r="N35" i="2"/>
  <c r="M35" i="2"/>
  <c r="L35" i="2"/>
  <c r="K35" i="2"/>
  <c r="H35" i="2"/>
  <c r="N34" i="2"/>
  <c r="M34" i="2"/>
  <c r="L34" i="2"/>
  <c r="K34" i="2"/>
  <c r="H34" i="2"/>
  <c r="N33" i="2"/>
  <c r="M33" i="2"/>
  <c r="L33" i="2"/>
  <c r="K33" i="2"/>
  <c r="H33" i="2"/>
  <c r="N32" i="2"/>
  <c r="M32" i="2"/>
  <c r="L32" i="2"/>
  <c r="K32" i="2"/>
  <c r="H32" i="2"/>
  <c r="N31" i="2"/>
  <c r="M31" i="2"/>
  <c r="L31" i="2"/>
  <c r="K31" i="2"/>
  <c r="H31" i="2"/>
  <c r="N30" i="2"/>
  <c r="M30" i="2"/>
  <c r="L30" i="2"/>
  <c r="K30" i="2"/>
  <c r="H30" i="2"/>
  <c r="N29" i="2"/>
  <c r="M29" i="2"/>
  <c r="L29" i="2"/>
  <c r="K29" i="2"/>
  <c r="H29" i="2"/>
  <c r="N28" i="2"/>
  <c r="M28" i="2"/>
  <c r="L28" i="2"/>
  <c r="K28" i="2"/>
  <c r="H28" i="2"/>
  <c r="N21" i="2"/>
  <c r="M21" i="2"/>
  <c r="L21" i="2"/>
  <c r="K21" i="2"/>
  <c r="H21" i="2"/>
  <c r="N20" i="2"/>
  <c r="M20" i="2"/>
  <c r="L20" i="2"/>
  <c r="K20" i="2"/>
  <c r="H20" i="2"/>
  <c r="N19" i="2"/>
  <c r="M19" i="2"/>
  <c r="L19" i="2"/>
  <c r="K19" i="2"/>
  <c r="H19" i="2"/>
  <c r="L18" i="2"/>
  <c r="N18" i="2" s="1"/>
  <c r="K18" i="2"/>
  <c r="H18" i="2"/>
  <c r="N17" i="2"/>
  <c r="M17" i="2"/>
  <c r="L17" i="2"/>
  <c r="K17" i="2"/>
  <c r="H17" i="2"/>
  <c r="N16" i="2"/>
  <c r="L16" i="2"/>
  <c r="M16" i="2" s="1"/>
  <c r="K16" i="2"/>
  <c r="H16" i="2"/>
  <c r="N15" i="2"/>
  <c r="M15" i="2"/>
  <c r="L15" i="2"/>
  <c r="K15" i="2"/>
  <c r="H15" i="2"/>
  <c r="L14" i="2"/>
  <c r="N14" i="2" s="1"/>
  <c r="K14" i="2"/>
  <c r="H14" i="2"/>
  <c r="N13" i="2"/>
  <c r="M13" i="2"/>
  <c r="L13" i="2"/>
  <c r="K13" i="2"/>
  <c r="H13" i="2"/>
  <c r="N12" i="2"/>
  <c r="L12" i="2"/>
  <c r="M12" i="2" s="1"/>
  <c r="K12" i="2"/>
  <c r="H12" i="2"/>
  <c r="J5" i="2"/>
  <c r="H5" i="2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D46" i="8" l="1"/>
  <c r="D44" i="8"/>
  <c r="I5" i="8"/>
  <c r="E5" i="8"/>
  <c r="M5" i="8"/>
  <c r="D53" i="8"/>
  <c r="D47" i="8"/>
  <c r="D48" i="8"/>
  <c r="D52" i="8"/>
  <c r="D49" i="8"/>
  <c r="D50" i="8"/>
  <c r="D45" i="8"/>
  <c r="G5" i="8"/>
  <c r="H6" i="1"/>
  <c r="L6" i="1"/>
  <c r="D6" i="1"/>
  <c r="F6" i="1"/>
  <c r="I5" i="6"/>
  <c r="D49" i="6"/>
  <c r="N16" i="6"/>
  <c r="N12" i="6"/>
  <c r="N20" i="6"/>
  <c r="M18" i="6"/>
  <c r="M17" i="6"/>
  <c r="N21" i="6"/>
  <c r="M14" i="6"/>
  <c r="M19" i="6"/>
  <c r="N13" i="6"/>
  <c r="M15" i="6"/>
  <c r="J5" i="1"/>
  <c r="H5" i="1"/>
  <c r="L5" i="1"/>
  <c r="E5" i="4"/>
  <c r="D49" i="4"/>
  <c r="N17" i="4"/>
  <c r="N21" i="4"/>
  <c r="M19" i="4"/>
  <c r="M12" i="4"/>
  <c r="M16" i="4"/>
  <c r="M20" i="4"/>
  <c r="M13" i="4"/>
  <c r="M14" i="4"/>
  <c r="M18" i="4"/>
  <c r="M15" i="4"/>
  <c r="L4" i="1"/>
  <c r="J4" i="1"/>
  <c r="H4" i="1"/>
  <c r="E5" i="2"/>
  <c r="G5" i="2"/>
  <c r="M14" i="2"/>
  <c r="M18" i="2"/>
  <c r="M5" i="2"/>
  <c r="D44" i="2"/>
  <c r="D45" i="2"/>
  <c r="D46" i="2"/>
  <c r="D47" i="2"/>
  <c r="D48" i="2"/>
  <c r="D49" i="2"/>
  <c r="D50" i="2"/>
  <c r="D51" i="2"/>
  <c r="D52" i="2"/>
  <c r="K5" i="8" l="1"/>
  <c r="E5" i="6"/>
  <c r="D50" i="6"/>
  <c r="D48" i="6"/>
  <c r="M5" i="6"/>
  <c r="D46" i="6"/>
  <c r="D45" i="6"/>
  <c r="D51" i="6"/>
  <c r="D53" i="6"/>
  <c r="D52" i="6"/>
  <c r="D47" i="6"/>
  <c r="D44" i="6"/>
  <c r="D48" i="4"/>
  <c r="D47" i="4"/>
  <c r="D44" i="4"/>
  <c r="M5" i="4"/>
  <c r="D53" i="4"/>
  <c r="D51" i="4"/>
  <c r="D46" i="4"/>
  <c r="D45" i="4"/>
  <c r="I5" i="4"/>
  <c r="D52" i="4"/>
  <c r="D50" i="4"/>
  <c r="G5" i="6" l="1"/>
  <c r="G5" i="4"/>
  <c r="K5" i="4"/>
  <c r="K5" i="6" l="1"/>
</calcChain>
</file>

<file path=xl/sharedStrings.xml><?xml version="1.0" encoding="utf-8"?>
<sst xmlns="http://schemas.openxmlformats.org/spreadsheetml/2006/main" count="5573" uniqueCount="293">
  <si>
    <t>大溪廠半成品管理日別總表</t>
    <phoneticPr fontId="4" type="noConversion"/>
  </si>
  <si>
    <t xml:space="preserve">                                      </t>
    <phoneticPr fontId="4" type="noConversion"/>
  </si>
  <si>
    <t>半成品品項數</t>
    <phoneticPr fontId="4" type="noConversion"/>
  </si>
  <si>
    <t>日期</t>
    <phoneticPr fontId="3" type="noConversion"/>
  </si>
  <si>
    <t>營業額</t>
    <phoneticPr fontId="4" type="noConversion"/>
  </si>
  <si>
    <t>報廢額</t>
    <phoneticPr fontId="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</si>
  <si>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4" type="noConversion"/>
  </si>
  <si>
    <t>超用額</t>
    <phoneticPr fontId="3" type="noConversion"/>
  </si>
  <si>
    <t>超用率</t>
    <phoneticPr fontId="4" type="noConversion"/>
  </si>
  <si>
    <t>廢棄前10名</t>
    <phoneticPr fontId="4" type="noConversion"/>
  </si>
  <si>
    <t>超用前10名</t>
    <phoneticPr fontId="4" type="noConversion"/>
  </si>
  <si>
    <t>共用類廢棄</t>
    <phoneticPr fontId="4" type="noConversion"/>
  </si>
  <si>
    <t>金額總計</t>
    <phoneticPr fontId="4" type="noConversion"/>
  </si>
  <si>
    <t>構成比</t>
    <phoneticPr fontId="4" type="noConversion"/>
  </si>
  <si>
    <t>金額總計</t>
    <phoneticPr fontId="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</si>
  <si>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3" type="noConversion"/>
  </si>
  <si>
    <t>1.5i為調理多產 抓樣不穩2.4i製程耗損 3.1i炊飯單鍋基礎量 下飯機差異</t>
  </si>
  <si>
    <t>1.6i為調理多產 抓樣不穩2.3i製程耗損 3.1i炊飯單鍋基礎量 下飯機差異</t>
  </si>
  <si>
    <t>1.4i為調理多產 抓樣不穩2.4i製程耗損 3.1i炊飯單鍋基礎量 下飯機差異 4.1i原物料規格差異</t>
  </si>
  <si>
    <r>
      <t>1.4i為展開量105%</t>
    </r>
    <r>
      <rPr>
        <sz val="14"/>
        <color rgb="FFFF0000"/>
        <rFont val="微軟正黑體"/>
        <family val="2"/>
        <charset val="136"/>
      </rPr>
      <t xml:space="preserve">(2i為新品) </t>
    </r>
    <r>
      <rPr>
        <sz val="14"/>
        <color theme="1"/>
        <rFont val="微軟正黑體"/>
        <family val="2"/>
        <charset val="136"/>
      </rPr>
      <t>2i抓樣不穩 3.2i製程耗損 4.1i炊飯機固定批量  5.1i研發設定，小片的規格不符合指示書設定重量</t>
    </r>
    <phoneticPr fontId="3" type="noConversion"/>
  </si>
  <si>
    <r>
      <t>1.5i為展開量105%</t>
    </r>
    <r>
      <rPr>
        <sz val="14"/>
        <color rgb="FFFF0000"/>
        <rFont val="微軟正黑體"/>
        <family val="2"/>
        <charset val="136"/>
      </rPr>
      <t>(1i為新品)</t>
    </r>
    <r>
      <rPr>
        <sz val="14"/>
        <color theme="1"/>
        <rFont val="微軟正黑體"/>
        <family val="2"/>
        <charset val="136"/>
      </rPr>
      <t xml:space="preserve"> 2.2i製程耗損</t>
    </r>
    <r>
      <rPr>
        <sz val="14"/>
        <color rgb="FFFF0000"/>
        <rFont val="微軟正黑體"/>
        <family val="2"/>
        <charset val="136"/>
      </rPr>
      <t>(1i為新品)</t>
    </r>
    <r>
      <rPr>
        <sz val="14"/>
        <color theme="1"/>
        <rFont val="微軟正黑體"/>
        <family val="2"/>
        <charset val="136"/>
      </rPr>
      <t xml:space="preserve"> 3.1i抓樣不穩  4.1i炊飯機固定批量  5.1i研發設定，小片的規格不符合指示書設定</t>
    </r>
    <phoneticPr fontId="3" type="noConversion"/>
  </si>
  <si>
    <r>
      <t>1.4i為展開量105%</t>
    </r>
    <r>
      <rPr>
        <sz val="14"/>
        <color rgb="FFFF0000"/>
        <rFont val="微軟正黑體"/>
        <family val="2"/>
        <charset val="136"/>
      </rPr>
      <t xml:space="preserve">(2i為新品) </t>
    </r>
    <r>
      <rPr>
        <sz val="14"/>
        <color theme="1"/>
        <rFont val="微軟正黑體"/>
        <family val="2"/>
        <charset val="136"/>
      </rPr>
      <t>2.1i製程耗損 3.2i抓樣不穩  4.1i原物料規格，大顆比例高 5.1i研發設定，小片的規格不符合指示書設定 5.1i煮麵機固定批量</t>
    </r>
    <phoneticPr fontId="3" type="noConversion"/>
  </si>
  <si>
    <t>1.7i為抓樣不穩 2.1i製程耗損 3.1i煮麵機固定批量 4.1i研發設定，小片的規格不符合指示書設定重量</t>
  </si>
  <si>
    <t>1.3i為抓樣不穩 2.4i展開量105% 3.1i原物料規格，大顆比例高 4.1i研發設定，小片的規格不符合指示書設定重量 5.1i炊飯機固定批量</t>
  </si>
  <si>
    <t>1.4i為抓樣不穩 2.3i展開量105% 3.1i製程耗損 4.1i研發設定，小片的規格不符合指示書設定重量 5.1i炊飯機固定批量</t>
  </si>
  <si>
    <t>1.4i為抓樣不穩 2.3i展開量105% 3.2i製程耗損 4.1i研發設定，小片的規格不符合指示書設定重量</t>
  </si>
  <si>
    <t>1.2i為抓樣不穩 2.5i展開量105% 3.2i製程耗損 4.1i研發設定，小片的規格不符合指示書設定重量</t>
  </si>
  <si>
    <t>1.3i為抓樣不穩 2.4i展開量105% 3.1i研發設定，小片的規格不符合指示書設定重量 4.2i原物料規格差異</t>
  </si>
  <si>
    <t xml:space="preserve">1.4i為抓樣不穩 2.2i展開量105% 3.1i研發設定，小片的規格不符合指示書設定重量 4.1i原物料規格差異5.1i炊飯機固定批量 6.1i製程耗損 </t>
  </si>
  <si>
    <t xml:space="preserve">1.3i為抓樣不穩 2.1i展開量105% 3.1i研發設定，小片的規格不符合指示書設定重量 4.1i原物料規格差異 5.1i炊飯機固定批量 6.3i製程耗損 </t>
  </si>
  <si>
    <t>1.4i為抓樣不穩 2.1i展開量105% 3.1i研發設定，小片的規格不符合指示書設定重量 4.1i原物料規格差異 5.1i炊飯機固定批量 6.2i煮麵機固定批量</t>
  </si>
  <si>
    <t>1.1i為抓樣不穩 2.3i展開量105% 3.2i製程耗損 4.1i研發設定，小片的規格不符合指示書設定重量 5.3i原物料規格差異</t>
  </si>
  <si>
    <t xml:space="preserve">1.3i為抓樣不穩 2.3i展開量105% 3.2i製程耗損 4.1i研發設定，小片的規格不符合指示書設定重量 5.1i原物料規格差異 6.1i炊飯機固定批量 </t>
  </si>
  <si>
    <t>1.1i為抓樣不穩 2.4i展開量105% 3.1i研發設定，小片的規格不符合指示書設定重量 4.1i原物料規格差異 5.1i其他原因 6.2i製程不穩</t>
  </si>
  <si>
    <t>1.3i為抓樣不穩 2.3i展開量105% 3.1i研發設定，小片的規格不符合指示書設定重量 4.1i原物料規格差異 5.2i製程不穩</t>
  </si>
  <si>
    <t>1.3i為抓樣不穩 2.2i展開量105% 3.1i研發設定，小片的規格不符合指示書設定重量 4.1i原物料規格差異 5.3i製程不穩</t>
  </si>
  <si>
    <t>1.2i為抓樣不穩 2.4i展開量105% 3.1i研發設定，小片的規格不符合指示書設定重量 4.1i原物料規格差異 5.2i製程不穩</t>
  </si>
  <si>
    <t>1.2i為抓樣不穩 2.4i展開量105% 3.1i研發設定，小片的規格不符合指示書設定重量 4.1i原物料規格差異 5.2i其他原因</t>
  </si>
  <si>
    <t>1.1i為抓樣不穩 2.2i展開量105% 3.1i研發設定，小片的規格不符合指示書設定重量 4.2i原物料規格差異 5.1i其他原因 6.3i製程不穩</t>
  </si>
  <si>
    <t>1.1i為抓樣不穩 2.4i展開量105% 3.1i研發設定，小片的規格不符合指示書設定重量 4.1i其他原因 5.3i製程不穩</t>
    <phoneticPr fontId="3" type="noConversion"/>
  </si>
  <si>
    <t>1.3i為抓樣不穩 2.2i展開量105% 3.1i研發設定，小片的規格不符合指示書設定重量 4.1i其他原因 5.3i製程不穩</t>
    <phoneticPr fontId="3" type="noConversion"/>
  </si>
  <si>
    <t>1.2i為抓樣不穩 2.4i展開量105% 3.1i研發設定，小片的規格不符合指示書設定重量 4.3i製程不穩</t>
    <phoneticPr fontId="3" type="noConversion"/>
  </si>
  <si>
    <t>1.1i為抓樣不穩 2.3i展開量105% 3.1i研發設定，小片的規格不符合指示書設定重量 4.5i製程不穩</t>
    <phoneticPr fontId="3" type="noConversion"/>
  </si>
  <si>
    <t xml:space="preserve">1.2i為抓樣不穩 2.4i展開量105% 3.1i研發設定，小片的規格不符合指示書設定重量 4.1i製程不穩 5.2i原物料規格差異 </t>
    <phoneticPr fontId="3" type="noConversion"/>
  </si>
  <si>
    <t xml:space="preserve">1.3i為抓樣不穩 2.3i展開量105% 3.1i研發設定，小片的規格不符合指示書設定重量 4.1i製程不穩 5.2i原物料規格差異 </t>
    <phoneticPr fontId="3" type="noConversion"/>
  </si>
  <si>
    <t>※淺黃色為工廠自填項目</t>
    <phoneticPr fontId="3" type="noConversion"/>
  </si>
  <si>
    <t>※日期紅色為新品日</t>
    <phoneticPr fontId="3" type="noConversion"/>
  </si>
  <si>
    <t>原物料規格，大顆比例高</t>
    <phoneticPr fontId="3" type="noConversion"/>
  </si>
  <si>
    <t>原物料規格</t>
  </si>
  <si>
    <t>大溪廠半成品管理分析</t>
    <phoneticPr fontId="3" type="noConversion"/>
  </si>
  <si>
    <t>報廢展開</t>
    <phoneticPr fontId="3" type="noConversion"/>
  </si>
  <si>
    <t>超用展開</t>
    <phoneticPr fontId="3" type="noConversion"/>
  </si>
  <si>
    <t>總報廢</t>
    <phoneticPr fontId="4" type="noConversion"/>
  </si>
  <si>
    <t>總超用</t>
    <phoneticPr fontId="4" type="noConversion"/>
  </si>
  <si>
    <t>報廢-前10名</t>
    <phoneticPr fontId="4" type="noConversion"/>
  </si>
  <si>
    <t>超用-前10名</t>
    <phoneticPr fontId="4" type="noConversion"/>
  </si>
  <si>
    <t>共用類-總報廢</t>
    <phoneticPr fontId="4" type="noConversion"/>
  </si>
  <si>
    <t>金額</t>
    <phoneticPr fontId="4" type="noConversion"/>
  </si>
  <si>
    <t>占比(營業額)</t>
    <phoneticPr fontId="4" type="noConversion"/>
  </si>
  <si>
    <t>占比(總報廢)</t>
    <phoneticPr fontId="4" type="noConversion"/>
  </si>
  <si>
    <t>占比(總超用)</t>
    <phoneticPr fontId="4" type="noConversion"/>
  </si>
  <si>
    <t>年度KPI目標0.25%</t>
    <phoneticPr fontId="4" type="noConversion"/>
  </si>
  <si>
    <t>報廢金額前十名半成品</t>
    <phoneticPr fontId="4" type="noConversion"/>
  </si>
  <si>
    <t>明細展開</t>
    <phoneticPr fontId="4" type="noConversion"/>
  </si>
  <si>
    <t>生產資訊</t>
    <phoneticPr fontId="4" type="noConversion"/>
  </si>
  <si>
    <t>類別</t>
    <phoneticPr fontId="4" type="noConversion"/>
  </si>
  <si>
    <t>分析原因
(請填寫8大原因)</t>
    <phoneticPr fontId="4" type="noConversion"/>
  </si>
  <si>
    <t>其他原因說明</t>
    <phoneticPr fontId="4" type="noConversion"/>
  </si>
  <si>
    <t>備註-商品名稱</t>
    <phoneticPr fontId="22" type="noConversion"/>
  </si>
  <si>
    <t>排序</t>
    <phoneticPr fontId="22" type="noConversion"/>
  </si>
  <si>
    <t>半成品</t>
    <phoneticPr fontId="4" type="noConversion"/>
  </si>
  <si>
    <t>生產端</t>
    <phoneticPr fontId="4" type="noConversion"/>
  </si>
  <si>
    <t>組合端</t>
    <phoneticPr fontId="4" type="noConversion"/>
  </si>
  <si>
    <t>名稱</t>
    <phoneticPr fontId="4" type="noConversion"/>
  </si>
  <si>
    <t>報廢金額
排序</t>
    <phoneticPr fontId="4" type="noConversion"/>
  </si>
  <si>
    <t>產出量</t>
    <phoneticPr fontId="4" type="noConversion"/>
  </si>
  <si>
    <t>報廢</t>
    <phoneticPr fontId="4" type="noConversion"/>
  </si>
  <si>
    <t>超用</t>
    <phoneticPr fontId="4" type="noConversion"/>
  </si>
  <si>
    <t>訂單需求
(kg)</t>
    <phoneticPr fontId="4" type="noConversion"/>
  </si>
  <si>
    <t>實際產出
(kg)</t>
    <phoneticPr fontId="4" type="noConversion"/>
  </si>
  <si>
    <t>補單
(kg)</t>
    <phoneticPr fontId="4" type="noConversion"/>
  </si>
  <si>
    <t>單價
(元)</t>
    <phoneticPr fontId="3" type="noConversion"/>
  </si>
  <si>
    <t>實際生產
(對比訂單需求)</t>
    <phoneticPr fontId="3" type="noConversion"/>
  </si>
  <si>
    <t>差異
(元)</t>
    <phoneticPr fontId="4" type="noConversion"/>
  </si>
  <si>
    <t>kg</t>
    <phoneticPr fontId="4" type="noConversion"/>
  </si>
  <si>
    <t>占比</t>
    <phoneticPr fontId="4" type="noConversion"/>
  </si>
  <si>
    <t>金額
(元)</t>
    <phoneticPr fontId="22" type="noConversion"/>
  </si>
  <si>
    <t>炒培根片(114年)</t>
  </si>
  <si>
    <t>調理端</t>
  </si>
  <si>
    <t>抓樣不穩</t>
    <phoneticPr fontId="3" type="noConversion"/>
  </si>
  <si>
    <t>二配哞哞培根奶香海陸焗飯</t>
  </si>
  <si>
    <t>烤銀鮭魚肚</t>
  </si>
  <si>
    <t>研發設定</t>
  </si>
  <si>
    <t>研發設定，小片的規格不符合指示書設定重量</t>
  </si>
  <si>
    <t>一配贅沢鮭魚肚飯糰</t>
  </si>
  <si>
    <t>炒油蔥醬</t>
  </si>
  <si>
    <t>展開量105%</t>
    <phoneticPr fontId="3" type="noConversion"/>
  </si>
  <si>
    <t>雞肉飯飯糰</t>
  </si>
  <si>
    <t>蒸鰻魚片(主食用)</t>
  </si>
  <si>
    <t>製程不穩</t>
  </si>
  <si>
    <t>鰻牛雙饗匠食盒</t>
  </si>
  <si>
    <t>(V)川燙小青花菜</t>
  </si>
  <si>
    <t>大顆比例高</t>
  </si>
  <si>
    <t>共用類</t>
  </si>
  <si>
    <t>洋蔥壹號醬</t>
  </si>
  <si>
    <t>壹號醬炙烤牛飯糰</t>
  </si>
  <si>
    <t>消毒青蔥絲</t>
  </si>
  <si>
    <t>炒辣醬蔬菜</t>
  </si>
  <si>
    <t>二配大飯糰春川風味辣炒雞</t>
  </si>
  <si>
    <t>韓式辣炒豆芽</t>
  </si>
  <si>
    <t>蒜蒜燒豚飯</t>
  </si>
  <si>
    <t>熟化去皮馬鈴薯滾刀17-23g</t>
  </si>
  <si>
    <t>原物料規格</t>
    <phoneticPr fontId="3" type="noConversion"/>
  </si>
  <si>
    <t>嫩烤香料雞胸排蔬滿盒</t>
  </si>
  <si>
    <t>超用金額前十名半成品</t>
    <phoneticPr fontId="4" type="noConversion"/>
  </si>
  <si>
    <t>超用金額
排序</t>
    <phoneticPr fontId="4" type="noConversion"/>
  </si>
  <si>
    <t>組合室</t>
  </si>
  <si>
    <t>蒸-全熟雞肉絲CL(113年)</t>
  </si>
  <si>
    <t>抓樣不穩</t>
  </si>
  <si>
    <t>越式湯凍(114年)</t>
  </si>
  <si>
    <t>其他原因</t>
  </si>
  <si>
    <t>注餡機差異</t>
    <phoneticPr fontId="3" type="noConversion"/>
  </si>
  <si>
    <t>越式牛肉寬粉</t>
  </si>
  <si>
    <t>切-究極燒肉片</t>
  </si>
  <si>
    <t>壹號醬雞豚雙拼</t>
  </si>
  <si>
    <t>日式牛培根</t>
  </si>
  <si>
    <t>柚見極炙烤牛</t>
  </si>
  <si>
    <t>蘑菇湯凍</t>
  </si>
  <si>
    <t>二配鐵板蘑菇肉醬起司焗飯</t>
  </si>
  <si>
    <t>煮中華冷麵(110年)</t>
  </si>
  <si>
    <t>切-烤牛五花(112年)</t>
  </si>
  <si>
    <t>組合室</t>
    <phoneticPr fontId="4" type="noConversion"/>
  </si>
  <si>
    <t>雙圈秤重範圍</t>
  </si>
  <si>
    <t>糖燻野郎三十天熟成牛飯</t>
  </si>
  <si>
    <t>川燙毛豆玉米</t>
  </si>
  <si>
    <t>共用類報廢金額前十名半成品</t>
    <phoneticPr fontId="4" type="noConversion"/>
  </si>
  <si>
    <t>共用類總金額
占比</t>
    <phoneticPr fontId="4" type="noConversion"/>
  </si>
  <si>
    <t>60切-烤豆腐蛋白丁</t>
  </si>
  <si>
    <t>烤12切家常豆腐</t>
  </si>
  <si>
    <t>蒜炒紅k高麗菜(111年)</t>
  </si>
  <si>
    <t>鮮食雙色起司絲</t>
  </si>
  <si>
    <t>烤大口蛋皮(111年)</t>
  </si>
  <si>
    <t>切-鹽烤牛肉</t>
  </si>
  <si>
    <t>日式烤洋蔥絲(114年)</t>
  </si>
  <si>
    <t>(V)消毒小黃瓜絲</t>
  </si>
  <si>
    <t>※炊飯類不納入半成品廢棄計算</t>
    <phoneticPr fontId="4" type="noConversion"/>
  </si>
  <si>
    <t>滷嚕米-沙茶滷汁</t>
  </si>
  <si>
    <t>一口滷魂便當</t>
  </si>
  <si>
    <t>烤帶皮南瓜丁(114.6)</t>
  </si>
  <si>
    <t>金沙豆腐細扁麵</t>
  </si>
  <si>
    <t>烤黑胡椒洋蔥絲</t>
  </si>
  <si>
    <t>切-鹽烤熟成牛肉</t>
  </si>
  <si>
    <t>炙燒韓式牛五花</t>
  </si>
  <si>
    <t>切-烤台式肉片</t>
  </si>
  <si>
    <t>姨次滿足熟成牛豚雙拼</t>
  </si>
  <si>
    <t>煮牛肉片(A7)</t>
  </si>
  <si>
    <t>拌鹽烤豬肉片(114年)</t>
  </si>
  <si>
    <t>鹽蔥燒肉飯糰</t>
  </si>
  <si>
    <t>歐姆蛋(110年)</t>
  </si>
  <si>
    <t>消毒蔥花</t>
  </si>
  <si>
    <t>消毒細切紅蘿蔔絲</t>
  </si>
  <si>
    <t>薑炒筍尾</t>
  </si>
  <si>
    <t>經典滷肉飯</t>
  </si>
  <si>
    <t>川味秋木耳</t>
  </si>
  <si>
    <t>自製鹽蔥(114年)</t>
  </si>
  <si>
    <t>炒紅K高麗菜(飯糰)</t>
  </si>
  <si>
    <t>大口蒜味香腸燒肉雙拼飯糰</t>
  </si>
  <si>
    <t>切-蒸滷牛腱</t>
  </si>
  <si>
    <t>切義美滷豆乾</t>
  </si>
  <si>
    <t>焗飯-奶香白醬(114年)</t>
  </si>
  <si>
    <t>蒸-醬香雞肉絲CL</t>
  </si>
  <si>
    <t>奶油蕈菇起司醬(113年)</t>
  </si>
  <si>
    <t>大口法式蕈菇起司雞排飯糰(113年)</t>
  </si>
  <si>
    <t>炸蝦仁</t>
  </si>
  <si>
    <t>一配海老天婦羅飯糰</t>
  </si>
  <si>
    <t>展開量105%</t>
  </si>
  <si>
    <t>滷甜不辣條</t>
  </si>
  <si>
    <t>滷米血糕麻丁</t>
  </si>
  <si>
    <t>消毒洋蔥絲</t>
  </si>
  <si>
    <t>切烤雞胸肉(111年)</t>
  </si>
  <si>
    <t>健身G肉餐盒(113年)</t>
  </si>
  <si>
    <t>烤BBQ雞丁(112年)</t>
  </si>
  <si>
    <t>美式雞丁餐盒(113年)</t>
  </si>
  <si>
    <t>製程不穩</t>
    <phoneticPr fontId="3" type="noConversion"/>
  </si>
  <si>
    <t>三杯海瓜子</t>
  </si>
  <si>
    <t>二配三杯海瓜子好下飯</t>
  </si>
  <si>
    <t>焗飯-蕃茄拌飯</t>
  </si>
  <si>
    <t>其他原因</t>
    <phoneticPr fontId="3" type="noConversion"/>
  </si>
  <si>
    <t>炊飯機固定批量</t>
  </si>
  <si>
    <t>二配薯勾以蛋包飯</t>
  </si>
  <si>
    <t>烤四角薯餅</t>
  </si>
  <si>
    <t>煮浪花涼麵(112年)</t>
  </si>
  <si>
    <t>混-黑胡椒粒洋香菜葉(歐姆蛋飯用)</t>
  </si>
  <si>
    <t>113年川燙綠豆芽</t>
  </si>
  <si>
    <t>辣滷冬粉</t>
  </si>
  <si>
    <t>悟家厚切排骨便當</t>
  </si>
  <si>
    <t>分切炙燒炭火燒肉片(主食)</t>
  </si>
  <si>
    <t>自製蒜味奶油</t>
  </si>
  <si>
    <t>(V)川燙小青花菜</t>
    <phoneticPr fontId="3" type="noConversion"/>
  </si>
  <si>
    <t>原物料規格差異</t>
    <phoneticPr fontId="3" type="noConversion"/>
  </si>
  <si>
    <t>蘑菇白醬</t>
  </si>
  <si>
    <t>二配黃金雞排蘑菇白醬歐姆蛋飯</t>
  </si>
  <si>
    <t>(V)炒海苔香鬆(飯糰)</t>
  </si>
  <si>
    <t>二配芝麻香鬆飯糰(114年)</t>
  </si>
  <si>
    <t>拌雙魚沙拉</t>
  </si>
  <si>
    <t>擠醬差異</t>
    <phoneticPr fontId="3" type="noConversion"/>
  </si>
  <si>
    <t>海饌雙手卷</t>
  </si>
  <si>
    <t>炒蔥蒜油-料</t>
  </si>
  <si>
    <t>炒韓式泡菜燒肉</t>
  </si>
  <si>
    <t>韓味豬肉時蔬拌拌餐盒</t>
    <phoneticPr fontId="3" type="noConversion"/>
  </si>
  <si>
    <t>韓式辣醬(拌飯)</t>
  </si>
  <si>
    <t>韓味豬肉時蔬拌拌餐盒</t>
  </si>
  <si>
    <t>炒紅K碎蛋</t>
  </si>
  <si>
    <t>烤蛋白餐盒</t>
  </si>
  <si>
    <t>油亮中式香腸片(112年)</t>
  </si>
  <si>
    <t>112炒高級芝麻肉鬆</t>
  </si>
  <si>
    <t>經典肉鬆飯糰</t>
  </si>
  <si>
    <t>歐姆蛋-黑咖哩醬</t>
  </si>
  <si>
    <t>二配里肌豬排可可咖哩歐姆蛋飯</t>
  </si>
  <si>
    <t>碳香燒肉醬</t>
  </si>
  <si>
    <t>分析原因</t>
    <phoneticPr fontId="4" type="noConversion"/>
  </si>
  <si>
    <t>研發設定，小片的規格不符合指示書設定重量</t>
    <phoneticPr fontId="3" type="noConversion"/>
  </si>
  <si>
    <t>炊飯機固定批量</t>
    <phoneticPr fontId="3" type="noConversion"/>
  </si>
  <si>
    <t>製程耗損</t>
    <phoneticPr fontId="3" type="noConversion"/>
  </si>
  <si>
    <t>大顆比例高</t>
    <phoneticPr fontId="3" type="noConversion"/>
  </si>
  <si>
    <t>雙圈秤重範圍</t>
    <phoneticPr fontId="4" type="noConversion"/>
  </si>
  <si>
    <t>拌燒肉片</t>
  </si>
  <si>
    <t>F-柚香和風油醋醬包</t>
  </si>
  <si>
    <t>原物料整籃尾數，商品下架報廢</t>
    <phoneticPr fontId="3" type="noConversion"/>
  </si>
  <si>
    <t>柚香海藻冷麵</t>
  </si>
  <si>
    <t>消毒紅藻</t>
  </si>
  <si>
    <t>炒沙茶高麗菜</t>
  </si>
  <si>
    <t>蒸蛤蜊-肉(VN151)</t>
  </si>
  <si>
    <t>手作玉子蛋絲</t>
  </si>
  <si>
    <t>煮2025屯京冷麵</t>
  </si>
  <si>
    <t>煮麵機固定批量</t>
    <phoneticPr fontId="3" type="noConversion"/>
  </si>
  <si>
    <t>日式擔擔冷麵</t>
  </si>
  <si>
    <t>煮寬粉(114年)</t>
  </si>
  <si>
    <t>炒擔擔肉燥</t>
  </si>
  <si>
    <t>F-2025胡麻拌麵醬</t>
  </si>
  <si>
    <t>辣炒酸菜碎</t>
  </si>
  <si>
    <t>蒸金沙醬</t>
  </si>
  <si>
    <t>炒紅K黃豆芽(拌飯)</t>
  </si>
  <si>
    <t>注餡機差異</t>
    <phoneticPr fontId="4" type="noConversion"/>
  </si>
  <si>
    <t>拌韓式炸雞(個)</t>
  </si>
  <si>
    <t>二配大飯糰韓式炸雞</t>
  </si>
  <si>
    <t xml:space="preserve">煮白細麵生(方#10) </t>
  </si>
  <si>
    <t>日式柚醋醬</t>
  </si>
  <si>
    <t>滷豆干丁</t>
  </si>
  <si>
    <t>煮海帶芽(厚)</t>
  </si>
  <si>
    <t>日式蕎麥沾麵</t>
  </si>
  <si>
    <t>野郎醬(112年)</t>
  </si>
  <si>
    <t>開丼-炒蛋碎</t>
  </si>
  <si>
    <t>壹號醬醬燒蔥鹽雞豚飯</t>
  </si>
  <si>
    <t>果香壹號醬</t>
  </si>
  <si>
    <t>自製鹽蔥(113年)</t>
  </si>
  <si>
    <t>醬油漬鱒鮭魚卵</t>
  </si>
  <si>
    <t>北海道秋鮭親子飯糰</t>
  </si>
  <si>
    <t>煮烏龍冷麵(113年)</t>
  </si>
  <si>
    <t>調理多產 整籃尾數</t>
    <phoneticPr fontId="3" type="noConversion"/>
  </si>
  <si>
    <t>芝麻鰹魚烏龍冷麵</t>
  </si>
  <si>
    <t>製程耗損</t>
    <phoneticPr fontId="4" type="noConversion"/>
  </si>
  <si>
    <t>哇沙米香鬆</t>
  </si>
  <si>
    <t>霜降和牛飯糰</t>
  </si>
  <si>
    <t>辣油沙茶醬汁</t>
  </si>
  <si>
    <t>展開量105%</t>
    <phoneticPr fontId="4" type="noConversion"/>
  </si>
  <si>
    <t>製程耗損</t>
  </si>
  <si>
    <t>炊飯單鍋基礎量 下飯機差異</t>
  </si>
  <si>
    <t>首爾韓式泡菜(絲)</t>
  </si>
  <si>
    <t>原物料規格，大顆比例高</t>
  </si>
  <si>
    <t>烤和牛(飯糰)</t>
  </si>
  <si>
    <t>注餡機差異</t>
  </si>
  <si>
    <t>一配贅沢鮭魚肚飯糰</t>
    <phoneticPr fontId="3" type="noConversion"/>
  </si>
  <si>
    <t>炊飯單鍋基礎量 下飯機差異</t>
    <phoneticPr fontId="3" type="noConversion"/>
  </si>
  <si>
    <t>切-開丼碳香燒肉片</t>
  </si>
  <si>
    <t>調理多產 人員抓量不穩</t>
    <phoneticPr fontId="3" type="noConversion"/>
  </si>
  <si>
    <t>炊飯單鍋基礎量 下飯機差異</t>
    <phoneticPr fontId="4" type="noConversion"/>
  </si>
  <si>
    <t>人員抓量不穩</t>
    <phoneticPr fontId="4" type="noConversion"/>
  </si>
  <si>
    <t>F-生蒜包</t>
  </si>
  <si>
    <t>蒸-解凍手撕雞</t>
  </si>
  <si>
    <t>日式胡麻雞絲冷麵</t>
  </si>
  <si>
    <t>人員抓量不穩</t>
    <phoneticPr fontId="3" type="noConversion"/>
  </si>
  <si>
    <t>整顆切片水煮蛋</t>
  </si>
  <si>
    <t>調理多產 人員抓量不穩</t>
    <phoneticPr fontId="4" type="noConversion"/>
  </si>
  <si>
    <t>中濃醬</t>
  </si>
  <si>
    <t>日式中濃醬炭火漢堡排飯</t>
  </si>
  <si>
    <t>起司濃醬</t>
  </si>
  <si>
    <t>椒麻香蔥雞涼拌麵</t>
  </si>
  <si>
    <t>川燙紅蘿蔔塊2cm</t>
  </si>
  <si>
    <t>炒蒜香油菜(拌飯)</t>
  </si>
  <si>
    <t>奶香起司醬</t>
  </si>
  <si>
    <t>(V)114蔬食鮪魚</t>
  </si>
  <si>
    <t>蔬食鮪魚飯糰(114年)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</si>
</sst>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76" formatCode="m/d\ aaaa"/>
    <numFmt numFmtId="177" formatCode="0,000&quot;元&quot;"/>
    <numFmt numFmtId="178" formatCode="0.000%"/>
    <numFmt numFmtId="179" formatCode="000&quot;元&quot;"/>
    <numFmt numFmtId="180" formatCode="0.0%"/>
    <numFmt numFmtId="181" formatCode="0.00_ "/>
  </numFmts>
  <fonts count="2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0"/>
      <name val="Arial"/>
      <family val="2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9" fontId="20" fillId="0" borderId="0" applyFont="0" applyFill="0" applyBorder="0" applyAlignment="0" applyProtection="0"/>
  </cellStyleXfs>
  <cellXfs count="156">
    <xf numFmtId="0" fontId="0" fillId="0" borderId="0" xfId="0">
      <alignment vertical="center"/>
    </xf>
    <xf numFmtId="0" fontId="1" fillId="0" borderId="0" xfId="3">
      <alignment vertical="center"/>
    </xf>
    <xf numFmtId="0" fontId="7" fillId="3" borderId="1" xfId="3" applyFont="1" applyFill="1" applyBorder="1" applyAlignment="1">
      <alignment horizontal="center" vertical="center" wrapText="1"/>
    </xf>
    <xf numFmtId="176" fontId="6" fillId="0" borderId="1" xfId="4" applyNumberFormat="1" applyFont="1" applyBorder="1" applyAlignment="1">
      <alignment horizontal="center" vertical="center"/>
    </xf>
    <xf numFmtId="177" fontId="6" fillId="4" borderId="1" xfId="3" applyNumberFormat="1" applyFont="1" applyFill="1" applyBorder="1" applyAlignment="1">
      <alignment horizontal="center" vertical="center"/>
    </xf>
    <xf numFmtId="177" fontId="6" fillId="4" borderId="1" xfId="5" applyNumberFormat="1" applyFont="1" applyFill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177" fontId="6" fillId="0" borderId="1" xfId="2" applyNumberFormat="1" applyFont="1" applyBorder="1" applyAlignment="1">
      <alignment horizontal="center" vertical="center"/>
    </xf>
    <xf numFmtId="179" fontId="6" fillId="4" borderId="1" xfId="3" applyNumberFormat="1" applyFont="1" applyFill="1" applyBorder="1" applyAlignment="1">
      <alignment horizontal="center" vertical="center"/>
    </xf>
    <xf numFmtId="10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76" fontId="10" fillId="0" borderId="1" xfId="4" applyNumberFormat="1" applyFont="1" applyBorder="1" applyAlignment="1">
      <alignment horizontal="center" vertical="center"/>
    </xf>
    <xf numFmtId="176" fontId="11" fillId="0" borderId="1" xfId="4" applyNumberFormat="1" applyFont="1" applyBorder="1" applyAlignment="1">
      <alignment horizontal="center" vertical="center"/>
    </xf>
    <xf numFmtId="1" fontId="1" fillId="0" borderId="0" xfId="3" applyNumberFormat="1">
      <alignment vertical="center"/>
    </xf>
    <xf numFmtId="3" fontId="1" fillId="0" borderId="0" xfId="3" applyNumberFormat="1">
      <alignment vertical="center"/>
    </xf>
    <xf numFmtId="178" fontId="1" fillId="0" borderId="0" xfId="2" applyNumberFormat="1" applyFont="1">
      <alignment vertical="center"/>
    </xf>
    <xf numFmtId="0" fontId="6" fillId="0" borderId="0" xfId="3" applyFont="1">
      <alignment vertical="center"/>
    </xf>
    <xf numFmtId="0" fontId="9" fillId="0" borderId="0" xfId="4"/>
    <xf numFmtId="0" fontId="14" fillId="3" borderId="1" xfId="6" applyFont="1" applyFill="1" applyBorder="1" applyAlignment="1">
      <alignment horizontal="center" vertical="center" wrapText="1"/>
    </xf>
    <xf numFmtId="0" fontId="17" fillId="0" borderId="0" xfId="4" applyFont="1"/>
    <xf numFmtId="0" fontId="15" fillId="0" borderId="1" xfId="4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0" fontId="16" fillId="0" borderId="6" xfId="4" applyFont="1" applyBorder="1" applyAlignment="1">
      <alignment horizontal="center" vertical="center"/>
    </xf>
    <xf numFmtId="177" fontId="18" fillId="4" borderId="8" xfId="6" applyNumberFormat="1" applyFont="1" applyFill="1" applyBorder="1" applyAlignment="1">
      <alignment horizontal="center" vertical="center"/>
    </xf>
    <xf numFmtId="178" fontId="18" fillId="0" borderId="8" xfId="2" applyNumberFormat="1" applyFont="1" applyFill="1" applyBorder="1" applyAlignment="1">
      <alignment horizontal="center" vertical="center"/>
    </xf>
    <xf numFmtId="10" fontId="18" fillId="0" borderId="8" xfId="2" applyNumberFormat="1" applyFont="1" applyFill="1" applyBorder="1" applyAlignment="1">
      <alignment horizontal="center" vertical="center"/>
    </xf>
    <xf numFmtId="177" fontId="19" fillId="0" borderId="8" xfId="4" applyNumberFormat="1" applyFont="1" applyBorder="1" applyAlignment="1">
      <alignment horizontal="center" vertical="center"/>
    </xf>
    <xf numFmtId="10" fontId="21" fillId="7" borderId="8" xfId="7" applyNumberFormat="1" applyFont="1" applyFill="1" applyBorder="1" applyAlignment="1">
      <alignment horizontal="center" vertical="center"/>
    </xf>
    <xf numFmtId="10" fontId="19" fillId="0" borderId="8" xfId="2" applyNumberFormat="1" applyFont="1" applyFill="1" applyBorder="1" applyAlignment="1">
      <alignment horizontal="center" vertical="center"/>
    </xf>
    <xf numFmtId="179" fontId="19" fillId="4" borderId="8" xfId="1" applyNumberFormat="1" applyFont="1" applyFill="1" applyBorder="1" applyAlignment="1">
      <alignment horizontal="center" vertical="center"/>
    </xf>
    <xf numFmtId="10" fontId="19" fillId="0" borderId="9" xfId="2" applyNumberFormat="1" applyFont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 wrapText="1"/>
    </xf>
    <xf numFmtId="0" fontId="5" fillId="11" borderId="1" xfId="3" applyFont="1" applyFill="1" applyBorder="1" applyAlignment="1">
      <alignment horizontal="center" vertical="center"/>
    </xf>
    <xf numFmtId="0" fontId="5" fillId="11" borderId="12" xfId="3" applyFont="1" applyFill="1" applyBorder="1" applyAlignment="1">
      <alignment horizontal="center" vertical="center" wrapText="1"/>
    </xf>
    <xf numFmtId="0" fontId="11" fillId="0" borderId="5" xfId="3" applyFont="1" applyBorder="1" applyAlignment="1">
      <alignment horizontal="center" vertical="center"/>
    </xf>
    <xf numFmtId="0" fontId="6" fillId="4" borderId="1" xfId="4" applyFont="1" applyFill="1" applyBorder="1" applyAlignment="1">
      <alignment horizontal="left" vertical="center"/>
    </xf>
    <xf numFmtId="1" fontId="6" fillId="4" borderId="1" xfId="4" applyNumberFormat="1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180" fontId="6" fillId="7" borderId="1" xfId="2" applyNumberFormat="1" applyFont="1" applyFill="1" applyBorder="1" applyAlignment="1">
      <alignment horizontal="center" vertical="center"/>
    </xf>
    <xf numFmtId="10" fontId="6" fillId="0" borderId="1" xfId="2" applyNumberFormat="1" applyFont="1" applyFill="1" applyBorder="1" applyAlignment="1">
      <alignment horizontal="center" vertical="center"/>
    </xf>
    <xf numFmtId="181" fontId="11" fillId="0" borderId="1" xfId="3" applyNumberFormat="1" applyFont="1" applyBorder="1" applyAlignment="1">
      <alignment horizontal="center" vertical="center"/>
    </xf>
    <xf numFmtId="10" fontId="11" fillId="0" borderId="1" xfId="2" applyNumberFormat="1" applyFont="1" applyFill="1" applyBorder="1" applyAlignment="1">
      <alignment horizontal="center" vertical="center"/>
    </xf>
    <xf numFmtId="1" fontId="11" fillId="0" borderId="1" xfId="3" applyNumberFormat="1" applyFont="1" applyBorder="1" applyAlignment="1">
      <alignment horizontal="center" vertical="center"/>
    </xf>
    <xf numFmtId="0" fontId="6" fillId="4" borderId="13" xfId="4" applyFont="1" applyFill="1" applyBorder="1" applyAlignment="1">
      <alignment horizontal="left" vertical="center" wrapText="1"/>
    </xf>
    <xf numFmtId="0" fontId="6" fillId="4" borderId="6" xfId="4" applyFont="1" applyFill="1" applyBorder="1" applyAlignment="1">
      <alignment horizontal="left" vertical="center"/>
    </xf>
    <xf numFmtId="0" fontId="9" fillId="0" borderId="0" xfId="4" applyAlignment="1">
      <alignment vertical="center"/>
    </xf>
    <xf numFmtId="0" fontId="11" fillId="7" borderId="5" xfId="3" applyFont="1" applyFill="1" applyBorder="1" applyAlignment="1">
      <alignment horizontal="center" vertical="center"/>
    </xf>
    <xf numFmtId="0" fontId="11" fillId="7" borderId="7" xfId="3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left" vertical="center"/>
    </xf>
    <xf numFmtId="1" fontId="6" fillId="4" borderId="8" xfId="4" applyNumberFormat="1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center" vertical="center"/>
    </xf>
    <xf numFmtId="180" fontId="6" fillId="7" borderId="8" xfId="2" applyNumberFormat="1" applyFont="1" applyFill="1" applyBorder="1" applyAlignment="1">
      <alignment horizontal="center" vertical="center"/>
    </xf>
    <xf numFmtId="10" fontId="6" fillId="0" borderId="8" xfId="2" applyNumberFormat="1" applyFont="1" applyFill="1" applyBorder="1" applyAlignment="1">
      <alignment horizontal="center" vertical="center"/>
    </xf>
    <xf numFmtId="181" fontId="11" fillId="0" borderId="8" xfId="3" applyNumberFormat="1" applyFont="1" applyBorder="1" applyAlignment="1">
      <alignment horizontal="center" vertical="center"/>
    </xf>
    <xf numFmtId="10" fontId="11" fillId="0" borderId="8" xfId="2" applyNumberFormat="1" applyFont="1" applyFill="1" applyBorder="1" applyAlignment="1">
      <alignment horizontal="center" vertical="center"/>
    </xf>
    <xf numFmtId="1" fontId="11" fillId="0" borderId="8" xfId="3" applyNumberFormat="1" applyFont="1" applyBorder="1" applyAlignment="1">
      <alignment horizontal="center" vertical="center"/>
    </xf>
    <xf numFmtId="0" fontId="6" fillId="4" borderId="18" xfId="4" applyFont="1" applyFill="1" applyBorder="1" applyAlignment="1">
      <alignment horizontal="left" vertical="center" wrapText="1"/>
    </xf>
    <xf numFmtId="0" fontId="6" fillId="4" borderId="9" xfId="4" applyFont="1" applyFill="1" applyBorder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/>
    </xf>
    <xf numFmtId="180" fontId="10" fillId="0" borderId="0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181" fontId="10" fillId="0" borderId="0" xfId="3" applyNumberFormat="1" applyFont="1" applyAlignment="1">
      <alignment horizontal="center" vertical="center"/>
    </xf>
    <xf numFmtId="1" fontId="10" fillId="0" borderId="0" xfId="3" applyNumberFormat="1" applyFont="1" applyAlignment="1">
      <alignment horizontal="center" vertical="center"/>
    </xf>
    <xf numFmtId="0" fontId="10" fillId="0" borderId="0" xfId="4" applyFont="1" applyAlignment="1">
      <alignment horizontal="left" vertical="center" wrapText="1"/>
    </xf>
    <xf numFmtId="0" fontId="24" fillId="0" borderId="0" xfId="4" applyFont="1" applyAlignment="1">
      <alignment vertical="center"/>
    </xf>
    <xf numFmtId="10" fontId="6" fillId="7" borderId="1" xfId="2" applyNumberFormat="1" applyFont="1" applyFill="1" applyBorder="1" applyAlignment="1">
      <alignment horizontal="center" vertical="center"/>
    </xf>
    <xf numFmtId="0" fontId="6" fillId="4" borderId="23" xfId="4" applyFont="1" applyFill="1" applyBorder="1" applyAlignment="1">
      <alignment horizontal="left" vertical="center" wrapText="1"/>
    </xf>
    <xf numFmtId="10" fontId="6" fillId="7" borderId="8" xfId="2" applyNumberFormat="1" applyFont="1" applyFill="1" applyBorder="1" applyAlignment="1">
      <alignment horizontal="center" vertical="center"/>
    </xf>
    <xf numFmtId="0" fontId="25" fillId="0" borderId="0" xfId="4" applyFont="1"/>
    <xf numFmtId="0" fontId="26" fillId="0" borderId="0" xfId="4" applyFont="1" applyAlignment="1">
      <alignment vertical="center"/>
    </xf>
    <xf numFmtId="181" fontId="27" fillId="0" borderId="0" xfId="4" applyNumberFormat="1" applyFont="1"/>
    <xf numFmtId="0" fontId="28" fillId="0" borderId="0" xfId="4" applyFont="1"/>
    <xf numFmtId="0" fontId="6" fillId="0" borderId="5" xfId="3" applyFont="1" applyBorder="1" applyAlignment="1">
      <alignment horizontal="center" vertical="center"/>
    </xf>
    <xf numFmtId="10" fontId="6" fillId="0" borderId="6" xfId="2" applyNumberFormat="1" applyFont="1" applyBorder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9" fillId="0" borderId="0" xfId="4" applyAlignment="1">
      <alignment horizontal="center" vertical="center"/>
    </xf>
    <xf numFmtId="0" fontId="6" fillId="7" borderId="5" xfId="3" applyFont="1" applyFill="1" applyBorder="1" applyAlignment="1">
      <alignment horizontal="center" vertical="center"/>
    </xf>
    <xf numFmtId="0" fontId="6" fillId="7" borderId="7" xfId="3" applyFont="1" applyFill="1" applyBorder="1" applyAlignment="1">
      <alignment horizontal="center" vertical="center"/>
    </xf>
    <xf numFmtId="10" fontId="6" fillId="0" borderId="9" xfId="2" applyNumberFormat="1" applyFont="1" applyBorder="1" applyAlignment="1">
      <alignment horizontal="center" vertical="center"/>
    </xf>
    <xf numFmtId="0" fontId="6" fillId="4" borderId="1" xfId="4" applyFont="1" applyFill="1" applyBorder="1" applyAlignment="1">
      <alignment horizontal="left" vertical="center" wrapText="1"/>
    </xf>
    <xf numFmtId="0" fontId="6" fillId="4" borderId="28" xfId="4" applyFont="1" applyFill="1" applyBorder="1" applyAlignment="1">
      <alignment horizontal="left" vertical="center" wrapText="1"/>
    </xf>
    <xf numFmtId="0" fontId="6" fillId="4" borderId="8" xfId="4" applyFont="1" applyFill="1" applyBorder="1" applyAlignment="1">
      <alignment horizontal="left" vertical="center" wrapText="1"/>
    </xf>
    <xf numFmtId="0" fontId="6" fillId="0" borderId="1" xfId="3" applyFont="1" applyBorder="1" applyAlignment="1">
      <alignment horizontal="left" vertical="center"/>
    </xf>
    <xf numFmtId="0" fontId="12" fillId="4" borderId="0" xfId="4" applyFont="1" applyFill="1" applyAlignment="1">
      <alignment horizontal="left" vertical="center"/>
    </xf>
    <xf numFmtId="0" fontId="2" fillId="2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2" fillId="3" borderId="0" xfId="4" applyFont="1" applyFill="1" applyAlignment="1">
      <alignment horizontal="left" vertical="center"/>
    </xf>
    <xf numFmtId="0" fontId="13" fillId="5" borderId="2" xfId="4" applyFont="1" applyFill="1" applyBorder="1" applyAlignment="1">
      <alignment horizontal="center" vertical="center"/>
    </xf>
    <xf numFmtId="0" fontId="13" fillId="5" borderId="3" xfId="4" applyFont="1" applyFill="1" applyBorder="1" applyAlignment="1">
      <alignment horizontal="center" vertical="center"/>
    </xf>
    <xf numFmtId="0" fontId="13" fillId="5" borderId="4" xfId="4" applyFont="1" applyFill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0" fontId="5" fillId="8" borderId="5" xfId="3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6" xfId="4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 wrapText="1"/>
    </xf>
    <xf numFmtId="0" fontId="5" fillId="8" borderId="6" xfId="3" applyFont="1" applyFill="1" applyBorder="1" applyAlignment="1">
      <alignment horizontal="center" vertical="center" wrapText="1"/>
    </xf>
    <xf numFmtId="0" fontId="5" fillId="9" borderId="12" xfId="4" applyFont="1" applyFill="1" applyBorder="1" applyAlignment="1">
      <alignment horizontal="center" vertical="center"/>
    </xf>
    <xf numFmtId="0" fontId="5" fillId="9" borderId="23" xfId="4" applyFont="1" applyFill="1" applyBorder="1" applyAlignment="1">
      <alignment horizontal="center" vertical="center"/>
    </xf>
    <xf numFmtId="0" fontId="5" fillId="9" borderId="13" xfId="4" applyFont="1" applyFill="1" applyBorder="1" applyAlignment="1">
      <alignment horizontal="center" vertical="center"/>
    </xf>
    <xf numFmtId="0" fontId="5" fillId="8" borderId="15" xfId="3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/>
    </xf>
    <xf numFmtId="0" fontId="5" fillId="8" borderId="15" xfId="3" applyFont="1" applyFill="1" applyBorder="1" applyAlignment="1">
      <alignment horizontal="center" vertical="center" wrapText="1"/>
    </xf>
    <xf numFmtId="0" fontId="5" fillId="8" borderId="17" xfId="3" applyFont="1" applyFill="1" applyBorder="1" applyAlignment="1">
      <alignment horizontal="center" vertical="center" wrapText="1"/>
    </xf>
    <xf numFmtId="0" fontId="23" fillId="2" borderId="12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13" xfId="3" applyFont="1" applyFill="1" applyBorder="1" applyAlignment="1">
      <alignment horizontal="center"/>
    </xf>
    <xf numFmtId="0" fontId="23" fillId="9" borderId="12" xfId="3" applyFont="1" applyFill="1" applyBorder="1" applyAlignment="1">
      <alignment horizontal="center"/>
    </xf>
    <xf numFmtId="0" fontId="23" fillId="9" borderId="23" xfId="3" applyFont="1" applyFill="1" applyBorder="1" applyAlignment="1">
      <alignment horizontal="center"/>
    </xf>
    <xf numFmtId="0" fontId="23" fillId="9" borderId="13" xfId="3" applyFont="1" applyFill="1" applyBorder="1" applyAlignment="1">
      <alignment horizontal="center"/>
    </xf>
    <xf numFmtId="0" fontId="13" fillId="5" borderId="19" xfId="4" applyFont="1" applyFill="1" applyBorder="1" applyAlignment="1">
      <alignment horizontal="center" vertical="center"/>
    </xf>
    <xf numFmtId="0" fontId="13" fillId="5" borderId="20" xfId="4" applyFont="1" applyFill="1" applyBorder="1" applyAlignment="1">
      <alignment horizontal="center" vertical="center"/>
    </xf>
    <xf numFmtId="0" fontId="13" fillId="5" borderId="21" xfId="4" applyFont="1" applyFill="1" applyBorder="1" applyAlignment="1">
      <alignment horizontal="center" vertical="center"/>
    </xf>
    <xf numFmtId="0" fontId="2" fillId="0" borderId="22" xfId="4" applyFont="1" applyBorder="1" applyAlignment="1">
      <alignment horizontal="center" vertical="center"/>
    </xf>
    <xf numFmtId="0" fontId="2" fillId="0" borderId="23" xfId="4" applyFont="1" applyBorder="1" applyAlignment="1">
      <alignment horizontal="center" vertical="center"/>
    </xf>
    <xf numFmtId="0" fontId="2" fillId="0" borderId="13" xfId="4" applyFont="1" applyBorder="1" applyAlignment="1">
      <alignment horizontal="center" vertical="center"/>
    </xf>
    <xf numFmtId="0" fontId="2" fillId="0" borderId="12" xfId="4" applyFont="1" applyBorder="1" applyAlignment="1">
      <alignment horizontal="center" vertical="center"/>
    </xf>
    <xf numFmtId="0" fontId="5" fillId="3" borderId="15" xfId="4" applyFont="1" applyFill="1" applyBorder="1" applyAlignment="1">
      <alignment horizontal="center" vertical="center"/>
    </xf>
    <xf numFmtId="0" fontId="5" fillId="3" borderId="25" xfId="4" applyFont="1" applyFill="1" applyBorder="1" applyAlignment="1">
      <alignment horizontal="center" vertical="center"/>
    </xf>
    <xf numFmtId="0" fontId="5" fillId="3" borderId="17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 wrapText="1"/>
    </xf>
    <xf numFmtId="0" fontId="5" fillId="8" borderId="24" xfId="3" applyFont="1" applyFill="1" applyBorder="1" applyAlignment="1">
      <alignment horizontal="center" vertical="center" wrapText="1"/>
    </xf>
    <xf numFmtId="0" fontId="5" fillId="8" borderId="26" xfId="3" applyFont="1" applyFill="1" applyBorder="1" applyAlignment="1">
      <alignment horizontal="center" vertical="center" wrapText="1"/>
    </xf>
    <xf numFmtId="0" fontId="5" fillId="8" borderId="27" xfId="3" applyFont="1" applyFill="1" applyBorder="1" applyAlignment="1">
      <alignment horizontal="center" vertical="center" wrapText="1"/>
    </xf>
    <xf numFmtId="0" fontId="5" fillId="8" borderId="11" xfId="3" applyFont="1" applyFill="1" applyBorder="1" applyAlignment="1">
      <alignment horizontal="center" vertical="center"/>
    </xf>
    <xf numFmtId="0" fontId="5" fillId="8" borderId="14" xfId="3" applyFont="1" applyFill="1" applyBorder="1" applyAlignment="1">
      <alignment horizontal="center" vertical="center"/>
    </xf>
    <xf numFmtId="0" fontId="5" fillId="8" borderId="16" xfId="3" applyFont="1" applyFill="1" applyBorder="1" applyAlignment="1">
      <alignment horizontal="center" vertical="center"/>
    </xf>
    <xf numFmtId="0" fontId="5" fillId="3" borderId="12" xfId="4" applyFont="1" applyFill="1" applyBorder="1" applyAlignment="1">
      <alignment horizontal="center" vertical="center"/>
    </xf>
    <xf numFmtId="0" fontId="5" fillId="3" borderId="13" xfId="4" applyFont="1" applyFill="1" applyBorder="1" applyAlignment="1">
      <alignment horizontal="center" vertical="center"/>
    </xf>
    <xf numFmtId="0" fontId="5" fillId="2" borderId="12" xfId="4" applyFont="1" applyFill="1" applyBorder="1" applyAlignment="1">
      <alignment horizontal="center" vertical="center"/>
    </xf>
    <xf numFmtId="0" fontId="5" fillId="2" borderId="23" xfId="4" applyFont="1" applyFill="1" applyBorder="1" applyAlignment="1">
      <alignment horizontal="center" vertical="center"/>
    </xf>
    <xf numFmtId="0" fontId="5" fillId="2" borderId="13" xfId="4" applyFont="1" applyFill="1" applyBorder="1" applyAlignment="1">
      <alignment horizontal="center" vertical="center"/>
    </xf>
    <xf numFmtId="0" fontId="5" fillId="2" borderId="1" xfId="4" applyFont="1" applyFill="1" applyBorder="1" applyAlignment="1">
      <alignment horizontal="center" vertical="center"/>
    </xf>
    <xf numFmtId="0" fontId="5" fillId="9" borderId="1" xfId="4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center"/>
    </xf>
    <xf numFmtId="0" fontId="23" fillId="9" borderId="1" xfId="3" applyFont="1" applyFill="1" applyBorder="1" applyAlignment="1">
      <alignment horizontal="center"/>
    </xf>
    <xf numFmtId="0" fontId="16" fillId="3" borderId="1" xfId="4" applyFont="1" applyFill="1" applyBorder="1" applyAlignment="1">
      <alignment horizontal="center"/>
    </xf>
    <xf numFmtId="0" fontId="16" fillId="3" borderId="6" xfId="4" applyFont="1" applyFill="1" applyBorder="1" applyAlignment="1">
      <alignment horizontal="center"/>
    </xf>
    <xf numFmtId="176" fontId="12" fillId="6" borderId="7" xfId="6" applyNumberFormat="1" applyFont="1" applyFill="1" applyBorder="1" applyAlignment="1">
      <alignment horizontal="center" vertical="center"/>
    </xf>
    <xf numFmtId="176" fontId="12" fillId="6" borderId="8" xfId="6" applyNumberFormat="1" applyFont="1" applyFill="1" applyBorder="1" applyAlignment="1">
      <alignment horizontal="center" vertical="center"/>
    </xf>
    <xf numFmtId="0" fontId="13" fillId="5" borderId="10" xfId="4" applyFont="1" applyFill="1" applyBorder="1" applyAlignment="1">
      <alignment horizontal="center" vertical="center"/>
    </xf>
    <xf numFmtId="176" fontId="14" fillId="4" borderId="5" xfId="6" applyNumberFormat="1" applyFont="1" applyFill="1" applyBorder="1" applyAlignment="1">
      <alignment horizontal="center" vertical="center"/>
    </xf>
    <xf numFmtId="176" fontId="14" fillId="4" borderId="1" xfId="6" applyNumberFormat="1" applyFont="1" applyFill="1" applyBorder="1" applyAlignment="1">
      <alignment horizontal="center" vertical="center"/>
    </xf>
    <xf numFmtId="177" fontId="14" fillId="4" borderId="1" xfId="6" applyNumberFormat="1" applyFont="1" applyFill="1" applyBorder="1" applyAlignment="1">
      <alignment horizontal="center" vertical="center"/>
    </xf>
    <xf numFmtId="0" fontId="15" fillId="3" borderId="1" xfId="4" applyFont="1" applyFill="1" applyBorder="1" applyAlignment="1">
      <alignment horizontal="center"/>
    </xf>
    <xf numFmtId="0" fontId="14" fillId="3" borderId="5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 wrapText="1"/>
    </xf>
  </cellXfs>
  <cellStyles count="10">
    <cellStyle name="一般" xfId="0" builtinId="0"/>
    <cellStyle name="一般 2 2 2" xfId="8" xr:uid="{3B739B9C-A2E8-41E8-BE04-F59359AAE594}"/>
    <cellStyle name="一般 2 2 30 2 2 30 2" xfId="3" xr:uid="{B29F1828-7D44-41F1-966C-38C262FE2D10}"/>
    <cellStyle name="一般 2 2 30 2 3 2" xfId="5" xr:uid="{424E1C78-92FB-42CA-ADF8-060200DE355E}"/>
    <cellStyle name="一般 2 2 30 3 30" xfId="6" xr:uid="{D0F05535-50DB-40FD-8AFD-C8A65979B39E}"/>
    <cellStyle name="一般 4" xfId="4" xr:uid="{DC82C1EC-AD03-498E-839A-69577A694DE5}"/>
    <cellStyle name="千分位" xfId="1" builtinId="3"/>
    <cellStyle name="百分比" xfId="2" builtinId="5"/>
    <cellStyle name="百分比 2" xfId="7" xr:uid="{B5F138EC-5EA3-4841-8433-BAECD171FAD2}"/>
    <cellStyle name="百分比 2 2" xfId="9" xr:uid="{BED733BE-398B-4DAF-B4FA-BE71D2E393A8}"/>
  </cellStyles>
  <dxfs count="10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2D87-33E1-4795-986D-A354C9740A5C}">
  <sheetPr>
    <tabColor rgb="FFFF0000"/>
  </sheetPr>
  <dimension ref="A1:AA52"/>
  <sheetViews>
    <sheetView tabSelected="1" zoomScale="70" zoomScaleNormal="70" workbookViewId="0">
      <selection activeCell="AB38" sqref="AB38"/>
    </sheetView>
  </sheetViews>
  <sheetFormatPr defaultColWidth="8" defaultRowHeight="16.5"/>
  <cols>
    <col min="1" max="1" width="17.75" style="1" customWidth="1"/>
    <col min="2" max="2" width="16" style="1" bestFit="1" customWidth="1"/>
    <col min="3" max="6" width="13.75" style="1" customWidth="1"/>
    <col min="7" max="10" width="17.75" style="1" customWidth="1"/>
    <col min="11" max="11" width="16.5" style="1" bestFit="1" customWidth="1"/>
    <col min="12" max="12" width="15.375" style="1" customWidth="1"/>
    <col min="13" max="20" width="8" style="1"/>
    <col min="21" max="21" width="71.375" style="1" customWidth="1"/>
    <col min="22" max="22" width="17.125" style="1" bestFit="1" customWidth="1"/>
    <col min="23" max="16384" width="8" style="1"/>
  </cols>
  <sheetData>
    <row r="1" spans="1:27" ht="27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8" t="s">
        <v>1</v>
      </c>
      <c r="N1" s="89"/>
      <c r="O1" s="89"/>
      <c r="P1" s="89"/>
      <c r="Q1" s="89"/>
      <c r="R1" s="89"/>
      <c r="S1" s="89"/>
      <c r="T1" s="89"/>
      <c r="U1" s="89"/>
      <c r="V1" s="90" t="s">
        <v>2</v>
      </c>
    </row>
    <row r="2" spans="1:27" ht="16.5" customHeight="1">
      <c r="A2" s="91" t="s">
        <v>3</v>
      </c>
      <c r="B2" s="91" t="s">
        <v>4</v>
      </c>
      <c r="C2" s="91" t="s">
        <v>5</v>
      </c>
      <c r="D2" s="91" t="s">
        <v>6</v>
      </c>
      <c r="E2" s="91" t="s">
        <v>7</v>
      </c>
      <c r="F2" s="91" t="s">
        <v>8</v>
      </c>
      <c r="G2" s="91" t="s">
        <v>9</v>
      </c>
      <c r="H2" s="91"/>
      <c r="I2" s="91" t="s">
        <v>10</v>
      </c>
      <c r="J2" s="91"/>
      <c r="K2" s="91" t="s">
        <v>11</v>
      </c>
      <c r="L2" s="91"/>
      <c r="M2" s="89"/>
      <c r="N2" s="89"/>
      <c r="O2" s="89"/>
      <c r="P2" s="89"/>
      <c r="Q2" s="89"/>
      <c r="R2" s="89"/>
      <c r="S2" s="89"/>
      <c r="T2" s="89"/>
      <c r="U2" s="89"/>
      <c r="V2" s="90"/>
    </row>
    <row r="3" spans="1:27" ht="37.5" customHeight="1">
      <c r="A3" s="91"/>
      <c r="B3" s="91"/>
      <c r="C3" s="91"/>
      <c r="D3" s="91"/>
      <c r="E3" s="91"/>
      <c r="F3" s="91"/>
      <c r="G3" s="2" t="s">
        <v>12</v>
      </c>
      <c r="H3" s="2" t="s">
        <v>13</v>
      </c>
      <c r="I3" s="2" t="s">
        <v>12</v>
      </c>
      <c r="J3" s="2" t="s">
        <v>13</v>
      </c>
      <c r="K3" s="2" t="s">
        <v>14</v>
      </c>
      <c r="L3" s="2" t="s">
        <v>15</v>
      </c>
      <c r="M3" s="89"/>
      <c r="N3" s="89"/>
      <c r="O3" s="89"/>
      <c r="P3" s="89"/>
      <c r="Q3" s="89"/>
      <c r="R3" s="89"/>
      <c r="S3" s="89"/>
      <c r="T3" s="89"/>
      <c r="U3" s="89"/>
      <c r="V3" s="90"/>
    </row>
    <row r="4" spans="1:27" ht="18.75">
      <c r="A4" s="3">
        <v>45870</v>
      </c>
      <c r="B4" s="4">
        <f>'0801分析標準表'!$C$3</f>
        <v>5795364.71</v>
      </c>
      <c r="C4" s="5">
        <f>'0801分析標準表'!$D$5</f>
        <v>14010.514299999993</v>
      </c>
      <c r="D4" s="6">
        <f t="shared" ref="D4" si="0">C4/B4</f>
        <v>2.4175379809703115E-3</v>
      </c>
      <c r="E4" s="5">
        <f>'0801分析標準表'!$F$5</f>
        <v>49520.757299999968</v>
      </c>
      <c r="F4" s="7">
        <f t="shared" ref="F4" si="1">E4/B4</f>
        <v>8.5448905768693139E-3</v>
      </c>
      <c r="G4" s="4">
        <f>'0801分析標準表'!$H$5</f>
        <v>5524.3520999999992</v>
      </c>
      <c r="H4" s="7">
        <f t="shared" ref="H4" si="2">G4/C4</f>
        <v>0.39430045048381995</v>
      </c>
      <c r="I4" s="8">
        <f>'0801分析標準表'!$J$5</f>
        <v>15556.247499999998</v>
      </c>
      <c r="J4" s="7">
        <f t="shared" ref="J4" si="3">I4/E4</f>
        <v>0.3141358967060871</v>
      </c>
      <c r="K4" s="9">
        <f>'0801分析標準表'!$L$5</f>
        <v>2512.3204000000001</v>
      </c>
      <c r="L4" s="10">
        <f t="shared" ref="L4" si="4">K4/C4</f>
        <v>0.17931678639377294</v>
      </c>
      <c r="M4" s="85" t="s">
        <v>16</v>
      </c>
      <c r="N4" s="85"/>
      <c r="O4" s="85"/>
      <c r="P4" s="85"/>
      <c r="Q4" s="85"/>
      <c r="R4" s="85"/>
      <c r="S4" s="85"/>
      <c r="T4" s="85"/>
      <c r="U4" s="85"/>
      <c r="V4" s="11">
        <v>195</v>
      </c>
    </row>
    <row r="5" spans="1:27" ht="18.75">
      <c r="A5" s="3">
        <f>A4+1</f>
        <v>45871</v>
      </c>
      <c r="B5" s="4">
        <f>'0802分析標準表'!$C$3</f>
        <v>6281760.9800000004</v>
      </c>
      <c r="C5" s="5">
        <f>'0802分析標準表'!$D$5</f>
        <v>15177.069299999999</v>
      </c>
      <c r="D5" s="6">
        <f t="shared" ref="D5" si="5">C5/B5</f>
        <v>2.4160532927504029E-3</v>
      </c>
      <c r="E5" s="5">
        <f>'0802分析標準表'!$F$5</f>
        <v>54183.438500000018</v>
      </c>
      <c r="F5" s="7">
        <f t="shared" ref="F5" si="6">E5/B5</f>
        <v>8.6255173784087549E-3</v>
      </c>
      <c r="G5" s="4">
        <f>'0802分析標準表'!$H$5</f>
        <v>5919.6139999999996</v>
      </c>
      <c r="H5" s="7">
        <f t="shared" ref="H5" si="7">G5/C5</f>
        <v>0.39003669832356896</v>
      </c>
      <c r="I5" s="8">
        <f>'0802分析標準表'!$J$5</f>
        <v>15905.34659999999</v>
      </c>
      <c r="J5" s="7">
        <f t="shared" ref="J5" si="8">I5/E5</f>
        <v>0.29354627613749512</v>
      </c>
      <c r="K5" s="9">
        <f>'0802分析標準表'!$L$5</f>
        <v>2131.8720000000003</v>
      </c>
      <c r="L5" s="10">
        <f t="shared" ref="L5" si="9">K5/C5</f>
        <v>0.14046664463738071</v>
      </c>
      <c r="M5" s="85" t="s">
        <v>16</v>
      </c>
      <c r="N5" s="85"/>
      <c r="O5" s="85"/>
      <c r="P5" s="85"/>
      <c r="Q5" s="85"/>
      <c r="R5" s="85"/>
      <c r="S5" s="85"/>
      <c r="T5" s="85"/>
      <c r="U5" s="85"/>
      <c r="V5" s="11">
        <v>195</v>
      </c>
    </row>
    <row r="6" spans="1:27" ht="18.75">
      <c r="A6" s="13">
        <f t="shared" ref="A6:A34" si="10">A5+1</f>
        <v>45872</v>
      </c>
      <c r="B6" s="4">
        <f>'0803分析標準表'!$C$3</f>
        <v>8003391.1299999999</v>
      </c>
      <c r="C6" s="5">
        <f>'0803分析標準表'!$D$5</f>
        <v>19418.772499999999</v>
      </c>
      <c r="D6" s="6">
        <f t="shared" ref="D6" si="11">C6/B6</f>
        <v>2.426318067501469E-3</v>
      </c>
      <c r="E6" s="5">
        <f>'0803分析標準表'!$F$5</f>
        <v>69171</v>
      </c>
      <c r="F6" s="7">
        <f t="shared" ref="F6" si="12">E6/B6</f>
        <v>8.6427114302484436E-3</v>
      </c>
      <c r="G6" s="4">
        <f>'0803分析標準表'!$H$5</f>
        <v>6610.6163000000006</v>
      </c>
      <c r="H6" s="7">
        <f t="shared" ref="H6" si="13">G6/C6</f>
        <v>0.34042400465837896</v>
      </c>
      <c r="I6" s="8">
        <f>'0803分析標準表'!$J$5</f>
        <v>16236.48700000005</v>
      </c>
      <c r="J6" s="7">
        <f t="shared" ref="J6" si="14">I6/E6</f>
        <v>0.23472968440531508</v>
      </c>
      <c r="K6" s="9">
        <f>'0803分析標準表'!$L$5</f>
        <v>2218</v>
      </c>
      <c r="L6" s="10">
        <f t="shared" ref="L6" si="15">K6/C6</f>
        <v>0.11421937200201507</v>
      </c>
      <c r="M6" s="85" t="s">
        <v>17</v>
      </c>
      <c r="N6" s="85"/>
      <c r="O6" s="85"/>
      <c r="P6" s="85"/>
      <c r="Q6" s="85"/>
      <c r="R6" s="85"/>
      <c r="S6" s="85"/>
      <c r="T6" s="85"/>
      <c r="U6" s="85"/>
      <c r="V6" s="11">
        <v>190</v>
      </c>
    </row>
    <row r="7" spans="1:27" ht="18.75">
      <c r="A7" s="3">
        <f t="shared" si="10"/>
        <v>45873</v>
      </c>
      <c r="B7" s="4">
        <f>'0804分析標準表'!$C$3</f>
        <v>7902480.4100000001</v>
      </c>
      <c r="C7" s="5">
        <f>'0804分析標準表'!$D$5</f>
        <v>19143</v>
      </c>
      <c r="D7" s="6">
        <f t="shared" ref="D7" si="16">C7/B7</f>
        <v>2.4224039803725371E-3</v>
      </c>
      <c r="E7" s="5">
        <f>'0804分析標準表'!$F$5</f>
        <v>67519</v>
      </c>
      <c r="F7" s="7">
        <f t="shared" ref="F7" si="17">E7/B7</f>
        <v>8.5440262420087409E-3</v>
      </c>
      <c r="G7" s="4">
        <f>'0804分析標準表'!$H$5</f>
        <v>4995.8101999999999</v>
      </c>
      <c r="H7" s="7">
        <f t="shared" ref="H7" si="18">G7/C7</f>
        <v>0.26097321214020791</v>
      </c>
      <c r="I7" s="8">
        <f>'0804分析標準表'!$J$5</f>
        <v>19331.029599999987</v>
      </c>
      <c r="J7" s="7">
        <f t="shared" ref="J7" si="19">I7/E7</f>
        <v>0.28630503413853858</v>
      </c>
      <c r="K7" s="9">
        <f>'0804分析標準表'!$L$5</f>
        <v>2641</v>
      </c>
      <c r="L7" s="10">
        <f t="shared" ref="L7" si="20">K7/C7</f>
        <v>0.13796165700255969</v>
      </c>
      <c r="M7" s="85" t="s">
        <v>18</v>
      </c>
      <c r="N7" s="85"/>
      <c r="O7" s="85"/>
      <c r="P7" s="85"/>
      <c r="Q7" s="85"/>
      <c r="R7" s="85"/>
      <c r="S7" s="85"/>
      <c r="T7" s="85"/>
      <c r="U7" s="85"/>
      <c r="V7" s="11">
        <v>190</v>
      </c>
    </row>
    <row r="8" spans="1:27" ht="18.75">
      <c r="A8" s="13">
        <f t="shared" si="10"/>
        <v>45874</v>
      </c>
      <c r="B8" s="4">
        <f>'0805分析標準表'!$C$3</f>
        <v>9130487.0999999996</v>
      </c>
      <c r="C8" s="5">
        <f>'0805分析標準表'!$D$5</f>
        <v>22183.572799999998</v>
      </c>
      <c r="D8" s="6">
        <f t="shared" ref="D8" si="21">C8/B8</f>
        <v>2.4296154802080604E-3</v>
      </c>
      <c r="E8" s="5">
        <f>'0805分析標準表'!$F$5</f>
        <v>79296.298300000068</v>
      </c>
      <c r="F8" s="7">
        <f t="shared" ref="F8" si="22">E8/B8</f>
        <v>8.6847829071463305E-3</v>
      </c>
      <c r="G8" s="4">
        <f>'0805分析標準表'!$H$5</f>
        <v>6103.0743000000002</v>
      </c>
      <c r="H8" s="7">
        <f t="shared" ref="H8" si="23">G8/C8</f>
        <v>0.27511683329927816</v>
      </c>
      <c r="I8" s="8">
        <f>'0805分析標準表'!$J$5</f>
        <v>33550.616699999977</v>
      </c>
      <c r="J8" s="7">
        <f t="shared" ref="J8" si="24">I8/E8</f>
        <v>0.42310445026158239</v>
      </c>
      <c r="K8" s="9">
        <f>'0805分析標準表'!$L$5</f>
        <v>2729.3154000000004</v>
      </c>
      <c r="L8" s="10">
        <f t="shared" ref="L8" si="25">K8/C8</f>
        <v>0.12303317525119312</v>
      </c>
      <c r="M8" s="85" t="s">
        <v>19</v>
      </c>
      <c r="N8" s="85"/>
      <c r="O8" s="85"/>
      <c r="P8" s="85"/>
      <c r="Q8" s="85"/>
      <c r="R8" s="85"/>
      <c r="S8" s="85"/>
      <c r="T8" s="85"/>
      <c r="U8" s="85"/>
      <c r="V8" s="11">
        <v>198</v>
      </c>
      <c r="Y8" s="14"/>
      <c r="Z8" s="14"/>
    </row>
    <row r="9" spans="1:27" ht="18.75">
      <c r="A9" s="12">
        <f t="shared" si="10"/>
        <v>45875</v>
      </c>
      <c r="B9" s="4">
        <f>'0806分析標準表'!$C$3</f>
        <v>8314895.1299999999</v>
      </c>
      <c r="C9" s="5">
        <f>'0806分析標準表'!$D$5</f>
        <v>20159.28079999999</v>
      </c>
      <c r="D9" s="6">
        <f t="shared" ref="D9" si="26">C9/B9</f>
        <v>2.4244780583300022E-3</v>
      </c>
      <c r="E9" s="5">
        <f>'0806分析標準表'!$F$5</f>
        <v>70683.501499999984</v>
      </c>
      <c r="F9" s="7">
        <f t="shared" ref="F9" si="27">E9/B9</f>
        <v>8.5008289815917352E-3</v>
      </c>
      <c r="G9" s="4">
        <f>'0806分析標準表'!$H$5</f>
        <v>4480.2091999999993</v>
      </c>
      <c r="H9" s="7">
        <f t="shared" ref="H9" si="28">G9/C9</f>
        <v>0.22224052754897891</v>
      </c>
      <c r="I9" s="8">
        <f>'0806分析標準表'!$J$5</f>
        <v>20441.845799999992</v>
      </c>
      <c r="J9" s="7">
        <f t="shared" ref="J9" si="29">I9/E9</f>
        <v>0.28920250647175416</v>
      </c>
      <c r="K9" s="9">
        <f>'0806分析標準表'!$L$5</f>
        <v>2591.0327000000002</v>
      </c>
      <c r="L9" s="10">
        <f t="shared" ref="L9" si="30">K9/C9</f>
        <v>0.12852803260719506</v>
      </c>
      <c r="M9" s="85" t="s">
        <v>20</v>
      </c>
      <c r="N9" s="85"/>
      <c r="O9" s="85"/>
      <c r="P9" s="85"/>
      <c r="Q9" s="85"/>
      <c r="R9" s="85"/>
      <c r="S9" s="85"/>
      <c r="T9" s="85"/>
      <c r="U9" s="85"/>
      <c r="V9" s="11">
        <v>198</v>
      </c>
    </row>
    <row r="10" spans="1:27" ht="18.75">
      <c r="A10" s="13">
        <f t="shared" si="10"/>
        <v>45876</v>
      </c>
      <c r="B10" s="4">
        <f>'0807分析標準表'!$C$3</f>
        <v>7555343.1299999999</v>
      </c>
      <c r="C10" s="5">
        <f>'0807分析標準表'!$D$5</f>
        <v>18266.415699999994</v>
      </c>
      <c r="D10" s="6">
        <f t="shared" ref="D10" si="31">C10/B10</f>
        <v>2.4176818161268598E-3</v>
      </c>
      <c r="E10" s="5">
        <f>'0807分析標準表'!$F$5</f>
        <v>64099.004199999981</v>
      </c>
      <c r="F10" s="7">
        <f t="shared" ref="F10" si="32">E10/B10</f>
        <v>8.4839302592998166E-3</v>
      </c>
      <c r="G10" s="4">
        <f>'0807分析標準表'!$H$5</f>
        <v>7049.4609999999993</v>
      </c>
      <c r="H10" s="7">
        <f t="shared" ref="H10" si="33">G10/C10</f>
        <v>0.38592470004939183</v>
      </c>
      <c r="I10" s="8">
        <f>'0807分析標準表'!$J$5</f>
        <v>19618.585899999998</v>
      </c>
      <c r="J10" s="7">
        <f t="shared" ref="J10" si="34">I10/E10</f>
        <v>0.30606693730820866</v>
      </c>
      <c r="K10" s="9">
        <f>'0807分析標準表'!$L$5</f>
        <v>3279.0339999999997</v>
      </c>
      <c r="L10" s="10">
        <f t="shared" ref="L10" si="35">K10/C10</f>
        <v>0.17951162690335579</v>
      </c>
      <c r="M10" s="85" t="s">
        <v>21</v>
      </c>
      <c r="N10" s="85"/>
      <c r="O10" s="85"/>
      <c r="P10" s="85"/>
      <c r="Q10" s="85"/>
      <c r="R10" s="85"/>
      <c r="S10" s="85"/>
      <c r="T10" s="85"/>
      <c r="U10" s="85"/>
      <c r="V10" s="11">
        <v>198</v>
      </c>
    </row>
    <row r="11" spans="1:27" ht="18.75">
      <c r="A11" s="13">
        <f t="shared" si="10"/>
        <v>45877</v>
      </c>
      <c r="B11" s="4">
        <f>'0808分析標準表'!$C$3</f>
        <v>6209389.7300000004</v>
      </c>
      <c r="C11" s="5">
        <f>'0808分析標準表'!$D$5</f>
        <v>15004.129199999996</v>
      </c>
      <c r="D11" s="6">
        <f t="shared" ref="D11" si="36">C11/B11</f>
        <v>2.4163613257369167E-3</v>
      </c>
      <c r="E11" s="5">
        <f>'0808分析標準表'!$F$5</f>
        <v>53146.33649999999</v>
      </c>
      <c r="F11" s="7">
        <f t="shared" ref="F11" si="37">E11/B11</f>
        <v>8.559027345832259E-3</v>
      </c>
      <c r="G11" s="4">
        <f>'0808分析標準表'!$H$5</f>
        <v>5839.2654999999995</v>
      </c>
      <c r="H11" s="7">
        <f t="shared" ref="H11" si="38">G11/C11</f>
        <v>0.38917723395770287</v>
      </c>
      <c r="I11" s="8">
        <f>'0808分析標準表'!$J$5</f>
        <v>13239.132899999997</v>
      </c>
      <c r="J11" s="7">
        <f t="shared" ref="J11" si="39">I11/E11</f>
        <v>0.24910715906071906</v>
      </c>
      <c r="K11" s="9">
        <f>'0808分析標準表'!$L$5</f>
        <v>2524.6270999999997</v>
      </c>
      <c r="L11" s="10">
        <f t="shared" ref="L11" si="40">K11/C11</f>
        <v>0.16826215412754514</v>
      </c>
      <c r="M11" s="85" t="s">
        <v>22</v>
      </c>
      <c r="N11" s="85"/>
      <c r="O11" s="85"/>
      <c r="P11" s="85"/>
      <c r="Q11" s="85"/>
      <c r="R11" s="85"/>
      <c r="S11" s="85"/>
      <c r="T11" s="85"/>
      <c r="U11" s="85"/>
      <c r="V11" s="11">
        <v>196</v>
      </c>
    </row>
    <row r="12" spans="1:27" ht="18.75">
      <c r="A12" s="13">
        <f t="shared" si="10"/>
        <v>45878</v>
      </c>
      <c r="B12" s="4">
        <f>'0809分析標準表'!$C$3</f>
        <v>6591313.1100000003</v>
      </c>
      <c r="C12" s="5">
        <f>'0809分析標準表'!$D$5</f>
        <v>15935.423099999993</v>
      </c>
      <c r="D12" s="6">
        <f t="shared" ref="D12" si="41">C12/B12</f>
        <v>2.4176401324075458E-3</v>
      </c>
      <c r="E12" s="5">
        <f>'0809分析標準表'!$F$5</f>
        <v>55317.722599999994</v>
      </c>
      <c r="F12" s="7">
        <f t="shared" ref="F12" si="42">E12/B12</f>
        <v>8.3925193169893265E-3</v>
      </c>
      <c r="G12" s="4">
        <f>'0809分析標準表'!$H$5</f>
        <v>5590.9560000000001</v>
      </c>
      <c r="H12" s="7">
        <f t="shared" ref="H12" si="43">G12/C12</f>
        <v>0.3508508035786011</v>
      </c>
      <c r="I12" s="8">
        <f>'0809分析標準表'!$J$5</f>
        <v>13860.9702</v>
      </c>
      <c r="J12" s="7">
        <f t="shared" ref="J12" si="44">I12/E12</f>
        <v>0.25057015271991695</v>
      </c>
      <c r="K12" s="9">
        <f>'0809分析標準表'!$L$5</f>
        <v>3905.1883000000003</v>
      </c>
      <c r="L12" s="10">
        <f t="shared" ref="L12" si="45">K12/C12</f>
        <v>0.24506335824870581</v>
      </c>
      <c r="M12" s="85" t="s">
        <v>23</v>
      </c>
      <c r="N12" s="85"/>
      <c r="O12" s="85"/>
      <c r="P12" s="85"/>
      <c r="Q12" s="85"/>
      <c r="R12" s="85"/>
      <c r="S12" s="85"/>
      <c r="T12" s="85"/>
      <c r="U12" s="85"/>
      <c r="V12" s="11">
        <v>196</v>
      </c>
    </row>
    <row r="13" spans="1:27" ht="18.75">
      <c r="A13" s="13">
        <f t="shared" si="10"/>
        <v>45879</v>
      </c>
      <c r="B13" s="4">
        <f>'0810分析標準表'!$C$3</f>
        <v>8170415.25</v>
      </c>
      <c r="C13" s="5">
        <f>'0810分析標準表'!$D$5</f>
        <v>19791.179899999999</v>
      </c>
      <c r="D13" s="6">
        <f t="shared" ref="D13" si="46">C13/B13</f>
        <v>2.4222979242089315E-3</v>
      </c>
      <c r="E13" s="5">
        <f>'0810分析標準表'!$F$5</f>
        <v>69175.717199999912</v>
      </c>
      <c r="F13" s="7">
        <f t="shared" ref="F13" si="47">E13/B13</f>
        <v>8.4666097234164343E-3</v>
      </c>
      <c r="G13" s="4">
        <f>'0810分析標準表'!$H$5</f>
        <v>4749.1459999999988</v>
      </c>
      <c r="H13" s="7">
        <f t="shared" ref="H13" si="48">G13/C13</f>
        <v>0.2399627522965419</v>
      </c>
      <c r="I13" s="8">
        <f>'0810分析標準表'!$J$5</f>
        <v>22018.89039999996</v>
      </c>
      <c r="J13" s="7">
        <f t="shared" ref="J13" si="49">I13/E13</f>
        <v>0.31830375298226743</v>
      </c>
      <c r="K13" s="9">
        <f>'0810分析標準表'!$L$5</f>
        <v>2177.9221000000002</v>
      </c>
      <c r="L13" s="10">
        <f t="shared" ref="L13" si="50">K13/C13</f>
        <v>0.11004508629624454</v>
      </c>
      <c r="M13" s="85" t="s">
        <v>24</v>
      </c>
      <c r="N13" s="85"/>
      <c r="O13" s="85"/>
      <c r="P13" s="85"/>
      <c r="Q13" s="85"/>
      <c r="R13" s="85"/>
      <c r="S13" s="85"/>
      <c r="T13" s="85"/>
      <c r="U13" s="85"/>
      <c r="V13" s="11">
        <v>190</v>
      </c>
    </row>
    <row r="14" spans="1:27" ht="18.75">
      <c r="A14" s="3">
        <f t="shared" si="10"/>
        <v>45880</v>
      </c>
      <c r="B14" s="4">
        <f>'0811分析標準表'!$C$3</f>
        <v>7815178.2999999998</v>
      </c>
      <c r="C14" s="5">
        <f>'0811分析標準表'!$D$5</f>
        <v>18915.579199999993</v>
      </c>
      <c r="D14" s="6">
        <f t="shared" ref="D14" si="51">C14/B14</f>
        <v>2.420364382473525E-3</v>
      </c>
      <c r="E14" s="5">
        <f>'0811分析標準表'!$F$5</f>
        <v>65473.776000000013</v>
      </c>
      <c r="F14" s="7">
        <f t="shared" ref="F14" si="52">E14/B14</f>
        <v>8.3777712403567319E-3</v>
      </c>
      <c r="G14" s="4">
        <f>'0811分析標準表'!$H$5</f>
        <v>5024.6253000000006</v>
      </c>
      <c r="H14" s="7">
        <f t="shared" ref="H14" si="53">G14/C14</f>
        <v>0.26563422916492047</v>
      </c>
      <c r="I14" s="8">
        <f>'0811分析標準表'!$J$5</f>
        <v>21910.520299999967</v>
      </c>
      <c r="J14" s="7">
        <f t="shared" ref="J14" si="54">I14/E14</f>
        <v>0.33464574122011786</v>
      </c>
      <c r="K14" s="9">
        <f>'0811分析標準表'!$L$5</f>
        <v>2437.3231000000001</v>
      </c>
      <c r="L14" s="10">
        <f t="shared" ref="L14" si="55">K14/C14</f>
        <v>0.12885268139185507</v>
      </c>
      <c r="M14" s="85" t="s">
        <v>25</v>
      </c>
      <c r="N14" s="85"/>
      <c r="O14" s="85"/>
      <c r="P14" s="85"/>
      <c r="Q14" s="85"/>
      <c r="R14" s="85"/>
      <c r="S14" s="85"/>
      <c r="T14" s="85"/>
      <c r="U14" s="85"/>
      <c r="V14" s="11">
        <v>189</v>
      </c>
    </row>
    <row r="15" spans="1:27" ht="18.75">
      <c r="A15" s="13">
        <f t="shared" si="10"/>
        <v>45881</v>
      </c>
      <c r="B15" s="4">
        <f>'0812分析標準表'!$C$3</f>
        <v>7841558.5099999998</v>
      </c>
      <c r="C15" s="5">
        <f>'0812分析標準表'!$D$5</f>
        <v>18989.922799999993</v>
      </c>
      <c r="D15" s="6">
        <f t="shared" ref="D15" si="56">C15/B15</f>
        <v>2.4217026214601303E-3</v>
      </c>
      <c r="E15" s="5">
        <f>'0812分析標準表'!$F$5</f>
        <v>66433.736746000068</v>
      </c>
      <c r="F15" s="7">
        <f t="shared" ref="F15" si="57">E15/B15</f>
        <v>8.4720067651449654E-3</v>
      </c>
      <c r="G15" s="4">
        <f>'0812分析標準表'!$H$5</f>
        <v>6434.6202000000012</v>
      </c>
      <c r="H15" s="7">
        <f t="shared" ref="H15" si="58">G15/C15</f>
        <v>0.33884393674312374</v>
      </c>
      <c r="I15" s="8">
        <f>'0812分析標準表'!$J$5</f>
        <v>17858.852099999993</v>
      </c>
      <c r="J15" s="7">
        <f t="shared" ref="J15" si="59">I15/E15</f>
        <v>0.26882203191852311</v>
      </c>
      <c r="K15" s="9">
        <f>'0812分析標準表'!$L$5</f>
        <v>3211.2648999999992</v>
      </c>
      <c r="L15" s="10">
        <f t="shared" ref="L15" si="60">K15/C15</f>
        <v>0.16910363111112808</v>
      </c>
      <c r="M15" s="85" t="s">
        <v>26</v>
      </c>
      <c r="N15" s="85"/>
      <c r="O15" s="85"/>
      <c r="P15" s="85"/>
      <c r="Q15" s="85"/>
      <c r="R15" s="85"/>
      <c r="S15" s="85"/>
      <c r="T15" s="85"/>
      <c r="U15" s="85"/>
      <c r="V15" s="11">
        <v>193</v>
      </c>
      <c r="Y15" s="15"/>
      <c r="Z15" s="15"/>
      <c r="AA15" s="15"/>
    </row>
    <row r="16" spans="1:27" ht="18.75">
      <c r="A16" s="12">
        <f t="shared" si="10"/>
        <v>45882</v>
      </c>
      <c r="B16" s="4">
        <f>'0813分析標準表'!$C$3</f>
        <v>7976719.9199999999</v>
      </c>
      <c r="C16" s="5">
        <f>'0813分析標準表'!$D$5</f>
        <v>19336.48569999999</v>
      </c>
      <c r="D16" s="6">
        <f t="shared" ref="D16:D34" si="61">C16/B16</f>
        <v>2.4241149111325438E-3</v>
      </c>
      <c r="E16" s="5">
        <f>'0813分析標準表'!$F$5</f>
        <v>64898.550600000068</v>
      </c>
      <c r="F16" s="7">
        <f t="shared" ref="F16:F34" si="62">E16/B16</f>
        <v>8.1359946507937649E-3</v>
      </c>
      <c r="G16" s="4">
        <f>'0813分析標準表'!$H$5</f>
        <v>6901.5355000000009</v>
      </c>
      <c r="H16" s="7">
        <f t="shared" ref="H16:H34" si="63">G16/C16</f>
        <v>0.35691777746356484</v>
      </c>
      <c r="I16" s="8">
        <f>'0813分析標準表'!$J$5</f>
        <v>20197.400100000017</v>
      </c>
      <c r="J16" s="7">
        <f t="shared" ref="J16:J34" si="64">I16/E16</f>
        <v>0.3112149641751783</v>
      </c>
      <c r="K16" s="9">
        <f>'0813分析標準表'!$L$5</f>
        <v>2721.018599999999</v>
      </c>
      <c r="L16" s="10">
        <f t="shared" ref="L16:L34" si="65">K16/C16</f>
        <v>0.14071939659645602</v>
      </c>
      <c r="M16" s="85" t="s">
        <v>27</v>
      </c>
      <c r="N16" s="85"/>
      <c r="O16" s="85"/>
      <c r="P16" s="85"/>
      <c r="Q16" s="85"/>
      <c r="R16" s="85"/>
      <c r="S16" s="85"/>
      <c r="T16" s="85"/>
      <c r="U16" s="85"/>
      <c r="V16" s="11">
        <v>193</v>
      </c>
    </row>
    <row r="17" spans="1:26" ht="18.75">
      <c r="A17" s="13">
        <f t="shared" si="10"/>
        <v>45883</v>
      </c>
      <c r="B17" s="4">
        <f>'0814分析標準表'!$C$3</f>
        <v>7479649.0499999998</v>
      </c>
      <c r="C17" s="5">
        <f>'0814分析標準表'!$D$5</f>
        <v>18102.072999999989</v>
      </c>
      <c r="D17" s="6">
        <f t="shared" si="61"/>
        <v>2.4201767862357111E-3</v>
      </c>
      <c r="E17" s="5">
        <f>'0814分析標準表'!$F$5</f>
        <v>61257.18829999998</v>
      </c>
      <c r="F17" s="7">
        <f t="shared" si="62"/>
        <v>8.1898479314346951E-3</v>
      </c>
      <c r="G17" s="4">
        <f>'0814分析標準表'!$H$5</f>
        <v>7271.5655000000006</v>
      </c>
      <c r="H17" s="7">
        <f t="shared" si="63"/>
        <v>0.40169794365540373</v>
      </c>
      <c r="I17" s="8">
        <f>'0814分析標準表'!$J$5</f>
        <v>23636.318300000006</v>
      </c>
      <c r="J17" s="7">
        <f t="shared" si="64"/>
        <v>0.38585379048486323</v>
      </c>
      <c r="K17" s="9">
        <f>'0814分析標準表'!$L$5</f>
        <v>4829.1512000000002</v>
      </c>
      <c r="L17" s="10">
        <f t="shared" si="65"/>
        <v>0.26677338004326923</v>
      </c>
      <c r="M17" s="85" t="s">
        <v>28</v>
      </c>
      <c r="N17" s="85"/>
      <c r="O17" s="85"/>
      <c r="P17" s="85"/>
      <c r="Q17" s="85"/>
      <c r="R17" s="85"/>
      <c r="S17" s="85"/>
      <c r="T17" s="85"/>
      <c r="U17" s="85"/>
      <c r="V17" s="11">
        <v>193</v>
      </c>
      <c r="Y17" s="16"/>
      <c r="Z17" s="16"/>
    </row>
    <row r="18" spans="1:26" ht="18.75">
      <c r="A18" s="13">
        <f t="shared" si="10"/>
        <v>45884</v>
      </c>
      <c r="B18" s="4">
        <f>'0815分析標準表'!$C$3</f>
        <v>6364780.2199999997</v>
      </c>
      <c r="C18" s="5">
        <f>'0815分析標準表'!$D$5</f>
        <v>15365.392200000002</v>
      </c>
      <c r="D18" s="6">
        <f t="shared" si="61"/>
        <v>2.4141276947344465E-3</v>
      </c>
      <c r="E18" s="5">
        <f>'0815分析標準表'!$F$5</f>
        <v>52005.885399999985</v>
      </c>
      <c r="F18" s="7">
        <f t="shared" si="62"/>
        <v>8.1708847128110235E-3</v>
      </c>
      <c r="G18" s="4">
        <f>'0815分析標準表'!$H$5</f>
        <v>4258.2772000000004</v>
      </c>
      <c r="H18" s="7">
        <f t="shared" si="63"/>
        <v>0.27713429924684901</v>
      </c>
      <c r="I18" s="8">
        <f>'0815分析標準表'!$J$5</f>
        <v>14153.417699999995</v>
      </c>
      <c r="J18" s="7">
        <f t="shared" si="64"/>
        <v>0.27215030743424279</v>
      </c>
      <c r="K18" s="9">
        <f>'0815分析標準表'!$L$5</f>
        <v>3010.4886999999999</v>
      </c>
      <c r="L18" s="10">
        <f t="shared" si="65"/>
        <v>0.19592657712960945</v>
      </c>
      <c r="M18" s="85" t="s">
        <v>29</v>
      </c>
      <c r="N18" s="85"/>
      <c r="O18" s="85"/>
      <c r="P18" s="85"/>
      <c r="Q18" s="85"/>
      <c r="R18" s="85"/>
      <c r="S18" s="85"/>
      <c r="T18" s="85"/>
      <c r="U18" s="85"/>
      <c r="V18" s="11">
        <v>193</v>
      </c>
    </row>
    <row r="19" spans="1:26" ht="18.75">
      <c r="A19" s="13">
        <f t="shared" si="10"/>
        <v>45885</v>
      </c>
      <c r="B19" s="4">
        <f>'0816分析標準表'!$C$3</f>
        <v>6421067.7599999998</v>
      </c>
      <c r="C19" s="5">
        <f>'0816分析標準表'!$D$5</f>
        <v>15499.561299999996</v>
      </c>
      <c r="D19" s="6">
        <f t="shared" si="61"/>
        <v>2.4138604168849318E-3</v>
      </c>
      <c r="E19" s="5">
        <f>'0816分析標準表'!$F$5</f>
        <v>51768.062600000012</v>
      </c>
      <c r="F19" s="7">
        <f t="shared" si="62"/>
        <v>8.0622202622574433E-3</v>
      </c>
      <c r="G19" s="4">
        <f>'0816分析標準表'!$H$5</f>
        <v>6561.8212999999987</v>
      </c>
      <c r="H19" s="7">
        <f t="shared" si="63"/>
        <v>0.42335529199784516</v>
      </c>
      <c r="I19" s="8">
        <f>'0816分析標準表'!$J$5</f>
        <v>11886.044199999989</v>
      </c>
      <c r="J19" s="7">
        <f t="shared" si="64"/>
        <v>0.2296018742644618</v>
      </c>
      <c r="K19" s="9">
        <f>'0816分析標準表'!$L$5</f>
        <v>2280.5808999999999</v>
      </c>
      <c r="L19" s="10">
        <f t="shared" si="65"/>
        <v>0.14713841610471909</v>
      </c>
      <c r="M19" s="85" t="s">
        <v>30</v>
      </c>
      <c r="N19" s="85"/>
      <c r="O19" s="85"/>
      <c r="P19" s="85"/>
      <c r="Q19" s="85"/>
      <c r="R19" s="85"/>
      <c r="S19" s="85"/>
      <c r="T19" s="85"/>
      <c r="U19" s="85"/>
      <c r="V19" s="11">
        <v>190</v>
      </c>
    </row>
    <row r="20" spans="1:26" ht="18.75">
      <c r="A20" s="13">
        <f t="shared" si="10"/>
        <v>45886</v>
      </c>
      <c r="B20" s="4">
        <f>'0817分析標準表'!$C$3</f>
        <v>8145084.8600000003</v>
      </c>
      <c r="C20" s="5">
        <f>'0817分析標準表'!$D$5</f>
        <v>19707.4653</v>
      </c>
      <c r="D20" s="6">
        <f t="shared" si="61"/>
        <v>2.4195530972037044E-3</v>
      </c>
      <c r="E20" s="5">
        <f>'0817分析標準表'!$F$5</f>
        <v>65748.467400000009</v>
      </c>
      <c r="F20" s="7">
        <f t="shared" si="62"/>
        <v>8.0721648122890153E-3</v>
      </c>
      <c r="G20" s="4">
        <f>'0817分析標準表'!$H$5</f>
        <v>5342.5190000000002</v>
      </c>
      <c r="H20" s="7">
        <f t="shared" si="63"/>
        <v>0.27109112809144464</v>
      </c>
      <c r="I20" s="8">
        <f>'0817分析標準表'!$J$5</f>
        <v>14761.841200000008</v>
      </c>
      <c r="J20" s="7">
        <f t="shared" si="64"/>
        <v>0.22451992850558836</v>
      </c>
      <c r="K20" s="9">
        <f>'0817分析標準表'!$L$5</f>
        <v>2941.4027000000001</v>
      </c>
      <c r="L20" s="10">
        <f t="shared" si="65"/>
        <v>0.14925322233093061</v>
      </c>
      <c r="M20" s="85" t="s">
        <v>31</v>
      </c>
      <c r="N20" s="85"/>
      <c r="O20" s="85"/>
      <c r="P20" s="85"/>
      <c r="Q20" s="85"/>
      <c r="R20" s="85"/>
      <c r="S20" s="85"/>
      <c r="T20" s="85"/>
      <c r="U20" s="85"/>
      <c r="V20" s="11">
        <v>186</v>
      </c>
    </row>
    <row r="21" spans="1:26" ht="18.75">
      <c r="A21" s="3">
        <f t="shared" si="10"/>
        <v>45887</v>
      </c>
      <c r="B21" s="4">
        <f>'0818分析標準表'!$C$3</f>
        <v>7989071.5499999998</v>
      </c>
      <c r="C21" s="5">
        <f>'0818分析標準表'!$D$5</f>
        <v>19315.407999999985</v>
      </c>
      <c r="D21" s="6">
        <f t="shared" si="61"/>
        <v>2.4177287534744869E-3</v>
      </c>
      <c r="E21" s="5">
        <f>'0818分析標準表'!$F$5</f>
        <v>63949.723899999939</v>
      </c>
      <c r="F21" s="7">
        <f t="shared" si="62"/>
        <v>8.0046502900577906E-3</v>
      </c>
      <c r="G21" s="4">
        <f>'0818分析標準表'!$H$5</f>
        <v>4834.7357000000002</v>
      </c>
      <c r="H21" s="7">
        <f t="shared" si="63"/>
        <v>0.25030461173794538</v>
      </c>
      <c r="I21" s="8">
        <f>'0818分析標準表'!$J$5</f>
        <v>16251.212799999976</v>
      </c>
      <c r="J21" s="7">
        <f t="shared" si="64"/>
        <v>0.25412483133488545</v>
      </c>
      <c r="K21" s="9">
        <f>'0818分析標準表'!$L$5</f>
        <v>2780.3090999999999</v>
      </c>
      <c r="L21" s="10">
        <f t="shared" si="65"/>
        <v>0.14394255094171463</v>
      </c>
      <c r="M21" s="85" t="s">
        <v>32</v>
      </c>
      <c r="N21" s="85"/>
      <c r="O21" s="85"/>
      <c r="P21" s="85"/>
      <c r="Q21" s="85"/>
      <c r="R21" s="85"/>
      <c r="S21" s="85"/>
      <c r="T21" s="85"/>
      <c r="U21" s="85"/>
      <c r="V21" s="11">
        <v>185</v>
      </c>
    </row>
    <row r="22" spans="1:26" ht="18.75">
      <c r="A22" s="13">
        <f t="shared" si="10"/>
        <v>45888</v>
      </c>
      <c r="B22" s="4">
        <f>'0819分析標準表'!$C$3</f>
        <v>7909637.04</v>
      </c>
      <c r="C22" s="5">
        <f>'0819分析標準表'!$D$5</f>
        <v>19096.599099999992</v>
      </c>
      <c r="D22" s="6">
        <f t="shared" si="61"/>
        <v>2.4143458168088068E-3</v>
      </c>
      <c r="E22" s="5">
        <f>'0819分析標準表'!$F$5</f>
        <v>63190.177499999962</v>
      </c>
      <c r="F22" s="7">
        <f t="shared" si="62"/>
        <v>7.9890110229381608E-3</v>
      </c>
      <c r="G22" s="4">
        <f>'0819分析標準表'!$H$5</f>
        <v>4584.4793</v>
      </c>
      <c r="H22" s="7">
        <f t="shared" si="63"/>
        <v>0.24006784014227966</v>
      </c>
      <c r="I22" s="8">
        <f>'0819分析標準表'!$J$5</f>
        <v>19388.742499999989</v>
      </c>
      <c r="J22" s="7">
        <f t="shared" si="64"/>
        <v>0.30683158786822529</v>
      </c>
      <c r="K22" s="9">
        <f>'0819分析標準表'!$L$5</f>
        <v>2920.665</v>
      </c>
      <c r="L22" s="10">
        <f t="shared" si="65"/>
        <v>0.15294163032411365</v>
      </c>
      <c r="M22" s="85" t="s">
        <v>33</v>
      </c>
      <c r="N22" s="85"/>
      <c r="O22" s="85"/>
      <c r="P22" s="85"/>
      <c r="Q22" s="85"/>
      <c r="R22" s="85"/>
      <c r="S22" s="85"/>
      <c r="T22" s="85"/>
      <c r="U22" s="85"/>
      <c r="V22" s="11">
        <v>185</v>
      </c>
    </row>
    <row r="23" spans="1:26" ht="18.75">
      <c r="A23" s="12">
        <f t="shared" si="10"/>
        <v>45889</v>
      </c>
      <c r="B23" s="4">
        <f>'0820分析標準表'!$C$3</f>
        <v>7775987.7599999998</v>
      </c>
      <c r="C23" s="5">
        <f>'0820分析標準表'!$D$5</f>
        <v>18753.285699999986</v>
      </c>
      <c r="D23" s="6">
        <f t="shared" si="61"/>
        <v>2.4116917720045363E-3</v>
      </c>
      <c r="E23" s="5">
        <f>'0820分析標準表'!$F$5</f>
        <v>61899.048500000026</v>
      </c>
      <c r="F23" s="7">
        <f t="shared" si="62"/>
        <v>7.9602811128910555E-3</v>
      </c>
      <c r="G23" s="4">
        <f>'0820分析標準表'!$H$5</f>
        <v>4932.1410999999998</v>
      </c>
      <c r="H23" s="7">
        <f t="shared" si="63"/>
        <v>0.26300143766273465</v>
      </c>
      <c r="I23" s="8">
        <f>'0820分析標準表'!$J$5</f>
        <v>15165.34260000004</v>
      </c>
      <c r="J23" s="7">
        <f t="shared" si="64"/>
        <v>0.24500122324174392</v>
      </c>
      <c r="K23" s="9">
        <f>'0820分析標準表'!$L$5</f>
        <v>3175.0388000000003</v>
      </c>
      <c r="L23" s="10">
        <f t="shared" si="65"/>
        <v>0.16930573398132587</v>
      </c>
      <c r="M23" s="85" t="s">
        <v>34</v>
      </c>
      <c r="N23" s="85"/>
      <c r="O23" s="85"/>
      <c r="P23" s="85"/>
      <c r="Q23" s="85"/>
      <c r="R23" s="85"/>
      <c r="S23" s="85"/>
      <c r="T23" s="85"/>
      <c r="U23" s="85"/>
      <c r="V23" s="11">
        <v>185</v>
      </c>
    </row>
    <row r="24" spans="1:26" ht="18.75">
      <c r="A24" s="13">
        <f t="shared" si="10"/>
        <v>45890</v>
      </c>
      <c r="B24" s="4">
        <f>'0821分析標準表'!$C$3</f>
        <v>7246465.3200000003</v>
      </c>
      <c r="C24" s="5">
        <f>'0821分析標準表'!$D$5</f>
        <v>17467.345399999987</v>
      </c>
      <c r="D24" s="6">
        <f t="shared" si="61"/>
        <v>2.4104642234042991E-3</v>
      </c>
      <c r="E24" s="5">
        <f>'0821分析標準表'!$F$5</f>
        <v>57573.538400000019</v>
      </c>
      <c r="F24" s="7">
        <f t="shared" si="62"/>
        <v>7.9450512570727397E-3</v>
      </c>
      <c r="G24" s="4">
        <f>'0821分析標準表'!$H$5</f>
        <v>3942.5740999999998</v>
      </c>
      <c r="H24" s="7">
        <f t="shared" si="63"/>
        <v>0.2257111203629146</v>
      </c>
      <c r="I24" s="8">
        <f>'0821分析標準表'!$J$5</f>
        <v>17476.456300000009</v>
      </c>
      <c r="J24" s="7">
        <f t="shared" si="64"/>
        <v>0.3035501514355422</v>
      </c>
      <c r="K24" s="9">
        <f>'0821分析標準表'!$L$5</f>
        <v>3001.2626999999998</v>
      </c>
      <c r="L24" s="10">
        <f t="shared" si="65"/>
        <v>0.17182134040814248</v>
      </c>
      <c r="M24" s="85" t="s">
        <v>35</v>
      </c>
      <c r="N24" s="85"/>
      <c r="O24" s="85"/>
      <c r="P24" s="85"/>
      <c r="Q24" s="85"/>
      <c r="R24" s="85"/>
      <c r="S24" s="85"/>
      <c r="T24" s="85"/>
      <c r="U24" s="85"/>
      <c r="V24" s="11">
        <v>185</v>
      </c>
    </row>
    <row r="25" spans="1:26" ht="18.75">
      <c r="A25" s="13">
        <f t="shared" si="10"/>
        <v>45891</v>
      </c>
      <c r="B25" s="4">
        <f>'0822分析標準表'!$C$3</f>
        <v>5933586.3499999996</v>
      </c>
      <c r="C25" s="5">
        <f>'0822分析標準表'!$D$5</f>
        <v>14356.7605</v>
      </c>
      <c r="D25" s="6">
        <f t="shared" si="61"/>
        <v>2.4195755573692798E-3</v>
      </c>
      <c r="E25" s="5">
        <f>'0822分析標準表'!$F$5</f>
        <v>47139.285500000027</v>
      </c>
      <c r="F25" s="7">
        <f t="shared" si="62"/>
        <v>7.9444846201656826E-3</v>
      </c>
      <c r="G25" s="4">
        <f>'0822分析標準表'!$H$5</f>
        <v>6190.3314</v>
      </c>
      <c r="H25" s="7">
        <f t="shared" si="63"/>
        <v>0.43117884428036535</v>
      </c>
      <c r="I25" s="8">
        <f>'0822分析標準表'!$J$5</f>
        <v>10886.709600000038</v>
      </c>
      <c r="J25" s="7">
        <f t="shared" si="64"/>
        <v>0.23094770072406023</v>
      </c>
      <c r="K25" s="9">
        <f>'0822分析標準表'!$L$5</f>
        <v>2994.4933999999998</v>
      </c>
      <c r="L25" s="10">
        <f t="shared" si="65"/>
        <v>0.20857723439769019</v>
      </c>
      <c r="M25" s="85" t="s">
        <v>36</v>
      </c>
      <c r="N25" s="85"/>
      <c r="O25" s="85"/>
      <c r="P25" s="85"/>
      <c r="Q25" s="85"/>
      <c r="R25" s="85"/>
      <c r="S25" s="85"/>
      <c r="T25" s="85"/>
      <c r="U25" s="85"/>
      <c r="V25" s="11">
        <v>185</v>
      </c>
    </row>
    <row r="26" spans="1:26" ht="18.75">
      <c r="A26" s="13">
        <f t="shared" si="10"/>
        <v>45892</v>
      </c>
      <c r="B26" s="4">
        <f>'0823分析標準表'!$C$3</f>
        <v>6081229.5300000003</v>
      </c>
      <c r="C26" s="5">
        <f>'0823分析標準表'!$D$5</f>
        <v>14691.886299999993</v>
      </c>
      <c r="D26" s="6">
        <f t="shared" si="61"/>
        <v>2.4159401034810129E-3</v>
      </c>
      <c r="E26" s="5">
        <f>'0823分析標準表'!$F$5</f>
        <v>48212.656200000012</v>
      </c>
      <c r="F26" s="7">
        <f t="shared" si="62"/>
        <v>7.9281099261517291E-3</v>
      </c>
      <c r="G26" s="4">
        <f>'0823分析標準表'!$H$5</f>
        <v>5687.0398999999998</v>
      </c>
      <c r="H26" s="7">
        <f t="shared" si="63"/>
        <v>0.38708711624047909</v>
      </c>
      <c r="I26" s="8">
        <f>'0823分析標準表'!$J$5</f>
        <v>13306.951099999991</v>
      </c>
      <c r="J26" s="7">
        <f t="shared" si="64"/>
        <v>0.27600535105966612</v>
      </c>
      <c r="K26" s="9">
        <f>'0823分析標準表'!$L$5</f>
        <v>1926.7928999999999</v>
      </c>
      <c r="L26" s="10">
        <f t="shared" si="65"/>
        <v>0.13114673369069027</v>
      </c>
      <c r="M26" s="85" t="s">
        <v>37</v>
      </c>
      <c r="N26" s="85"/>
      <c r="O26" s="85"/>
      <c r="P26" s="85"/>
      <c r="Q26" s="85"/>
      <c r="R26" s="85"/>
      <c r="S26" s="85"/>
      <c r="T26" s="85"/>
      <c r="U26" s="85"/>
      <c r="V26" s="11">
        <v>178</v>
      </c>
    </row>
    <row r="27" spans="1:26" ht="18.75">
      <c r="A27" s="13">
        <f t="shared" si="10"/>
        <v>45893</v>
      </c>
      <c r="B27" s="4">
        <f>'0824分析標準表'!$C$3</f>
        <v>7894027.0499999998</v>
      </c>
      <c r="C27" s="5">
        <f>'0824分析標準表'!$D$5</f>
        <v>19089.354199999991</v>
      </c>
      <c r="D27" s="6">
        <f t="shared" si="61"/>
        <v>2.4182022786455983E-3</v>
      </c>
      <c r="E27" s="5">
        <f>'0824分析標準表'!$F$5</f>
        <v>61921.235099999962</v>
      </c>
      <c r="F27" s="7">
        <f t="shared" si="62"/>
        <v>7.8440616820536439E-3</v>
      </c>
      <c r="G27" s="4">
        <f>'0824分析標準表'!$H$5</f>
        <v>4499.0199999999995</v>
      </c>
      <c r="H27" s="7">
        <f t="shared" si="63"/>
        <v>0.23568214790629227</v>
      </c>
      <c r="I27" s="8">
        <f>'0824分析標準表'!$J$5</f>
        <v>16773.528499999997</v>
      </c>
      <c r="J27" s="7">
        <f t="shared" si="64"/>
        <v>0.27088491489085315</v>
      </c>
      <c r="K27" s="9">
        <f>'0824分析標準表'!$L$5</f>
        <v>2496.1020999999996</v>
      </c>
      <c r="L27" s="10">
        <f t="shared" si="65"/>
        <v>0.13075885511098123</v>
      </c>
      <c r="M27" s="85" t="s">
        <v>38</v>
      </c>
      <c r="N27" s="85"/>
      <c r="O27" s="85"/>
      <c r="P27" s="85"/>
      <c r="Q27" s="85"/>
      <c r="R27" s="85"/>
      <c r="S27" s="85"/>
      <c r="T27" s="85"/>
      <c r="U27" s="85"/>
      <c r="V27" s="11">
        <v>178</v>
      </c>
    </row>
    <row r="28" spans="1:26" ht="18.75">
      <c r="A28" s="3">
        <f t="shared" si="10"/>
        <v>45894</v>
      </c>
      <c r="B28" s="4">
        <f>'0825分析標準表'!$C$3</f>
        <v>7726391.29</v>
      </c>
      <c r="C28" s="5">
        <f>'0825分析標準表'!$D$5</f>
        <v>18655.30779999998</v>
      </c>
      <c r="D28" s="6">
        <f t="shared" si="61"/>
        <v>2.4144917206231709E-3</v>
      </c>
      <c r="E28" s="5">
        <f>'0825分析標準表'!$F$5</f>
        <v>60538.646100000005</v>
      </c>
      <c r="F28" s="7">
        <f t="shared" si="62"/>
        <v>7.8353067852456656E-3</v>
      </c>
      <c r="G28" s="4">
        <f>'0825分析標準表'!$H$5</f>
        <v>4083.4716000000003</v>
      </c>
      <c r="H28" s="7">
        <f t="shared" si="63"/>
        <v>0.21889060442090399</v>
      </c>
      <c r="I28" s="8">
        <f>'0825分析標準表'!$J$5</f>
        <v>18900.471799999992</v>
      </c>
      <c r="J28" s="7">
        <f t="shared" si="64"/>
        <v>0.31220506267648412</v>
      </c>
      <c r="K28" s="9">
        <f>'0825分析標準表'!$L$5</f>
        <v>2441.0153</v>
      </c>
      <c r="L28" s="10">
        <f t="shared" si="65"/>
        <v>0.13084829937783191</v>
      </c>
      <c r="M28" s="85" t="s">
        <v>39</v>
      </c>
      <c r="N28" s="85"/>
      <c r="O28" s="85"/>
      <c r="P28" s="85"/>
      <c r="Q28" s="85"/>
      <c r="R28" s="85"/>
      <c r="S28" s="85"/>
      <c r="T28" s="85"/>
      <c r="U28" s="85"/>
      <c r="V28" s="11">
        <v>178</v>
      </c>
    </row>
    <row r="29" spans="1:26" ht="18.75">
      <c r="A29" s="13">
        <f t="shared" si="10"/>
        <v>45895</v>
      </c>
      <c r="B29" s="4">
        <f>'0826分析標準表'!$C$3</f>
        <v>7423824.2000000002</v>
      </c>
      <c r="C29" s="5">
        <f>'0826分析標準表'!$D$5</f>
        <v>17888.274300000005</v>
      </c>
      <c r="D29" s="6">
        <f t="shared" si="61"/>
        <v>2.4095767650316939E-3</v>
      </c>
      <c r="E29" s="5">
        <f>'0826分析標準表'!$F$5</f>
        <v>58011.728800000019</v>
      </c>
      <c r="F29" s="7">
        <f t="shared" si="62"/>
        <v>7.8142648905937216E-3</v>
      </c>
      <c r="G29" s="4">
        <f>'0826分析標準表'!$H$5</f>
        <v>2865.4102999999996</v>
      </c>
      <c r="H29" s="7">
        <f t="shared" si="63"/>
        <v>0.16018371878387391</v>
      </c>
      <c r="I29" s="8">
        <f>'0826分析標準表'!$J$5</f>
        <v>20404.952999999998</v>
      </c>
      <c r="J29" s="7">
        <f t="shared" si="64"/>
        <v>0.35173840569977965</v>
      </c>
      <c r="K29" s="9">
        <f>'0826分析標準表'!$L$5</f>
        <v>2550.2186000000002</v>
      </c>
      <c r="L29" s="10">
        <f t="shared" si="65"/>
        <v>0.14256370163107346</v>
      </c>
      <c r="M29" s="85" t="s">
        <v>40</v>
      </c>
      <c r="N29" s="85"/>
      <c r="O29" s="85"/>
      <c r="P29" s="85"/>
      <c r="Q29" s="85"/>
      <c r="R29" s="85"/>
      <c r="S29" s="85"/>
      <c r="T29" s="85"/>
      <c r="U29" s="85"/>
      <c r="V29" s="11">
        <v>176</v>
      </c>
    </row>
    <row r="30" spans="1:26" ht="18.75">
      <c r="A30" s="12">
        <f t="shared" si="10"/>
        <v>45896</v>
      </c>
      <c r="B30" s="4">
        <f>'0827分析標準表'!$C$3</f>
        <v>7268105.9000000004</v>
      </c>
      <c r="C30" s="5">
        <f>'0827分析標準表'!$D$5</f>
        <v>17530.725399999988</v>
      </c>
      <c r="D30" s="6">
        <f t="shared" si="61"/>
        <v>2.4120074254834383E-3</v>
      </c>
      <c r="E30" s="5">
        <f>'0827分析標準表'!$F$5</f>
        <v>56275.879499999966</v>
      </c>
      <c r="F30" s="7">
        <f t="shared" si="62"/>
        <v>7.7428535404251561E-3</v>
      </c>
      <c r="G30" s="4">
        <f>'0827分析標準表'!$H$5</f>
        <v>4957.1862999999994</v>
      </c>
      <c r="H30" s="7">
        <f t="shared" si="63"/>
        <v>0.28277131646817094</v>
      </c>
      <c r="I30" s="8">
        <f>'0827分析標準表'!$J$5</f>
        <v>16268.267099999997</v>
      </c>
      <c r="J30" s="7">
        <f t="shared" si="64"/>
        <v>0.28908063711381016</v>
      </c>
      <c r="K30" s="9">
        <f>'0827分析標準表'!$L$5</f>
        <v>2589.0621000000001</v>
      </c>
      <c r="L30" s="10">
        <f t="shared" si="65"/>
        <v>0.14768710597680126</v>
      </c>
      <c r="M30" s="85" t="s">
        <v>41</v>
      </c>
      <c r="N30" s="85"/>
      <c r="O30" s="85"/>
      <c r="P30" s="85"/>
      <c r="Q30" s="85"/>
      <c r="R30" s="85"/>
      <c r="S30" s="85"/>
      <c r="T30" s="85"/>
      <c r="U30" s="85"/>
      <c r="V30" s="11">
        <v>171</v>
      </c>
    </row>
    <row r="31" spans="1:26" ht="18.75">
      <c r="A31" s="13">
        <f t="shared" si="10"/>
        <v>45897</v>
      </c>
      <c r="B31" s="4">
        <f>'0828分析標準表'!$C$3</f>
        <v>6765305.7300000004</v>
      </c>
      <c r="C31" s="5">
        <f>'0828分析標準表'!$D$5</f>
        <v>16316.670999999995</v>
      </c>
      <c r="D31" s="6">
        <f t="shared" si="61"/>
        <v>2.4118157628332331E-3</v>
      </c>
      <c r="E31" s="5">
        <f>'0828分析標準表'!$F$5</f>
        <v>52026.534399999982</v>
      </c>
      <c r="F31" s="7">
        <f t="shared" si="62"/>
        <v>7.6901970844117313E-3</v>
      </c>
      <c r="G31" s="4">
        <f>'0828分析標準表'!$H$5</f>
        <v>4258.0321999999996</v>
      </c>
      <c r="H31" s="7">
        <f t="shared" si="63"/>
        <v>0.26096206756880747</v>
      </c>
      <c r="I31" s="8">
        <f>'0828分析標準表'!$J$5</f>
        <v>15396.413699999986</v>
      </c>
      <c r="J31" s="7">
        <f t="shared" si="64"/>
        <v>0.29593387062121884</v>
      </c>
      <c r="K31" s="9">
        <f>'0828分析標準表'!$L$5</f>
        <v>2340.9159999999997</v>
      </c>
      <c r="L31" s="10">
        <f t="shared" si="65"/>
        <v>0.14346774535075202</v>
      </c>
      <c r="M31" s="85" t="s">
        <v>42</v>
      </c>
      <c r="N31" s="85"/>
      <c r="O31" s="85"/>
      <c r="P31" s="85"/>
      <c r="Q31" s="85"/>
      <c r="R31" s="85"/>
      <c r="S31" s="85"/>
      <c r="T31" s="85"/>
      <c r="U31" s="85"/>
      <c r="V31" s="11">
        <v>171</v>
      </c>
    </row>
    <row r="32" spans="1:26" ht="18.75">
      <c r="A32" s="13">
        <f t="shared" si="10"/>
        <v>45898</v>
      </c>
      <c r="B32" s="4">
        <f>'0829分析標準表'!$C$3</f>
        <v>5760799.9100000001</v>
      </c>
      <c r="C32" s="5">
        <f>'0829分析標準表'!$D$5</f>
        <v>13931.158699999993</v>
      </c>
      <c r="D32" s="6">
        <f t="shared" si="61"/>
        <v>2.4182681081870785E-3</v>
      </c>
      <c r="E32" s="5">
        <f>'0829分析標準表'!$F$5</f>
        <v>44372.037199999984</v>
      </c>
      <c r="F32" s="7">
        <f t="shared" si="62"/>
        <v>7.7024090218748772E-3</v>
      </c>
      <c r="G32" s="4">
        <f>'0829分析標準表'!$H$5</f>
        <v>4345.5272000000004</v>
      </c>
      <c r="H32" s="7">
        <f t="shared" si="63"/>
        <v>0.3119286265829419</v>
      </c>
      <c r="I32" s="8">
        <f>'0829分析標準表'!$J$5</f>
        <v>13543.466400000008</v>
      </c>
      <c r="J32" s="7">
        <f t="shared" si="64"/>
        <v>0.30522525569324127</v>
      </c>
      <c r="K32" s="9">
        <f>'0829分析標準表'!$L$5</f>
        <v>1847.3764000000001</v>
      </c>
      <c r="L32" s="10">
        <f t="shared" si="65"/>
        <v>0.13260751957408978</v>
      </c>
      <c r="M32" s="85" t="s">
        <v>41</v>
      </c>
      <c r="N32" s="85"/>
      <c r="O32" s="85"/>
      <c r="P32" s="85"/>
      <c r="Q32" s="85"/>
      <c r="R32" s="85"/>
      <c r="S32" s="85"/>
      <c r="T32" s="85"/>
      <c r="U32" s="85"/>
      <c r="V32" s="11">
        <v>171</v>
      </c>
    </row>
    <row r="33" spans="1:22" ht="18.75">
      <c r="A33" s="13">
        <f t="shared" si="10"/>
        <v>45899</v>
      </c>
      <c r="B33" s="4">
        <f>'0830分析標準表'!$C$3</f>
        <v>6161593.7999999998</v>
      </c>
      <c r="C33" s="5">
        <f>'0830分析標準表'!$D$5</f>
        <v>14887.156199999994</v>
      </c>
      <c r="D33" s="6">
        <f t="shared" si="61"/>
        <v>2.4161210042765225E-3</v>
      </c>
      <c r="E33" s="5">
        <f>'0830分析標準表'!$F$5</f>
        <v>46839.279499999997</v>
      </c>
      <c r="F33" s="7">
        <f t="shared" si="62"/>
        <v>7.6018122940853389E-3</v>
      </c>
      <c r="G33" s="4">
        <f>'0830分析標準表'!$H$5</f>
        <v>3050.8293999999996</v>
      </c>
      <c r="H33" s="7">
        <f t="shared" si="63"/>
        <v>0.20493030092610978</v>
      </c>
      <c r="I33" s="8">
        <f>'0830分析標準表'!$J$5</f>
        <v>15095.027400000017</v>
      </c>
      <c r="J33" s="7">
        <f t="shared" si="64"/>
        <v>0.32227283513189009</v>
      </c>
      <c r="K33" s="9">
        <f>'0830分析標準表'!$L$5</f>
        <v>2593.1287000000002</v>
      </c>
      <c r="L33" s="10">
        <f t="shared" si="65"/>
        <v>0.17418563123560168</v>
      </c>
      <c r="M33" s="85" t="s">
        <v>43</v>
      </c>
      <c r="N33" s="85"/>
      <c r="O33" s="85"/>
      <c r="P33" s="85"/>
      <c r="Q33" s="85"/>
      <c r="R33" s="85"/>
      <c r="S33" s="85"/>
      <c r="T33" s="85"/>
      <c r="U33" s="85"/>
      <c r="V33" s="11">
        <v>171</v>
      </c>
    </row>
    <row r="34" spans="1:22" ht="18.75">
      <c r="A34" s="13">
        <f t="shared" si="10"/>
        <v>45900</v>
      </c>
      <c r="B34" s="4">
        <f>'0831分析標準表'!$C$3</f>
        <v>7725142.3700000001</v>
      </c>
      <c r="C34" s="5">
        <f>'0831分析標準表'!$D$5</f>
        <v>18650.440099999996</v>
      </c>
      <c r="D34" s="6">
        <f t="shared" si="61"/>
        <v>2.4142519589577475E-3</v>
      </c>
      <c r="E34" s="5">
        <f>'0831分析標準表'!$F$5</f>
        <v>57442.341900000007</v>
      </c>
      <c r="F34" s="7">
        <f t="shared" si="62"/>
        <v>7.4357648246164308E-3</v>
      </c>
      <c r="G34" s="4">
        <f>'0831分析標準表'!$H$5</f>
        <v>3612.8209000000002</v>
      </c>
      <c r="H34" s="7">
        <f t="shared" si="63"/>
        <v>0.19371236714140599</v>
      </c>
      <c r="I34" s="8">
        <f>'0831分析標準表'!$J$5</f>
        <v>13612.390700000018</v>
      </c>
      <c r="J34" s="7">
        <f t="shared" si="64"/>
        <v>0.23697485599903817</v>
      </c>
      <c r="K34" s="9">
        <f>'0831分析標準表'!$L$5</f>
        <v>2446.0282999999999</v>
      </c>
      <c r="L34" s="10">
        <f t="shared" si="65"/>
        <v>0.13115123755176161</v>
      </c>
      <c r="M34" s="85" t="s">
        <v>44</v>
      </c>
      <c r="N34" s="85"/>
      <c r="O34" s="85"/>
      <c r="P34" s="85"/>
      <c r="Q34" s="85"/>
      <c r="R34" s="85"/>
      <c r="S34" s="85"/>
      <c r="T34" s="85"/>
      <c r="U34" s="85"/>
      <c r="V34" s="11">
        <v>161</v>
      </c>
    </row>
    <row r="35" spans="1:22" ht="27">
      <c r="A35" s="86" t="s">
        <v>45</v>
      </c>
      <c r="B35" s="86"/>
      <c r="C35" s="86"/>
      <c r="D35" s="86"/>
      <c r="E35" s="86"/>
      <c r="F35" s="17"/>
      <c r="G35" s="17"/>
      <c r="H35" s="17"/>
      <c r="I35" s="17"/>
      <c r="J35" s="17"/>
      <c r="K35" s="17"/>
      <c r="L35" s="17"/>
    </row>
    <row r="36" spans="1:22" ht="27">
      <c r="A36" s="86" t="s">
        <v>46</v>
      </c>
      <c r="B36" s="86"/>
      <c r="C36" s="86"/>
      <c r="D36" s="86"/>
      <c r="E36" s="86"/>
      <c r="F36" s="17"/>
      <c r="G36" s="17"/>
      <c r="H36" s="17"/>
      <c r="I36" s="17"/>
      <c r="J36" s="17"/>
      <c r="K36" s="17"/>
      <c r="L36" s="17"/>
    </row>
    <row r="37" spans="1:22" ht="18.7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22" ht="18.7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spans="1:22" ht="18.7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spans="1:22" ht="18.7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1:22" ht="18.7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22" ht="18.7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spans="1:22" ht="18.7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1:22" ht="18.7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22" ht="18.7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1:22" ht="18.7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" t="s">
        <v>47</v>
      </c>
    </row>
    <row r="47" spans="1:22" ht="18.7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" t="s">
        <v>48</v>
      </c>
    </row>
    <row r="48" spans="1:22" ht="18.7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</row>
    <row r="49" spans="1:12" ht="18.7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spans="1:12" ht="18.7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</row>
    <row r="51" spans="1:12" ht="18.7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2" ht="18.7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</row>
  </sheetData>
  <mergeCells count="45"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31:U31"/>
    <mergeCell ref="M20:U20"/>
    <mergeCell ref="M21:U21"/>
    <mergeCell ref="M22:U22"/>
    <mergeCell ref="M23:U23"/>
    <mergeCell ref="M24:U24"/>
    <mergeCell ref="M25:U25"/>
    <mergeCell ref="M26:U26"/>
    <mergeCell ref="M27:U27"/>
    <mergeCell ref="M28:U28"/>
    <mergeCell ref="M29:U29"/>
    <mergeCell ref="M30:U30"/>
    <mergeCell ref="M32:U32"/>
    <mergeCell ref="M33:U33"/>
    <mergeCell ref="M34:U34"/>
    <mergeCell ref="A35:E35"/>
    <mergeCell ref="A36:E36"/>
  </mergeCells>
  <phoneticPr fontId="3" type="noConversion"/>
  <conditionalFormatting sqref="D4:D30">
    <cfRule type="cellIs" dxfId="1059" priority="6" operator="greaterThan">
      <formula>0.0025</formula>
    </cfRule>
  </conditionalFormatting>
  <conditionalFormatting sqref="H4:J30 I31:I34">
    <cfRule type="cellIs" dxfId="1058" priority="4" operator="greaterThan">
      <formula>0.16</formula>
    </cfRule>
  </conditionalFormatting>
  <conditionalFormatting sqref="L4:L30">
    <cfRule type="cellIs" dxfId="1057" priority="5" operator="greaterThan">
      <formula>0.15</formula>
    </cfRule>
  </conditionalFormatting>
  <conditionalFormatting sqref="D31:D34">
    <cfRule type="cellIs" dxfId="1056" priority="3" operator="greaterThan">
      <formula>0.0025</formula>
    </cfRule>
  </conditionalFormatting>
  <conditionalFormatting sqref="H31:H34 J31:J34">
    <cfRule type="cellIs" dxfId="1055" priority="1" operator="greaterThan">
      <formula>0.16</formula>
    </cfRule>
  </conditionalFormatting>
  <conditionalFormatting sqref="L31:L34">
    <cfRule type="cellIs" dxfId="1054" priority="2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4AB5-D040-4677-8359-46A28B2695F4}">
  <sheetPr>
    <tabColor rgb="FFFF0000"/>
    <pageSetUpPr fitToPage="1"/>
  </sheetPr>
  <dimension ref="A1:R56"/>
  <sheetViews>
    <sheetView zoomScale="70" zoomScaleNormal="70" workbookViewId="0">
      <selection activeCell="L5" sqref="L5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24" style="18" bestFit="1" customWidth="1"/>
    <col min="17" max="17" width="55.25" style="18" bestFit="1" customWidth="1"/>
    <col min="18" max="18" width="41.75" style="18" customWidth="1"/>
    <col min="19" max="16384" width="9" style="18"/>
  </cols>
  <sheetData>
    <row r="1" spans="1:18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8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8" s="20" customFormat="1" ht="28.5">
      <c r="A3" s="149">
        <v>45900</v>
      </c>
      <c r="B3" s="150"/>
      <c r="C3" s="151">
        <v>7725142.3700000001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8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8" ht="46.5" customHeight="1" thickBot="1">
      <c r="A5" s="146" t="s">
        <v>61</v>
      </c>
      <c r="B5" s="147"/>
      <c r="C5" s="147"/>
      <c r="D5" s="24">
        <v>18650.440099999996</v>
      </c>
      <c r="E5" s="25">
        <f>D5/C3</f>
        <v>2.4142519589577475E-3</v>
      </c>
      <c r="F5" s="24">
        <v>57442.341900000007</v>
      </c>
      <c r="G5" s="26">
        <f>F5/C3</f>
        <v>7.4357648246164308E-3</v>
      </c>
      <c r="H5" s="27">
        <f>SUM(C12:C21)</f>
        <v>3612.8209000000002</v>
      </c>
      <c r="I5" s="28">
        <f>H5/D5</f>
        <v>0.19371236714140599</v>
      </c>
      <c r="J5" s="27">
        <f>SUM(C28:C37)</f>
        <v>13612.390700000018</v>
      </c>
      <c r="K5" s="29">
        <f>J5/F5</f>
        <v>0.23697485599903817</v>
      </c>
      <c r="L5" s="30">
        <v>2446.0282999999999</v>
      </c>
      <c r="M5" s="31">
        <f>L5/D5</f>
        <v>0.13115123755176161</v>
      </c>
    </row>
    <row r="6" spans="1:18" ht="46.5" customHeight="1" thickBot="1"/>
    <row r="7" spans="1:18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148"/>
      <c r="R7" s="95"/>
    </row>
    <row r="8" spans="1:18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28" t="s">
        <v>66</v>
      </c>
      <c r="Q8" s="100" t="s">
        <v>67</v>
      </c>
      <c r="R8" s="104" t="s">
        <v>68</v>
      </c>
    </row>
    <row r="9" spans="1:18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0"/>
      <c r="R9" s="104"/>
    </row>
    <row r="10" spans="1:18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0"/>
      <c r="R10" s="104"/>
    </row>
    <row r="11" spans="1:18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0"/>
      <c r="R11" s="104"/>
    </row>
    <row r="12" spans="1:18" s="46" customFormat="1" ht="24.95" customHeight="1">
      <c r="A12" s="35">
        <v>1</v>
      </c>
      <c r="B12" s="36" t="s">
        <v>87</v>
      </c>
      <c r="C12" s="37">
        <v>520.24980000000005</v>
      </c>
      <c r="D12" s="38">
        <v>24.09</v>
      </c>
      <c r="E12" s="38">
        <v>25.06</v>
      </c>
      <c r="F12" s="38">
        <v>0</v>
      </c>
      <c r="G12" s="37">
        <v>536.34</v>
      </c>
      <c r="H12" s="39">
        <f>(E12+F12)/D12</f>
        <v>1.0402656704026567</v>
      </c>
      <c r="I12" s="37">
        <v>520.24979999999937</v>
      </c>
      <c r="J12" s="38">
        <v>0.97</v>
      </c>
      <c r="K12" s="40">
        <f>J12/D12</f>
        <v>4.0265670402656703E-2</v>
      </c>
      <c r="L12" s="41">
        <f>((E12+F12)-D12)-J12</f>
        <v>-1.1102230246251565E-15</v>
      </c>
      <c r="M12" s="42">
        <f>L12/D12</f>
        <v>-4.6086468436079559E-17</v>
      </c>
      <c r="N12" s="43">
        <f t="shared" ref="N12:N21" si="0">L12*G12</f>
        <v>-5.9545701702745652E-13</v>
      </c>
      <c r="O12" s="44" t="s">
        <v>88</v>
      </c>
      <c r="P12" s="44" t="s">
        <v>89</v>
      </c>
      <c r="Q12" s="82"/>
      <c r="R12" s="45" t="s">
        <v>90</v>
      </c>
    </row>
    <row r="13" spans="1:18" s="46" customFormat="1" ht="24.95" customHeight="1">
      <c r="A13" s="47">
        <v>2</v>
      </c>
      <c r="B13" s="36" t="s">
        <v>91</v>
      </c>
      <c r="C13" s="37">
        <v>463.5</v>
      </c>
      <c r="D13" s="38">
        <v>4283</v>
      </c>
      <c r="E13" s="38">
        <v>4313</v>
      </c>
      <c r="F13" s="38">
        <v>0</v>
      </c>
      <c r="G13" s="37">
        <v>15.45</v>
      </c>
      <c r="H13" s="39">
        <f t="shared" ref="H13:H21" si="1">(E13+F13)/D13</f>
        <v>1.0070044361428905</v>
      </c>
      <c r="I13" s="37">
        <v>463.5</v>
      </c>
      <c r="J13" s="38">
        <v>30</v>
      </c>
      <c r="K13" s="40">
        <f>J13/D13</f>
        <v>7.0044361428904973E-3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82" t="s">
        <v>92</v>
      </c>
      <c r="Q13" s="82" t="s">
        <v>93</v>
      </c>
      <c r="R13" s="45" t="s">
        <v>94</v>
      </c>
    </row>
    <row r="14" spans="1:18" s="46" customFormat="1" ht="24.95" customHeight="1">
      <c r="A14" s="47">
        <v>3</v>
      </c>
      <c r="B14" s="36" t="s">
        <v>95</v>
      </c>
      <c r="C14" s="37">
        <v>456.72250000000003</v>
      </c>
      <c r="D14" s="38">
        <v>204.2</v>
      </c>
      <c r="E14" s="38">
        <v>215.68</v>
      </c>
      <c r="F14" s="38">
        <v>0</v>
      </c>
      <c r="G14" s="37">
        <v>152.75</v>
      </c>
      <c r="H14" s="39">
        <f>(E14+F14)/D14</f>
        <v>1.0562193927522039</v>
      </c>
      <c r="I14" s="37">
        <v>1753.5700000000029</v>
      </c>
      <c r="J14" s="38">
        <v>2.99</v>
      </c>
      <c r="K14" s="40">
        <f t="shared" ref="K14:K21" si="4">J14/D14</f>
        <v>1.4642507345739473E-2</v>
      </c>
      <c r="L14" s="41">
        <f t="shared" si="2"/>
        <v>8.490000000000018</v>
      </c>
      <c r="M14" s="42">
        <f t="shared" si="3"/>
        <v>4.1576885406464342E-2</v>
      </c>
      <c r="N14" s="43">
        <f t="shared" si="0"/>
        <v>1296.8475000000028</v>
      </c>
      <c r="O14" s="44" t="s">
        <v>88</v>
      </c>
      <c r="P14" s="82" t="s">
        <v>96</v>
      </c>
      <c r="Q14" s="82"/>
      <c r="R14" s="45" t="s">
        <v>97</v>
      </c>
    </row>
    <row r="15" spans="1:18" s="46" customFormat="1" ht="24.95" customHeight="1">
      <c r="A15" s="35">
        <v>4</v>
      </c>
      <c r="B15" s="36" t="s">
        <v>98</v>
      </c>
      <c r="C15" s="37">
        <v>437.22</v>
      </c>
      <c r="D15" s="38">
        <v>4890</v>
      </c>
      <c r="E15" s="38">
        <v>4932</v>
      </c>
      <c r="F15" s="38">
        <v>0</v>
      </c>
      <c r="G15" s="37">
        <v>10.41</v>
      </c>
      <c r="H15" s="39">
        <f>(E15+F15)/D15</f>
        <v>1.0085889570552147</v>
      </c>
      <c r="I15" s="37">
        <v>437.22</v>
      </c>
      <c r="J15" s="38">
        <v>42</v>
      </c>
      <c r="K15" s="40">
        <f t="shared" si="4"/>
        <v>8.5889570552147246E-3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88</v>
      </c>
      <c r="P15" s="44" t="s">
        <v>99</v>
      </c>
      <c r="Q15" s="82"/>
      <c r="R15" s="45" t="s">
        <v>100</v>
      </c>
    </row>
    <row r="16" spans="1:18" s="46" customFormat="1" ht="24.95" customHeight="1">
      <c r="A16" s="47">
        <v>5</v>
      </c>
      <c r="B16" s="36" t="s">
        <v>101</v>
      </c>
      <c r="C16" s="37">
        <v>427.54700000000003</v>
      </c>
      <c r="D16" s="38">
        <v>807.18</v>
      </c>
      <c r="E16" s="38">
        <v>810.36</v>
      </c>
      <c r="F16" s="38">
        <v>14.2</v>
      </c>
      <c r="G16" s="37">
        <v>147.43</v>
      </c>
      <c r="H16" s="39">
        <f t="shared" si="1"/>
        <v>1.0215317525211232</v>
      </c>
      <c r="I16" s="37">
        <v>2562.3334000000164</v>
      </c>
      <c r="J16" s="38">
        <v>2.9</v>
      </c>
      <c r="K16" s="40">
        <f t="shared" si="4"/>
        <v>3.5927550236626278E-3</v>
      </c>
      <c r="L16" s="41">
        <f t="shared" si="2"/>
        <v>14.480000000000109</v>
      </c>
      <c r="M16" s="42">
        <f t="shared" si="3"/>
        <v>1.7938997497460429E-2</v>
      </c>
      <c r="N16" s="43">
        <f t="shared" si="0"/>
        <v>2134.7864000000163</v>
      </c>
      <c r="O16" s="44" t="s">
        <v>88</v>
      </c>
      <c r="P16" s="69" t="s">
        <v>48</v>
      </c>
      <c r="Q16" s="82" t="s">
        <v>102</v>
      </c>
      <c r="R16" s="45" t="s">
        <v>103</v>
      </c>
    </row>
    <row r="17" spans="1:18" s="46" customFormat="1" ht="24.95" customHeight="1">
      <c r="A17" s="35">
        <v>6</v>
      </c>
      <c r="B17" s="36" t="s">
        <v>104</v>
      </c>
      <c r="C17" s="37">
        <v>281.86959999999999</v>
      </c>
      <c r="D17" s="38">
        <v>52.26</v>
      </c>
      <c r="E17" s="38">
        <v>54.81</v>
      </c>
      <c r="F17" s="38">
        <v>0</v>
      </c>
      <c r="G17" s="37">
        <v>153.19</v>
      </c>
      <c r="H17" s="39">
        <f t="shared" si="1"/>
        <v>1.0487944890929966</v>
      </c>
      <c r="I17" s="37">
        <v>390.63450000000063</v>
      </c>
      <c r="J17" s="38">
        <v>1.84</v>
      </c>
      <c r="K17" s="40">
        <f t="shared" si="4"/>
        <v>3.5208572522005363E-2</v>
      </c>
      <c r="L17" s="41">
        <f t="shared" si="2"/>
        <v>0.71000000000000418</v>
      </c>
      <c r="M17" s="42">
        <f t="shared" si="3"/>
        <v>1.3585916570991279E-2</v>
      </c>
      <c r="N17" s="43">
        <f t="shared" si="0"/>
        <v>108.76490000000064</v>
      </c>
      <c r="O17" s="44" t="s">
        <v>88</v>
      </c>
      <c r="P17" s="44" t="s">
        <v>89</v>
      </c>
      <c r="Q17" s="82"/>
      <c r="R17" s="45" t="s">
        <v>105</v>
      </c>
    </row>
    <row r="18" spans="1:18" s="46" customFormat="1" ht="24.95" customHeight="1">
      <c r="A18" s="47">
        <v>7</v>
      </c>
      <c r="B18" s="36" t="s">
        <v>106</v>
      </c>
      <c r="C18" s="37">
        <v>278.27520000000004</v>
      </c>
      <c r="D18" s="38">
        <v>36.630000000000003</v>
      </c>
      <c r="E18" s="38">
        <v>38.340000000000003</v>
      </c>
      <c r="F18" s="38">
        <v>0</v>
      </c>
      <c r="G18" s="37">
        <v>248.46</v>
      </c>
      <c r="H18" s="39">
        <f t="shared" si="1"/>
        <v>1.0466830466830468</v>
      </c>
      <c r="I18" s="37">
        <v>424.86660000000023</v>
      </c>
      <c r="J18" s="38">
        <v>1.1200000000000001</v>
      </c>
      <c r="K18" s="40">
        <f t="shared" si="4"/>
        <v>3.0576030576030578E-2</v>
      </c>
      <c r="L18" s="41">
        <f>((E18+F18)-D18)-J18</f>
        <v>0.59000000000000075</v>
      </c>
      <c r="M18" s="42">
        <f t="shared" si="3"/>
        <v>1.6107016107016127E-2</v>
      </c>
      <c r="N18" s="43">
        <f t="shared" si="0"/>
        <v>146.59140000000019</v>
      </c>
      <c r="O18" s="44" t="s">
        <v>88</v>
      </c>
      <c r="P18" s="44" t="s">
        <v>89</v>
      </c>
      <c r="Q18" s="82"/>
      <c r="R18" s="45" t="s">
        <v>103</v>
      </c>
    </row>
    <row r="19" spans="1:18" s="46" customFormat="1" ht="24.95" customHeight="1">
      <c r="A19" s="35">
        <v>8</v>
      </c>
      <c r="B19" s="36" t="s">
        <v>107</v>
      </c>
      <c r="C19" s="37">
        <v>256.12860000000001</v>
      </c>
      <c r="D19" s="38">
        <v>18.61</v>
      </c>
      <c r="E19" s="38">
        <v>20.71</v>
      </c>
      <c r="F19" s="38">
        <v>0</v>
      </c>
      <c r="G19" s="37">
        <v>140.72999999999999</v>
      </c>
      <c r="H19" s="39">
        <f t="shared" si="1"/>
        <v>1.1128425577646428</v>
      </c>
      <c r="I19" s="37">
        <v>295.53300000000019</v>
      </c>
      <c r="J19" s="38">
        <v>1.82</v>
      </c>
      <c r="K19" s="40">
        <f t="shared" si="4"/>
        <v>9.7796883396023646E-2</v>
      </c>
      <c r="L19" s="41">
        <f t="shared" si="2"/>
        <v>0.28000000000000136</v>
      </c>
      <c r="M19" s="42">
        <f t="shared" si="3"/>
        <v>1.5045674368619096E-2</v>
      </c>
      <c r="N19" s="43">
        <f t="shared" si="0"/>
        <v>39.404400000000187</v>
      </c>
      <c r="O19" s="44" t="s">
        <v>88</v>
      </c>
      <c r="P19" s="82" t="s">
        <v>96</v>
      </c>
      <c r="Q19" s="44"/>
      <c r="R19" s="45" t="s">
        <v>108</v>
      </c>
    </row>
    <row r="20" spans="1:18" s="46" customFormat="1" ht="24.95" customHeight="1">
      <c r="A20" s="47">
        <v>9</v>
      </c>
      <c r="B20" s="36" t="s">
        <v>109</v>
      </c>
      <c r="C20" s="37">
        <v>251.3082</v>
      </c>
      <c r="D20" s="38">
        <v>27.64</v>
      </c>
      <c r="E20" s="38">
        <v>29.6</v>
      </c>
      <c r="F20" s="38">
        <v>0</v>
      </c>
      <c r="G20" s="37">
        <v>144.43</v>
      </c>
      <c r="H20" s="39">
        <f t="shared" si="1"/>
        <v>1.0709117221418234</v>
      </c>
      <c r="I20" s="37">
        <v>283.08280000000013</v>
      </c>
      <c r="J20" s="38">
        <v>1.74</v>
      </c>
      <c r="K20" s="40">
        <f t="shared" si="4"/>
        <v>6.2952243125904486E-2</v>
      </c>
      <c r="L20" s="41">
        <f t="shared" si="2"/>
        <v>0.22000000000000086</v>
      </c>
      <c r="M20" s="42">
        <f t="shared" si="3"/>
        <v>7.9594790159189886E-3</v>
      </c>
      <c r="N20" s="43">
        <f t="shared" si="0"/>
        <v>31.774600000000127</v>
      </c>
      <c r="O20" s="44" t="s">
        <v>88</v>
      </c>
      <c r="P20" s="82" t="s">
        <v>96</v>
      </c>
      <c r="Q20" s="82"/>
      <c r="R20" s="45" t="s">
        <v>110</v>
      </c>
    </row>
    <row r="21" spans="1:18" s="46" customFormat="1" ht="24.95" customHeight="1" thickBot="1">
      <c r="A21" s="48">
        <v>10</v>
      </c>
      <c r="B21" s="49" t="s">
        <v>111</v>
      </c>
      <c r="C21" s="50">
        <v>240</v>
      </c>
      <c r="D21" s="51">
        <v>145.16</v>
      </c>
      <c r="E21" s="51">
        <v>147.66</v>
      </c>
      <c r="F21" s="51">
        <v>0</v>
      </c>
      <c r="G21" s="50">
        <v>96</v>
      </c>
      <c r="H21" s="52">
        <f t="shared" si="1"/>
        <v>1.0172223753100027</v>
      </c>
      <c r="I21" s="50">
        <v>240</v>
      </c>
      <c r="J21" s="51">
        <v>2.5</v>
      </c>
      <c r="K21" s="53">
        <f t="shared" si="4"/>
        <v>1.7222375310002758E-2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88</v>
      </c>
      <c r="P21" s="57" t="s">
        <v>112</v>
      </c>
      <c r="Q21" s="57"/>
      <c r="R21" s="58" t="s">
        <v>113</v>
      </c>
    </row>
    <row r="22" spans="1:18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20"/>
    </row>
    <row r="24" spans="1:18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8" t="s">
        <v>66</v>
      </c>
      <c r="Q24" s="100" t="s">
        <v>67</v>
      </c>
      <c r="R24" s="129" t="s">
        <v>68</v>
      </c>
    </row>
    <row r="25" spans="1:18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00"/>
      <c r="Q25" s="100"/>
      <c r="R25" s="130"/>
    </row>
    <row r="26" spans="1:18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00"/>
      <c r="Q26" s="100"/>
      <c r="R26" s="130"/>
    </row>
    <row r="27" spans="1:18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00"/>
      <c r="Q27" s="100"/>
      <c r="R27" s="131"/>
    </row>
    <row r="28" spans="1:18" s="67" customFormat="1" ht="24.95" customHeight="1">
      <c r="A28" s="35">
        <v>1</v>
      </c>
      <c r="B28" s="36" t="s">
        <v>101</v>
      </c>
      <c r="C28" s="37">
        <v>2134.7864000000163</v>
      </c>
      <c r="D28" s="38">
        <v>807.18</v>
      </c>
      <c r="E28" s="38">
        <v>810.36</v>
      </c>
      <c r="F28" s="38">
        <v>14.2</v>
      </c>
      <c r="G28" s="37">
        <v>147.43</v>
      </c>
      <c r="H28" s="68">
        <f t="shared" ref="H28:H37" si="5">(E28+F28)/D28</f>
        <v>1.0215317525211232</v>
      </c>
      <c r="I28" s="37">
        <v>2562.3334000000164</v>
      </c>
      <c r="J28" s="38">
        <v>2.9</v>
      </c>
      <c r="K28" s="40">
        <f t="shared" ref="K28:K37" si="6">J28/D28</f>
        <v>3.5927550236626278E-3</v>
      </c>
      <c r="L28" s="43">
        <f t="shared" ref="L28:L37" si="7">J28*G28</f>
        <v>427.54700000000003</v>
      </c>
      <c r="M28" s="41">
        <f t="shared" ref="M28:M37" si="8">((E28+F28)-D28)-J28</f>
        <v>14.480000000000109</v>
      </c>
      <c r="N28" s="42">
        <f t="shared" ref="N28:N37" si="9">M28/D28</f>
        <v>1.7938997497460429E-2</v>
      </c>
      <c r="O28" s="44" t="s">
        <v>116</v>
      </c>
      <c r="P28" s="69" t="s">
        <v>48</v>
      </c>
      <c r="Q28" s="82" t="s">
        <v>102</v>
      </c>
      <c r="R28" s="45" t="s">
        <v>103</v>
      </c>
    </row>
    <row r="29" spans="1:18" s="67" customFormat="1" ht="24.95" customHeight="1">
      <c r="A29" s="47">
        <v>2</v>
      </c>
      <c r="B29" s="36" t="s">
        <v>117</v>
      </c>
      <c r="C29" s="37">
        <v>1873.1691000000003</v>
      </c>
      <c r="D29" s="38">
        <v>125.67</v>
      </c>
      <c r="E29" s="38">
        <v>130.06</v>
      </c>
      <c r="F29" s="38">
        <v>0</v>
      </c>
      <c r="G29" s="37">
        <v>426.69</v>
      </c>
      <c r="H29" s="68">
        <f t="shared" si="5"/>
        <v>1.0349327604042333</v>
      </c>
      <c r="I29" s="37">
        <v>1873.1691000000003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4.3900000000000006</v>
      </c>
      <c r="N29" s="42">
        <f t="shared" si="9"/>
        <v>3.4932760404233314E-2</v>
      </c>
      <c r="O29" s="44" t="s">
        <v>116</v>
      </c>
      <c r="P29" s="69" t="s">
        <v>118</v>
      </c>
      <c r="Q29" s="82"/>
      <c r="R29" s="45" t="s">
        <v>97</v>
      </c>
    </row>
    <row r="30" spans="1:18" s="67" customFormat="1" ht="24.95" customHeight="1">
      <c r="A30" s="47">
        <v>3</v>
      </c>
      <c r="B30" s="36" t="s">
        <v>119</v>
      </c>
      <c r="C30" s="37">
        <v>1375.3692000000033</v>
      </c>
      <c r="D30" s="38">
        <v>633.16</v>
      </c>
      <c r="E30" s="38">
        <v>613.6</v>
      </c>
      <c r="F30" s="38">
        <v>61.2</v>
      </c>
      <c r="G30" s="37">
        <v>33.03</v>
      </c>
      <c r="H30" s="68">
        <f t="shared" si="5"/>
        <v>1.0657653673636998</v>
      </c>
      <c r="I30" s="37">
        <v>1375.3692000000033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41.6400000000001</v>
      </c>
      <c r="N30" s="42">
        <f t="shared" si="9"/>
        <v>6.57653673636997E-2</v>
      </c>
      <c r="O30" s="44" t="s">
        <v>116</v>
      </c>
      <c r="P30" s="44" t="s">
        <v>120</v>
      </c>
      <c r="Q30" s="82" t="s">
        <v>121</v>
      </c>
      <c r="R30" s="45" t="s">
        <v>122</v>
      </c>
    </row>
    <row r="31" spans="1:18" s="67" customFormat="1" ht="24.95" customHeight="1">
      <c r="A31" s="35">
        <v>4</v>
      </c>
      <c r="B31" s="36" t="s">
        <v>123</v>
      </c>
      <c r="C31" s="37">
        <v>1329.7727999999963</v>
      </c>
      <c r="D31" s="38">
        <v>52.81</v>
      </c>
      <c r="E31" s="38">
        <v>52.93</v>
      </c>
      <c r="F31" s="38">
        <v>1.8</v>
      </c>
      <c r="G31" s="37">
        <v>692.59</v>
      </c>
      <c r="H31" s="68">
        <f t="shared" si="5"/>
        <v>1.0363567506154137</v>
      </c>
      <c r="I31" s="37">
        <v>1329.7727999999963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1.9199999999999946</v>
      </c>
      <c r="N31" s="42">
        <f t="shared" si="9"/>
        <v>3.6356750615413644E-2</v>
      </c>
      <c r="O31" s="44" t="s">
        <v>116</v>
      </c>
      <c r="P31" s="69" t="s">
        <v>118</v>
      </c>
      <c r="Q31" s="82"/>
      <c r="R31" s="45" t="s">
        <v>124</v>
      </c>
    </row>
    <row r="32" spans="1:18" s="67" customFormat="1" ht="24.95" customHeight="1">
      <c r="A32" s="47">
        <v>5</v>
      </c>
      <c r="B32" s="36" t="s">
        <v>95</v>
      </c>
      <c r="C32" s="37">
        <v>1296.8475000000028</v>
      </c>
      <c r="D32" s="38">
        <v>204.2</v>
      </c>
      <c r="E32" s="38">
        <v>215.68</v>
      </c>
      <c r="F32" s="38">
        <v>0</v>
      </c>
      <c r="G32" s="37">
        <v>152.75</v>
      </c>
      <c r="H32" s="68">
        <f t="shared" si="5"/>
        <v>1.0562193927522039</v>
      </c>
      <c r="I32" s="37">
        <v>1753.5700000000029</v>
      </c>
      <c r="J32" s="38">
        <v>2.99</v>
      </c>
      <c r="K32" s="40">
        <f t="shared" si="6"/>
        <v>1.4642507345739473E-2</v>
      </c>
      <c r="L32" s="43">
        <f t="shared" si="7"/>
        <v>456.72250000000003</v>
      </c>
      <c r="M32" s="41">
        <f t="shared" si="8"/>
        <v>8.490000000000018</v>
      </c>
      <c r="N32" s="42">
        <f t="shared" si="9"/>
        <v>4.1576885406464342E-2</v>
      </c>
      <c r="O32" s="44" t="s">
        <v>116</v>
      </c>
      <c r="P32" s="69" t="s">
        <v>118</v>
      </c>
      <c r="Q32" s="82"/>
      <c r="R32" s="45" t="s">
        <v>97</v>
      </c>
    </row>
    <row r="33" spans="1:18" s="67" customFormat="1" ht="24.95" customHeight="1">
      <c r="A33" s="35">
        <v>6</v>
      </c>
      <c r="B33" s="36" t="s">
        <v>125</v>
      </c>
      <c r="C33" s="37">
        <v>1277.9004000000016</v>
      </c>
      <c r="D33" s="38">
        <v>36.1</v>
      </c>
      <c r="E33" s="38">
        <v>35.96</v>
      </c>
      <c r="F33" s="38">
        <v>2.2000000000000002</v>
      </c>
      <c r="G33" s="37">
        <v>620.34</v>
      </c>
      <c r="H33" s="68">
        <f t="shared" si="5"/>
        <v>1.0570637119113575</v>
      </c>
      <c r="I33" s="37">
        <v>1277.9004000000016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2.0600000000000023</v>
      </c>
      <c r="N33" s="42">
        <f t="shared" si="9"/>
        <v>5.7063711911357402E-2</v>
      </c>
      <c r="O33" s="44" t="s">
        <v>116</v>
      </c>
      <c r="P33" s="69" t="s">
        <v>118</v>
      </c>
      <c r="Q33" s="82"/>
      <c r="R33" s="45" t="s">
        <v>126</v>
      </c>
    </row>
    <row r="34" spans="1:18" s="67" customFormat="1" ht="24.95" customHeight="1">
      <c r="A34" s="47">
        <v>7</v>
      </c>
      <c r="B34" s="36" t="s">
        <v>127</v>
      </c>
      <c r="C34" s="37">
        <v>1231.9988000000058</v>
      </c>
      <c r="D34" s="38">
        <v>323.52</v>
      </c>
      <c r="E34" s="38">
        <v>324.18</v>
      </c>
      <c r="F34" s="38">
        <v>10.72</v>
      </c>
      <c r="G34" s="37">
        <v>108.26</v>
      </c>
      <c r="H34" s="68">
        <f t="shared" si="5"/>
        <v>1.0351755687438182</v>
      </c>
      <c r="I34" s="37">
        <v>1231.9988000000058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11.380000000000052</v>
      </c>
      <c r="N34" s="42">
        <f t="shared" si="9"/>
        <v>3.5175568743818164E-2</v>
      </c>
      <c r="O34" s="44" t="s">
        <v>116</v>
      </c>
      <c r="P34" s="44" t="s">
        <v>120</v>
      </c>
      <c r="Q34" s="82" t="s">
        <v>121</v>
      </c>
      <c r="R34" s="45" t="s">
        <v>128</v>
      </c>
    </row>
    <row r="35" spans="1:18" s="67" customFormat="1" ht="24.95" customHeight="1">
      <c r="A35" s="35">
        <v>8</v>
      </c>
      <c r="B35" s="36" t="s">
        <v>129</v>
      </c>
      <c r="C35" s="37">
        <v>1109.2223999999942</v>
      </c>
      <c r="D35" s="38">
        <v>4946.34</v>
      </c>
      <c r="E35" s="38">
        <v>4925</v>
      </c>
      <c r="F35" s="38">
        <v>49.5</v>
      </c>
      <c r="G35" s="37">
        <v>39.39</v>
      </c>
      <c r="H35" s="68">
        <f t="shared" si="5"/>
        <v>1.0056930983312913</v>
      </c>
      <c r="I35" s="37">
        <v>1109.2223999999942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28.159999999999854</v>
      </c>
      <c r="N35" s="42">
        <f t="shared" si="9"/>
        <v>5.6930983312913899E-3</v>
      </c>
      <c r="O35" s="44" t="s">
        <v>116</v>
      </c>
      <c r="P35" s="69" t="s">
        <v>118</v>
      </c>
      <c r="Q35" s="82"/>
      <c r="R35" s="45" t="s">
        <v>103</v>
      </c>
    </row>
    <row r="36" spans="1:18" s="67" customFormat="1" ht="24.95" customHeight="1">
      <c r="A36" s="47">
        <v>9</v>
      </c>
      <c r="B36" s="36" t="s">
        <v>130</v>
      </c>
      <c r="C36" s="37">
        <v>993.47919999999169</v>
      </c>
      <c r="D36" s="38">
        <v>202.53</v>
      </c>
      <c r="E36" s="38">
        <v>201.16</v>
      </c>
      <c r="F36" s="38">
        <v>3.01</v>
      </c>
      <c r="G36" s="37">
        <v>605.78</v>
      </c>
      <c r="H36" s="68">
        <f t="shared" si="5"/>
        <v>1.008097565792722</v>
      </c>
      <c r="I36" s="37">
        <v>993.47919999999169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1.6399999999999864</v>
      </c>
      <c r="N36" s="42">
        <f t="shared" si="9"/>
        <v>8.0975657927219984E-3</v>
      </c>
      <c r="O36" s="44" t="s">
        <v>131</v>
      </c>
      <c r="P36" s="44" t="s">
        <v>120</v>
      </c>
      <c r="Q36" s="82" t="s">
        <v>132</v>
      </c>
      <c r="R36" s="45" t="s">
        <v>133</v>
      </c>
    </row>
    <row r="37" spans="1:18" s="67" customFormat="1" ht="24.95" customHeight="1" thickBot="1">
      <c r="A37" s="48">
        <v>10</v>
      </c>
      <c r="B37" s="49" t="s">
        <v>134</v>
      </c>
      <c r="C37" s="50">
        <v>989.84490000000608</v>
      </c>
      <c r="D37" s="51">
        <v>392.03</v>
      </c>
      <c r="E37" s="51">
        <v>393.1</v>
      </c>
      <c r="F37" s="51">
        <v>5.2</v>
      </c>
      <c r="G37" s="50">
        <v>157.87</v>
      </c>
      <c r="H37" s="70">
        <f t="shared" si="5"/>
        <v>1.015993673953524</v>
      </c>
      <c r="I37" s="50">
        <v>989.84490000000608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6.2700000000000387</v>
      </c>
      <c r="N37" s="55">
        <f t="shared" si="9"/>
        <v>1.5993673953524065E-2</v>
      </c>
      <c r="O37" s="57" t="s">
        <v>131</v>
      </c>
      <c r="P37" s="83" t="s">
        <v>118</v>
      </c>
      <c r="Q37" s="84"/>
      <c r="R37" s="58" t="s">
        <v>103</v>
      </c>
    </row>
    <row r="38" spans="1:18" ht="15.75" customHeight="1" thickBot="1"/>
    <row r="39" spans="1:18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8" ht="26.1" customHeight="1">
      <c r="A40" s="96" t="s">
        <v>63</v>
      </c>
      <c r="B40" s="97"/>
      <c r="C40" s="97"/>
      <c r="D40" s="98"/>
      <c r="E40" s="71"/>
      <c r="G40" s="74"/>
    </row>
    <row r="41" spans="1:18" ht="25.5" customHeight="1">
      <c r="A41" s="99" t="s">
        <v>69</v>
      </c>
      <c r="B41" s="100" t="s">
        <v>70</v>
      </c>
      <c r="C41" s="100"/>
      <c r="D41" s="101"/>
      <c r="E41" s="71"/>
    </row>
    <row r="42" spans="1:18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8" ht="20.45" customHeight="1">
      <c r="A43" s="99"/>
      <c r="B43" s="102"/>
      <c r="C43" s="103"/>
      <c r="D43" s="104"/>
      <c r="E43" s="71"/>
    </row>
    <row r="44" spans="1:18" s="78" customFormat="1" ht="24.95" customHeight="1">
      <c r="A44" s="75">
        <v>1</v>
      </c>
      <c r="B44" s="36" t="s">
        <v>101</v>
      </c>
      <c r="C44" s="37">
        <v>427.54700000000003</v>
      </c>
      <c r="D44" s="76">
        <f t="shared" ref="D44:D53" si="10">C44/$L$5</f>
        <v>0.17479233580412787</v>
      </c>
      <c r="E44" s="77"/>
    </row>
    <row r="45" spans="1:18" s="78" customFormat="1" ht="24.95" customHeight="1">
      <c r="A45" s="79">
        <v>2</v>
      </c>
      <c r="B45" s="36" t="s">
        <v>106</v>
      </c>
      <c r="C45" s="37">
        <v>278.27520000000004</v>
      </c>
      <c r="D45" s="76">
        <f t="shared" si="10"/>
        <v>0.11376614080875518</v>
      </c>
      <c r="E45" s="77"/>
    </row>
    <row r="46" spans="1:18" s="78" customFormat="1" ht="24.95" customHeight="1">
      <c r="A46" s="79">
        <v>3</v>
      </c>
      <c r="B46" s="36" t="s">
        <v>137</v>
      </c>
      <c r="C46" s="37">
        <v>218.05</v>
      </c>
      <c r="D46" s="76">
        <f t="shared" si="10"/>
        <v>8.9144512350899624E-2</v>
      </c>
      <c r="E46" s="77"/>
    </row>
    <row r="47" spans="1:18" s="78" customFormat="1" ht="24.95" customHeight="1">
      <c r="A47" s="75">
        <v>4</v>
      </c>
      <c r="B47" s="36" t="s">
        <v>138</v>
      </c>
      <c r="C47" s="37">
        <v>210.6</v>
      </c>
      <c r="D47" s="76">
        <f t="shared" si="10"/>
        <v>8.609875854666113E-2</v>
      </c>
      <c r="E47" s="77"/>
    </row>
    <row r="48" spans="1:18" s="78" customFormat="1" ht="24.95" customHeight="1">
      <c r="A48" s="79">
        <v>5</v>
      </c>
      <c r="B48" s="36" t="s">
        <v>139</v>
      </c>
      <c r="C48" s="37">
        <v>172.584</v>
      </c>
      <c r="D48" s="76">
        <f t="shared" si="10"/>
        <v>7.0556828798751026E-2</v>
      </c>
      <c r="E48" s="77"/>
    </row>
    <row r="49" spans="1:5" s="78" customFormat="1" ht="24.95" customHeight="1">
      <c r="A49" s="75">
        <v>6</v>
      </c>
      <c r="B49" s="36" t="s">
        <v>140</v>
      </c>
      <c r="C49" s="37">
        <v>172</v>
      </c>
      <c r="D49" s="76">
        <f t="shared" si="10"/>
        <v>7.0318074406579847E-2</v>
      </c>
      <c r="E49" s="77"/>
    </row>
    <row r="50" spans="1:5" s="78" customFormat="1" ht="24.95" customHeight="1">
      <c r="A50" s="79">
        <v>7</v>
      </c>
      <c r="B50" s="36" t="s">
        <v>141</v>
      </c>
      <c r="C50" s="37">
        <v>171.34</v>
      </c>
      <c r="D50" s="76">
        <f t="shared" si="10"/>
        <v>7.0048249237345289E-2</v>
      </c>
      <c r="E50" s="77"/>
    </row>
    <row r="51" spans="1:5" s="78" customFormat="1" ht="24.95" customHeight="1">
      <c r="A51" s="75">
        <v>8</v>
      </c>
      <c r="B51" s="36" t="s">
        <v>142</v>
      </c>
      <c r="C51" s="37">
        <v>132.48800000000003</v>
      </c>
      <c r="D51" s="76">
        <f t="shared" si="10"/>
        <v>5.4164540941738094E-2</v>
      </c>
      <c r="E51" s="77"/>
    </row>
    <row r="52" spans="1:5" s="78" customFormat="1" ht="24.95" customHeight="1">
      <c r="A52" s="79">
        <v>9</v>
      </c>
      <c r="B52" s="36" t="s">
        <v>143</v>
      </c>
      <c r="C52" s="37">
        <v>128.76299999999998</v>
      </c>
      <c r="D52" s="76">
        <f t="shared" si="10"/>
        <v>5.2641664039618827E-2</v>
      </c>
      <c r="E52" s="77"/>
    </row>
    <row r="53" spans="1:5" s="78" customFormat="1" ht="24.95" customHeight="1" thickBot="1">
      <c r="A53" s="80">
        <v>10</v>
      </c>
      <c r="B53" s="49" t="s">
        <v>144</v>
      </c>
      <c r="C53" s="50">
        <v>115.84000000000002</v>
      </c>
      <c r="D53" s="81">
        <f t="shared" si="10"/>
        <v>4.7358405460803547E-2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053" priority="27" operator="containsText" text="綠豆芽">
      <formula>NOT(ISERROR(SEARCH("綠豆芽",A12)))</formula>
    </cfRule>
    <cfRule type="containsText" dxfId="1052" priority="28" operator="containsText" text="煮白細麵生(方#12)">
      <formula>NOT(ISERROR(SEARCH("煮白細麵生(方#12)",A12)))</formula>
    </cfRule>
    <cfRule type="containsText" dxfId="1051" priority="29" operator="containsText" text="024">
      <formula>NOT(ISERROR(SEARCH("024",A12)))</formula>
    </cfRule>
    <cfRule type="containsText" dxfId="1050" priority="30" operator="containsText" text="白醬">
      <formula>NOT(ISERROR(SEARCH("白醬",A12)))</formula>
    </cfRule>
    <cfRule type="containsText" dxfId="1049" priority="31" operator="containsText" text="青蔥">
      <formula>NOT(ISERROR(SEARCH("青蔥",A12)))</formula>
    </cfRule>
    <cfRule type="containsText" dxfId="1048" priority="32" operator="containsText" text=")川燙小青花菜">
      <formula>NOT(ISERROR(SEARCH(")川燙小青花菜",A12)))</formula>
    </cfRule>
    <cfRule type="containsText" dxfId="1047" priority="33" operator="containsText" text="湯凍">
      <formula>NOT(ISERROR(SEARCH("湯凍",A12)))</formula>
    </cfRule>
    <cfRule type="containsText" dxfId="1046" priority="34" operator="containsText" text="中華">
      <formula>NOT(ISERROR(SEARCH("中華",A12)))</formula>
    </cfRule>
  </conditionalFormatting>
  <conditionalFormatting sqref="A28:A37">
    <cfRule type="containsText" dxfId="1045" priority="5" operator="containsText" text="綠豆芽">
      <formula>NOT(ISERROR(SEARCH("綠豆芽",A28)))</formula>
    </cfRule>
    <cfRule type="containsText" dxfId="1044" priority="6" operator="containsText" text="煮白細麵生(方#12)">
      <formula>NOT(ISERROR(SEARCH("煮白細麵生(方#12)",A28)))</formula>
    </cfRule>
    <cfRule type="containsText" dxfId="1043" priority="7" operator="containsText" text="024">
      <formula>NOT(ISERROR(SEARCH("024",A28)))</formula>
    </cfRule>
    <cfRule type="containsText" dxfId="1042" priority="8" operator="containsText" text="白醬">
      <formula>NOT(ISERROR(SEARCH("白醬",A28)))</formula>
    </cfRule>
    <cfRule type="containsText" dxfId="1041" priority="9" operator="containsText" text="青蔥">
      <formula>NOT(ISERROR(SEARCH("青蔥",A28)))</formula>
    </cfRule>
    <cfRule type="containsText" dxfId="1040" priority="10" operator="containsText" text=")川燙小青花菜">
      <formula>NOT(ISERROR(SEARCH(")川燙小青花菜",A28)))</formula>
    </cfRule>
    <cfRule type="containsText" dxfId="1039" priority="11" operator="containsText" text="湯凍">
      <formula>NOT(ISERROR(SEARCH("湯凍",A28)))</formula>
    </cfRule>
    <cfRule type="containsText" dxfId="1038" priority="12" operator="containsText" text="中華">
      <formula>NOT(ISERROR(SEARCH("中華",A28)))</formula>
    </cfRule>
  </conditionalFormatting>
  <conditionalFormatting sqref="A44:A53">
    <cfRule type="containsText" dxfId="1037" priority="17" operator="containsText" text="綠豆芽">
      <formula>NOT(ISERROR(SEARCH("綠豆芽",A44)))</formula>
    </cfRule>
    <cfRule type="containsText" dxfId="1036" priority="18" operator="containsText" text="煮白細麵生(方#12)">
      <formula>NOT(ISERROR(SEARCH("煮白細麵生(方#12)",A44)))</formula>
    </cfRule>
    <cfRule type="containsText" dxfId="1035" priority="19" operator="containsText" text="024">
      <formula>NOT(ISERROR(SEARCH("024",A44)))</formula>
    </cfRule>
    <cfRule type="containsText" dxfId="1034" priority="20" operator="containsText" text="白醬">
      <formula>NOT(ISERROR(SEARCH("白醬",A44)))</formula>
    </cfRule>
    <cfRule type="containsText" dxfId="1033" priority="21" operator="containsText" text="青蔥">
      <formula>NOT(ISERROR(SEARCH("青蔥",A44)))</formula>
    </cfRule>
    <cfRule type="containsText" dxfId="1032" priority="22" operator="containsText" text=")川燙小青花菜">
      <formula>NOT(ISERROR(SEARCH(")川燙小青花菜",A44)))</formula>
    </cfRule>
    <cfRule type="containsText" dxfId="1031" priority="23" operator="containsText" text="湯凍">
      <formula>NOT(ISERROR(SEARCH("湯凍",A44)))</formula>
    </cfRule>
    <cfRule type="containsText" dxfId="1030" priority="24" operator="containsText" text="中華">
      <formula>NOT(ISERROR(SEARCH("中華",A44)))</formula>
    </cfRule>
  </conditionalFormatting>
  <conditionalFormatting sqref="D44:D53">
    <cfRule type="cellIs" dxfId="1029" priority="16" operator="greaterThan">
      <formula>0.146</formula>
    </cfRule>
  </conditionalFormatting>
  <conditionalFormatting sqref="E5">
    <cfRule type="cellIs" dxfId="1028" priority="14" operator="greaterThan">
      <formula>0.0025</formula>
    </cfRule>
    <cfRule type="cellIs" dxfId="1027" priority="25" operator="greaterThan">
      <formula>0.072</formula>
    </cfRule>
    <cfRule type="cellIs" dxfId="1026" priority="26" operator="greaterThan">
      <formula>7.2</formula>
    </cfRule>
  </conditionalFormatting>
  <conditionalFormatting sqref="G5">
    <cfRule type="cellIs" dxfId="1025" priority="1" operator="greaterThan">
      <formula>0.0025</formula>
    </cfRule>
    <cfRule type="cellIs" dxfId="1024" priority="2" operator="greaterThan">
      <formula>0.072</formula>
    </cfRule>
    <cfRule type="cellIs" dxfId="1023" priority="3" operator="greaterThan">
      <formula>7.2</formula>
    </cfRule>
  </conditionalFormatting>
  <conditionalFormatting sqref="H12:H22">
    <cfRule type="cellIs" dxfId="1022" priority="15" operator="greaterThan">
      <formula>1.1</formula>
    </cfRule>
  </conditionalFormatting>
  <conditionalFormatting sqref="H28:H37">
    <cfRule type="cellIs" dxfId="1021" priority="4" operator="greaterThan">
      <formula>1.1</formula>
    </cfRule>
  </conditionalFormatting>
  <conditionalFormatting sqref="I5">
    <cfRule type="cellIs" dxfId="102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CBB0D-F901-46B9-AAC9-924C2BB47352}">
  <sheetPr>
    <tabColor rgb="FFFF0000"/>
    <pageSetUpPr fitToPage="1"/>
  </sheetPr>
  <dimension ref="A1:R56"/>
  <sheetViews>
    <sheetView zoomScale="70" zoomScaleNormal="70" workbookViewId="0">
      <selection activeCell="L5" sqref="L5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24" style="18" bestFit="1" customWidth="1"/>
    <col min="17" max="17" width="55.25" style="18" bestFit="1" customWidth="1"/>
    <col min="18" max="18" width="41.75" style="18" customWidth="1"/>
    <col min="19" max="16384" width="9" style="18"/>
  </cols>
  <sheetData>
    <row r="1" spans="1:18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8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8" s="20" customFormat="1" ht="28.5">
      <c r="A3" s="149">
        <v>45899</v>
      </c>
      <c r="B3" s="150"/>
      <c r="C3" s="151">
        <v>6161593.7999999998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8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8" ht="46.5" customHeight="1" thickBot="1">
      <c r="A5" s="146" t="s">
        <v>61</v>
      </c>
      <c r="B5" s="147"/>
      <c r="C5" s="147"/>
      <c r="D5" s="24">
        <v>14887.156199999994</v>
      </c>
      <c r="E5" s="25">
        <f>D5/C3</f>
        <v>2.4161210042765225E-3</v>
      </c>
      <c r="F5" s="24">
        <v>46839.279499999997</v>
      </c>
      <c r="G5" s="26">
        <f>F5/C3</f>
        <v>7.6018122940853389E-3</v>
      </c>
      <c r="H5" s="27">
        <f>SUM(C12:C21)</f>
        <v>3050.8293999999996</v>
      </c>
      <c r="I5" s="28">
        <f>H5/D5</f>
        <v>0.20493030092610978</v>
      </c>
      <c r="J5" s="27">
        <f>SUM(C28:C37)</f>
        <v>15095.027400000017</v>
      </c>
      <c r="K5" s="29">
        <f>J5/F5</f>
        <v>0.32227283513189009</v>
      </c>
      <c r="L5" s="30">
        <v>2593.1287000000002</v>
      </c>
      <c r="M5" s="31">
        <f>L5/D5</f>
        <v>0.17418563123560168</v>
      </c>
    </row>
    <row r="6" spans="1:18" ht="46.5" customHeight="1" thickBot="1"/>
    <row r="7" spans="1:18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148"/>
      <c r="R7" s="95"/>
    </row>
    <row r="8" spans="1:18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28" t="s">
        <v>66</v>
      </c>
      <c r="Q8" s="100" t="s">
        <v>67</v>
      </c>
      <c r="R8" s="104" t="s">
        <v>68</v>
      </c>
    </row>
    <row r="9" spans="1:18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0"/>
      <c r="R9" s="104"/>
    </row>
    <row r="10" spans="1:18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0"/>
      <c r="R10" s="104"/>
    </row>
    <row r="11" spans="1:18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0"/>
      <c r="R11" s="104"/>
    </row>
    <row r="12" spans="1:18" s="46" customFormat="1" ht="24.95" customHeight="1">
      <c r="A12" s="35">
        <v>1</v>
      </c>
      <c r="B12" s="36" t="s">
        <v>91</v>
      </c>
      <c r="C12" s="37">
        <v>540.75</v>
      </c>
      <c r="D12" s="38">
        <v>2889</v>
      </c>
      <c r="E12" s="38">
        <v>2924</v>
      </c>
      <c r="F12" s="38">
        <v>0</v>
      </c>
      <c r="G12" s="37">
        <v>15.45</v>
      </c>
      <c r="H12" s="39">
        <f>(E12+F12)/D12</f>
        <v>1.0121149186569747</v>
      </c>
      <c r="I12" s="37">
        <v>540.75</v>
      </c>
      <c r="J12" s="38">
        <v>35</v>
      </c>
      <c r="K12" s="40">
        <f>J12/D12</f>
        <v>1.2114918656974732E-2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82" t="s">
        <v>92</v>
      </c>
      <c r="Q12" s="82" t="s">
        <v>93</v>
      </c>
      <c r="R12" s="45" t="s">
        <v>94</v>
      </c>
    </row>
    <row r="13" spans="1:18" s="46" customFormat="1" ht="24.95" customHeight="1">
      <c r="A13" s="47">
        <v>2</v>
      </c>
      <c r="B13" s="36" t="s">
        <v>101</v>
      </c>
      <c r="C13" s="37">
        <v>343.51190000000003</v>
      </c>
      <c r="D13" s="38">
        <v>505.54</v>
      </c>
      <c r="E13" s="38">
        <v>506.46</v>
      </c>
      <c r="F13" s="38">
        <v>12.8</v>
      </c>
      <c r="G13" s="37">
        <v>147.43</v>
      </c>
      <c r="H13" s="39">
        <f t="shared" ref="H13:H21" si="1">(E13+F13)/D13</f>
        <v>1.0271392965937414</v>
      </c>
      <c r="I13" s="37">
        <v>2022.7395999999958</v>
      </c>
      <c r="J13" s="38">
        <v>2.33</v>
      </c>
      <c r="K13" s="40">
        <f>J13/D13</f>
        <v>4.6089330221149661E-3</v>
      </c>
      <c r="L13" s="41">
        <f t="shared" ref="L13:L21" si="2">((E13+F13)-D13)-J13</f>
        <v>11.38999999999997</v>
      </c>
      <c r="M13" s="42">
        <f t="shared" ref="M13:M21" si="3">L13/D13</f>
        <v>2.253036357162632E-2</v>
      </c>
      <c r="N13" s="43">
        <f t="shared" si="0"/>
        <v>1679.2276999999958</v>
      </c>
      <c r="O13" s="44" t="s">
        <v>88</v>
      </c>
      <c r="P13" s="69" t="s">
        <v>48</v>
      </c>
      <c r="Q13" s="82" t="s">
        <v>102</v>
      </c>
      <c r="R13" s="45" t="s">
        <v>103</v>
      </c>
    </row>
    <row r="14" spans="1:18" s="46" customFormat="1" ht="24.95" customHeight="1">
      <c r="A14" s="47">
        <v>3</v>
      </c>
      <c r="B14" s="36" t="s">
        <v>146</v>
      </c>
      <c r="C14" s="37">
        <v>332.70749999999998</v>
      </c>
      <c r="D14" s="38">
        <v>57.96</v>
      </c>
      <c r="E14" s="38">
        <v>64.710000000000008</v>
      </c>
      <c r="F14" s="38">
        <v>0</v>
      </c>
      <c r="G14" s="37">
        <v>49.29</v>
      </c>
      <c r="H14" s="39">
        <f>(E14+F14)/D14</f>
        <v>1.1164596273291927</v>
      </c>
      <c r="I14" s="37">
        <v>332.70750000000032</v>
      </c>
      <c r="J14" s="38">
        <v>6.75</v>
      </c>
      <c r="K14" s="40">
        <f t="shared" ref="K14:K21" si="4">J14/D14</f>
        <v>0.11645962732919254</v>
      </c>
      <c r="L14" s="41">
        <f t="shared" si="2"/>
        <v>7.1054273576010019E-15</v>
      </c>
      <c r="M14" s="42">
        <f t="shared" si="3"/>
        <v>1.2259191438234993E-16</v>
      </c>
      <c r="N14" s="43">
        <f t="shared" si="0"/>
        <v>3.5022651445615338E-13</v>
      </c>
      <c r="O14" s="44" t="s">
        <v>88</v>
      </c>
      <c r="P14" s="82" t="s">
        <v>96</v>
      </c>
      <c r="Q14" s="82"/>
      <c r="R14" s="45" t="s">
        <v>147</v>
      </c>
    </row>
    <row r="15" spans="1:18" s="46" customFormat="1" ht="24.95" customHeight="1">
      <c r="A15" s="35">
        <v>4</v>
      </c>
      <c r="B15" s="36" t="s">
        <v>111</v>
      </c>
      <c r="C15" s="37">
        <v>288</v>
      </c>
      <c r="D15" s="38">
        <v>87.64</v>
      </c>
      <c r="E15" s="38">
        <v>90.64</v>
      </c>
      <c r="F15" s="38">
        <v>0</v>
      </c>
      <c r="G15" s="37">
        <v>96</v>
      </c>
      <c r="H15" s="39">
        <f>(E15+F15)/D15</f>
        <v>1.0342309447740758</v>
      </c>
      <c r="I15" s="37">
        <v>288</v>
      </c>
      <c r="J15" s="38">
        <v>3</v>
      </c>
      <c r="K15" s="40">
        <f t="shared" si="4"/>
        <v>3.4230944774075761E-2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88</v>
      </c>
      <c r="P15" s="69" t="s">
        <v>48</v>
      </c>
      <c r="Q15" s="82"/>
      <c r="R15" s="45" t="s">
        <v>113</v>
      </c>
    </row>
    <row r="16" spans="1:18" s="46" customFormat="1" ht="24.95" customHeight="1">
      <c r="A16" s="47">
        <v>5</v>
      </c>
      <c r="B16" s="36" t="s">
        <v>104</v>
      </c>
      <c r="C16" s="37">
        <v>271.1463</v>
      </c>
      <c r="D16" s="38">
        <v>42.03</v>
      </c>
      <c r="E16" s="38">
        <v>45.09</v>
      </c>
      <c r="F16" s="38">
        <v>0</v>
      </c>
      <c r="G16" s="37">
        <v>153.19</v>
      </c>
      <c r="H16" s="39">
        <f t="shared" si="1"/>
        <v>1.0728051391862956</v>
      </c>
      <c r="I16" s="37">
        <v>468.76140000000032</v>
      </c>
      <c r="J16" s="38">
        <v>1.77</v>
      </c>
      <c r="K16" s="40">
        <f t="shared" si="4"/>
        <v>4.2112776588151317E-2</v>
      </c>
      <c r="L16" s="41">
        <f t="shared" si="2"/>
        <v>1.2900000000000023</v>
      </c>
      <c r="M16" s="42">
        <f t="shared" si="3"/>
        <v>3.0692362598144236E-2</v>
      </c>
      <c r="N16" s="43">
        <f t="shared" si="0"/>
        <v>197.61510000000035</v>
      </c>
      <c r="O16" s="44" t="s">
        <v>88</v>
      </c>
      <c r="P16" s="82" t="s">
        <v>96</v>
      </c>
      <c r="Q16" s="82"/>
      <c r="R16" s="45" t="s">
        <v>105</v>
      </c>
    </row>
    <row r="17" spans="1:18" s="46" customFormat="1" ht="24.95" customHeight="1">
      <c r="A17" s="35">
        <v>6</v>
      </c>
      <c r="B17" s="36" t="s">
        <v>98</v>
      </c>
      <c r="C17" s="37">
        <v>270.66000000000003</v>
      </c>
      <c r="D17" s="38">
        <v>4218</v>
      </c>
      <c r="E17" s="38">
        <v>4244</v>
      </c>
      <c r="F17" s="38">
        <v>0</v>
      </c>
      <c r="G17" s="37">
        <v>10.41</v>
      </c>
      <c r="H17" s="39">
        <f t="shared" si="1"/>
        <v>1.0061640587956378</v>
      </c>
      <c r="I17" s="37">
        <v>270.66000000000003</v>
      </c>
      <c r="J17" s="38">
        <v>26</v>
      </c>
      <c r="K17" s="40">
        <f t="shared" si="4"/>
        <v>6.1640587956377432E-3</v>
      </c>
      <c r="L17" s="41">
        <f t="shared" si="2"/>
        <v>0</v>
      </c>
      <c r="M17" s="42">
        <f t="shared" si="3"/>
        <v>0</v>
      </c>
      <c r="N17" s="43">
        <f t="shared" si="0"/>
        <v>0</v>
      </c>
      <c r="O17" s="44" t="s">
        <v>88</v>
      </c>
      <c r="P17" s="44" t="s">
        <v>99</v>
      </c>
      <c r="Q17" s="82"/>
      <c r="R17" s="45" t="s">
        <v>100</v>
      </c>
    </row>
    <row r="18" spans="1:18" s="46" customFormat="1" ht="24.95" customHeight="1">
      <c r="A18" s="47">
        <v>7</v>
      </c>
      <c r="B18" s="36" t="s">
        <v>106</v>
      </c>
      <c r="C18" s="37">
        <v>253.42920000000001</v>
      </c>
      <c r="D18" s="38">
        <v>29.45</v>
      </c>
      <c r="E18" s="38">
        <v>30.96</v>
      </c>
      <c r="F18" s="38">
        <v>0</v>
      </c>
      <c r="G18" s="37">
        <v>248.46</v>
      </c>
      <c r="H18" s="39">
        <f t="shared" si="1"/>
        <v>1.0512733446519524</v>
      </c>
      <c r="I18" s="37">
        <v>375.1746000000004</v>
      </c>
      <c r="J18" s="38">
        <v>1.02</v>
      </c>
      <c r="K18" s="40">
        <f t="shared" si="4"/>
        <v>3.463497453310696E-2</v>
      </c>
      <c r="L18" s="41">
        <f>((E18+F18)-D18)-J18</f>
        <v>0.49000000000000155</v>
      </c>
      <c r="M18" s="42">
        <f t="shared" si="3"/>
        <v>1.6638370118845554E-2</v>
      </c>
      <c r="N18" s="43">
        <f t="shared" si="0"/>
        <v>121.74540000000039</v>
      </c>
      <c r="O18" s="44" t="s">
        <v>88</v>
      </c>
      <c r="P18" s="82" t="s">
        <v>96</v>
      </c>
      <c r="Q18" s="82"/>
      <c r="R18" s="45" t="s">
        <v>103</v>
      </c>
    </row>
    <row r="19" spans="1:18" s="46" customFormat="1" ht="24.95" customHeight="1">
      <c r="A19" s="35">
        <v>8</v>
      </c>
      <c r="B19" s="36" t="s">
        <v>134</v>
      </c>
      <c r="C19" s="37">
        <v>251.01330000000002</v>
      </c>
      <c r="D19" s="38">
        <v>233.45</v>
      </c>
      <c r="E19" s="38">
        <v>234.35</v>
      </c>
      <c r="F19" s="38">
        <v>2.96</v>
      </c>
      <c r="G19" s="37">
        <v>157.87</v>
      </c>
      <c r="H19" s="39">
        <f t="shared" si="1"/>
        <v>1.0165345898479332</v>
      </c>
      <c r="I19" s="37">
        <v>609.37820000000215</v>
      </c>
      <c r="J19" s="38">
        <v>1.59</v>
      </c>
      <c r="K19" s="40">
        <f t="shared" si="4"/>
        <v>6.8108802741486405E-3</v>
      </c>
      <c r="L19" s="41">
        <f t="shared" si="2"/>
        <v>2.2700000000000138</v>
      </c>
      <c r="M19" s="42">
        <f t="shared" si="3"/>
        <v>9.723709573784595E-3</v>
      </c>
      <c r="N19" s="43">
        <f t="shared" si="0"/>
        <v>358.36490000000219</v>
      </c>
      <c r="O19" s="44" t="s">
        <v>88</v>
      </c>
      <c r="P19" s="44" t="s">
        <v>89</v>
      </c>
      <c r="Q19" s="44"/>
      <c r="R19" s="45" t="s">
        <v>103</v>
      </c>
    </row>
    <row r="20" spans="1:18" s="46" customFormat="1" ht="24.95" customHeight="1">
      <c r="A20" s="47">
        <v>9</v>
      </c>
      <c r="B20" s="36" t="s">
        <v>148</v>
      </c>
      <c r="C20" s="37">
        <v>250.27199999999999</v>
      </c>
      <c r="D20" s="38">
        <v>29.41</v>
      </c>
      <c r="E20" s="38">
        <v>31.75</v>
      </c>
      <c r="F20" s="38">
        <v>0</v>
      </c>
      <c r="G20" s="37">
        <v>208.56</v>
      </c>
      <c r="H20" s="39">
        <f t="shared" si="1"/>
        <v>1.0795647738864331</v>
      </c>
      <c r="I20" s="37">
        <v>488.03039999999999</v>
      </c>
      <c r="J20" s="38">
        <v>1.2</v>
      </c>
      <c r="K20" s="40">
        <f t="shared" si="4"/>
        <v>4.0802448146888812E-2</v>
      </c>
      <c r="L20" s="41">
        <f t="shared" si="2"/>
        <v>1.1399999999999999</v>
      </c>
      <c r="M20" s="42">
        <f t="shared" si="3"/>
        <v>3.876232573954437E-2</v>
      </c>
      <c r="N20" s="43">
        <f t="shared" si="0"/>
        <v>237.75839999999999</v>
      </c>
      <c r="O20" s="44" t="s">
        <v>88</v>
      </c>
      <c r="P20" s="82" t="s">
        <v>96</v>
      </c>
      <c r="Q20" s="82"/>
      <c r="R20" s="45" t="s">
        <v>149</v>
      </c>
    </row>
    <row r="21" spans="1:18" s="46" customFormat="1" ht="24.95" customHeight="1" thickBot="1">
      <c r="A21" s="48">
        <v>10</v>
      </c>
      <c r="B21" s="49" t="s">
        <v>150</v>
      </c>
      <c r="C21" s="50">
        <v>249.33919999999998</v>
      </c>
      <c r="D21" s="51">
        <v>87.77</v>
      </c>
      <c r="E21" s="51">
        <v>90.55</v>
      </c>
      <c r="F21" s="51">
        <v>0</v>
      </c>
      <c r="G21" s="50">
        <v>141.66999999999999</v>
      </c>
      <c r="H21" s="52">
        <f t="shared" si="1"/>
        <v>1.031673692605674</v>
      </c>
      <c r="I21" s="50">
        <v>393.84260000000012</v>
      </c>
      <c r="J21" s="51">
        <v>1.76</v>
      </c>
      <c r="K21" s="53">
        <f t="shared" si="4"/>
        <v>2.0052409707189245E-2</v>
      </c>
      <c r="L21" s="54">
        <f t="shared" si="2"/>
        <v>1.0200000000000011</v>
      </c>
      <c r="M21" s="55">
        <f t="shared" si="3"/>
        <v>1.162128289848469E-2</v>
      </c>
      <c r="N21" s="56">
        <f t="shared" si="0"/>
        <v>144.50340000000014</v>
      </c>
      <c r="O21" s="57" t="s">
        <v>88</v>
      </c>
      <c r="P21" s="57" t="s">
        <v>89</v>
      </c>
      <c r="Q21" s="57"/>
      <c r="R21" s="58" t="s">
        <v>133</v>
      </c>
    </row>
    <row r="22" spans="1:18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20"/>
    </row>
    <row r="24" spans="1:18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8" t="s">
        <v>66</v>
      </c>
      <c r="Q24" s="100" t="s">
        <v>67</v>
      </c>
      <c r="R24" s="129" t="s">
        <v>68</v>
      </c>
    </row>
    <row r="25" spans="1:18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00"/>
      <c r="Q25" s="100"/>
      <c r="R25" s="130"/>
    </row>
    <row r="26" spans="1:18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00"/>
      <c r="Q26" s="100"/>
      <c r="R26" s="130"/>
    </row>
    <row r="27" spans="1:18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00"/>
      <c r="Q27" s="100"/>
      <c r="R27" s="131"/>
    </row>
    <row r="28" spans="1:18" s="67" customFormat="1" ht="24.95" customHeight="1">
      <c r="A28" s="35">
        <v>1</v>
      </c>
      <c r="B28" s="36" t="s">
        <v>142</v>
      </c>
      <c r="C28" s="37">
        <v>2245.6716000000006</v>
      </c>
      <c r="D28" s="38">
        <v>68.75</v>
      </c>
      <c r="E28" s="38">
        <v>68.69</v>
      </c>
      <c r="F28" s="38">
        <v>3.45</v>
      </c>
      <c r="G28" s="37">
        <v>662.44</v>
      </c>
      <c r="H28" s="68">
        <f t="shared" ref="H28:H37" si="5">(E28+F28)/D28</f>
        <v>1.049309090909091</v>
      </c>
      <c r="I28" s="37">
        <v>2245.6716000000006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3.3900000000000006</v>
      </c>
      <c r="N28" s="42">
        <f t="shared" ref="N28:N37" si="9">M28/D28</f>
        <v>4.930909090909092E-2</v>
      </c>
      <c r="O28" s="44" t="s">
        <v>116</v>
      </c>
      <c r="P28" s="69" t="s">
        <v>118</v>
      </c>
      <c r="Q28" s="82"/>
      <c r="R28" s="45" t="s">
        <v>103</v>
      </c>
    </row>
    <row r="29" spans="1:18" s="67" customFormat="1" ht="24.95" customHeight="1">
      <c r="A29" s="47">
        <v>2</v>
      </c>
      <c r="B29" s="36" t="s">
        <v>151</v>
      </c>
      <c r="C29" s="37">
        <v>2172.1471999999985</v>
      </c>
      <c r="D29" s="38">
        <v>28.12</v>
      </c>
      <c r="E29" s="38">
        <v>28.4</v>
      </c>
      <c r="F29" s="38">
        <v>3</v>
      </c>
      <c r="G29" s="37">
        <v>662.24</v>
      </c>
      <c r="H29" s="68">
        <f t="shared" si="5"/>
        <v>1.1166429587482218</v>
      </c>
      <c r="I29" s="37">
        <v>2172.1471999999985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3.2799999999999976</v>
      </c>
      <c r="N29" s="42">
        <f t="shared" si="9"/>
        <v>0.11664295874822182</v>
      </c>
      <c r="O29" s="44" t="s">
        <v>116</v>
      </c>
      <c r="P29" s="69" t="s">
        <v>118</v>
      </c>
      <c r="Q29" s="82"/>
      <c r="R29" s="45" t="s">
        <v>100</v>
      </c>
    </row>
    <row r="30" spans="1:18" s="67" customFormat="1" ht="24.95" customHeight="1">
      <c r="A30" s="47">
        <v>3</v>
      </c>
      <c r="B30" s="36" t="s">
        <v>152</v>
      </c>
      <c r="C30" s="37">
        <v>1899.5799999999997</v>
      </c>
      <c r="D30" s="38">
        <v>24.01</v>
      </c>
      <c r="E30" s="38">
        <v>27.03</v>
      </c>
      <c r="F30" s="38">
        <v>0</v>
      </c>
      <c r="G30" s="37">
        <v>629</v>
      </c>
      <c r="H30" s="68">
        <f t="shared" si="5"/>
        <v>1.1257809246147439</v>
      </c>
      <c r="I30" s="37">
        <v>1899.5799999999997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3.0199999999999996</v>
      </c>
      <c r="N30" s="42">
        <f t="shared" si="9"/>
        <v>0.12578092461474383</v>
      </c>
      <c r="O30" s="44" t="s">
        <v>116</v>
      </c>
      <c r="P30" s="69" t="s">
        <v>118</v>
      </c>
      <c r="Q30" s="82"/>
      <c r="R30" s="45" t="s">
        <v>105</v>
      </c>
    </row>
    <row r="31" spans="1:18" s="67" customFormat="1" ht="24.95" customHeight="1">
      <c r="A31" s="35">
        <v>4</v>
      </c>
      <c r="B31" s="36" t="s">
        <v>101</v>
      </c>
      <c r="C31" s="37">
        <v>1679.2276999999958</v>
      </c>
      <c r="D31" s="38">
        <v>505.54</v>
      </c>
      <c r="E31" s="38">
        <v>506.46</v>
      </c>
      <c r="F31" s="38">
        <v>12.8</v>
      </c>
      <c r="G31" s="37">
        <v>147.43</v>
      </c>
      <c r="H31" s="68">
        <f t="shared" si="5"/>
        <v>1.0271392965937414</v>
      </c>
      <c r="I31" s="37">
        <v>2022.7395999999958</v>
      </c>
      <c r="J31" s="38">
        <v>2.33</v>
      </c>
      <c r="K31" s="40">
        <f t="shared" si="6"/>
        <v>4.6089330221149661E-3</v>
      </c>
      <c r="L31" s="43">
        <f t="shared" si="7"/>
        <v>343.51190000000003</v>
      </c>
      <c r="M31" s="41">
        <f t="shared" si="8"/>
        <v>11.38999999999997</v>
      </c>
      <c r="N31" s="42">
        <f t="shared" si="9"/>
        <v>2.253036357162632E-2</v>
      </c>
      <c r="O31" s="44" t="s">
        <v>116</v>
      </c>
      <c r="P31" s="69" t="s">
        <v>48</v>
      </c>
      <c r="Q31" s="82" t="s">
        <v>102</v>
      </c>
      <c r="R31" s="45" t="s">
        <v>103</v>
      </c>
    </row>
    <row r="32" spans="1:18" s="67" customFormat="1" ht="24.95" customHeight="1">
      <c r="A32" s="47">
        <v>5</v>
      </c>
      <c r="B32" s="36" t="s">
        <v>117</v>
      </c>
      <c r="C32" s="37">
        <v>1647.0234000000057</v>
      </c>
      <c r="D32" s="38">
        <v>98.32</v>
      </c>
      <c r="E32" s="38">
        <v>102.18</v>
      </c>
      <c r="F32" s="38">
        <v>0</v>
      </c>
      <c r="G32" s="37">
        <v>426.69</v>
      </c>
      <c r="H32" s="68">
        <f t="shared" si="5"/>
        <v>1.039259560618389</v>
      </c>
      <c r="I32" s="37">
        <v>1647.0234000000057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3.8600000000000136</v>
      </c>
      <c r="N32" s="42">
        <f t="shared" si="9"/>
        <v>3.9259560618389075E-2</v>
      </c>
      <c r="O32" s="44" t="s">
        <v>116</v>
      </c>
      <c r="P32" s="69" t="s">
        <v>118</v>
      </c>
      <c r="Q32" s="82"/>
      <c r="R32" s="45" t="s">
        <v>97</v>
      </c>
    </row>
    <row r="33" spans="1:18" s="67" customFormat="1" ht="24.95" customHeight="1">
      <c r="A33" s="35">
        <v>6</v>
      </c>
      <c r="B33" s="36" t="s">
        <v>153</v>
      </c>
      <c r="C33" s="37">
        <v>1373.4365999999986</v>
      </c>
      <c r="D33" s="38">
        <v>40.85</v>
      </c>
      <c r="E33" s="38">
        <v>41.55</v>
      </c>
      <c r="F33" s="38">
        <v>1.49</v>
      </c>
      <c r="G33" s="37">
        <v>627.14</v>
      </c>
      <c r="H33" s="68">
        <f t="shared" si="5"/>
        <v>1.0536107711138309</v>
      </c>
      <c r="I33" s="37">
        <v>1373.4365999999986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2.1899999999999977</v>
      </c>
      <c r="N33" s="42">
        <f t="shared" si="9"/>
        <v>5.3610771113831029E-2</v>
      </c>
      <c r="O33" s="44" t="s">
        <v>116</v>
      </c>
      <c r="P33" s="69" t="s">
        <v>118</v>
      </c>
      <c r="Q33" s="82"/>
      <c r="R33" s="45" t="s">
        <v>154</v>
      </c>
    </row>
    <row r="34" spans="1:18" s="67" customFormat="1" ht="24.95" customHeight="1">
      <c r="A34" s="47">
        <v>7</v>
      </c>
      <c r="B34" s="36" t="s">
        <v>95</v>
      </c>
      <c r="C34" s="37">
        <v>1209.7799999999982</v>
      </c>
      <c r="D34" s="38">
        <v>159.78</v>
      </c>
      <c r="E34" s="38">
        <v>167.7</v>
      </c>
      <c r="F34" s="38">
        <v>0</v>
      </c>
      <c r="G34" s="37">
        <v>152.75</v>
      </c>
      <c r="H34" s="68">
        <f t="shared" si="5"/>
        <v>1.0495681562147952</v>
      </c>
      <c r="I34" s="37">
        <v>1209.7799999999982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7.9199999999999875</v>
      </c>
      <c r="N34" s="42">
        <f t="shared" si="9"/>
        <v>4.9568156214795267E-2</v>
      </c>
      <c r="O34" s="44" t="s">
        <v>116</v>
      </c>
      <c r="P34" s="69" t="s">
        <v>118</v>
      </c>
      <c r="Q34" s="82"/>
      <c r="R34" s="45" t="s">
        <v>97</v>
      </c>
    </row>
    <row r="35" spans="1:18" s="67" customFormat="1" ht="24.95" customHeight="1">
      <c r="A35" s="35">
        <v>8</v>
      </c>
      <c r="B35" s="36" t="s">
        <v>155</v>
      </c>
      <c r="C35" s="37">
        <v>996.16240000000209</v>
      </c>
      <c r="D35" s="38">
        <v>48.55</v>
      </c>
      <c r="E35" s="38">
        <v>46.83</v>
      </c>
      <c r="F35" s="38">
        <v>3.24</v>
      </c>
      <c r="G35" s="37">
        <v>655.37</v>
      </c>
      <c r="H35" s="68">
        <f t="shared" si="5"/>
        <v>1.0313079299691041</v>
      </c>
      <c r="I35" s="37">
        <v>996.16240000000209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1.5200000000000031</v>
      </c>
      <c r="N35" s="42">
        <f t="shared" si="9"/>
        <v>3.130792996910408E-2</v>
      </c>
      <c r="O35" s="44" t="s">
        <v>116</v>
      </c>
      <c r="P35" s="69" t="s">
        <v>118</v>
      </c>
      <c r="Q35" s="82"/>
      <c r="R35" s="45" t="s">
        <v>122</v>
      </c>
    </row>
    <row r="36" spans="1:18" s="67" customFormat="1" ht="24.95" customHeight="1">
      <c r="A36" s="47">
        <v>9</v>
      </c>
      <c r="B36" s="36" t="s">
        <v>129</v>
      </c>
      <c r="C36" s="37">
        <v>955.99530000001721</v>
      </c>
      <c r="D36" s="38">
        <v>4155.93</v>
      </c>
      <c r="E36" s="38">
        <v>4142.1000000000004</v>
      </c>
      <c r="F36" s="38">
        <v>38.1</v>
      </c>
      <c r="G36" s="37">
        <v>39.39</v>
      </c>
      <c r="H36" s="68">
        <f t="shared" si="5"/>
        <v>1.0058398481206374</v>
      </c>
      <c r="I36" s="37">
        <v>955.99530000001721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24.270000000000437</v>
      </c>
      <c r="N36" s="42">
        <f t="shared" si="9"/>
        <v>5.8398481206373629E-3</v>
      </c>
      <c r="O36" s="44" t="s">
        <v>131</v>
      </c>
      <c r="P36" s="44" t="s">
        <v>120</v>
      </c>
      <c r="Q36" s="82" t="s">
        <v>132</v>
      </c>
      <c r="R36" s="45" t="s">
        <v>103</v>
      </c>
    </row>
    <row r="37" spans="1:18" s="67" customFormat="1" ht="24.95" customHeight="1" thickBot="1">
      <c r="A37" s="48">
        <v>10</v>
      </c>
      <c r="B37" s="49" t="s">
        <v>156</v>
      </c>
      <c r="C37" s="50">
        <v>916.00319999999931</v>
      </c>
      <c r="D37" s="51">
        <v>152.78</v>
      </c>
      <c r="E37" s="51">
        <v>156.22</v>
      </c>
      <c r="F37" s="51">
        <v>0</v>
      </c>
      <c r="G37" s="50">
        <v>266.27999999999997</v>
      </c>
      <c r="H37" s="70">
        <f t="shared" si="5"/>
        <v>1.0225160361303836</v>
      </c>
      <c r="I37" s="50">
        <v>916.00319999999931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3.4399999999999977</v>
      </c>
      <c r="N37" s="55">
        <f t="shared" si="9"/>
        <v>2.2516036130383544E-2</v>
      </c>
      <c r="O37" s="57" t="s">
        <v>131</v>
      </c>
      <c r="P37" s="83" t="s">
        <v>118</v>
      </c>
      <c r="Q37" s="84"/>
      <c r="R37" s="58" t="s">
        <v>157</v>
      </c>
    </row>
    <row r="38" spans="1:18" ht="15.75" customHeight="1" thickBot="1"/>
    <row r="39" spans="1:18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8" ht="26.1" customHeight="1">
      <c r="A40" s="96" t="s">
        <v>63</v>
      </c>
      <c r="B40" s="97"/>
      <c r="C40" s="97"/>
      <c r="D40" s="98"/>
      <c r="E40" s="71"/>
      <c r="G40" s="74"/>
    </row>
    <row r="41" spans="1:18" ht="25.5" customHeight="1">
      <c r="A41" s="99" t="s">
        <v>69</v>
      </c>
      <c r="B41" s="100" t="s">
        <v>70</v>
      </c>
      <c r="C41" s="100"/>
      <c r="D41" s="101"/>
      <c r="E41" s="71"/>
    </row>
    <row r="42" spans="1:18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8" ht="20.45" customHeight="1">
      <c r="A43" s="99"/>
      <c r="B43" s="102"/>
      <c r="C43" s="103"/>
      <c r="D43" s="104"/>
      <c r="E43" s="71"/>
    </row>
    <row r="44" spans="1:18" s="78" customFormat="1" ht="24.95" customHeight="1">
      <c r="A44" s="75">
        <v>1</v>
      </c>
      <c r="B44" s="36" t="s">
        <v>101</v>
      </c>
      <c r="C44" s="37">
        <v>343.51190000000003</v>
      </c>
      <c r="D44" s="76">
        <f t="shared" ref="D44:D53" si="10">C44/$L$5</f>
        <v>0.13247005441727594</v>
      </c>
      <c r="E44" s="77"/>
    </row>
    <row r="45" spans="1:18" s="78" customFormat="1" ht="24.95" customHeight="1">
      <c r="A45" s="79">
        <v>2</v>
      </c>
      <c r="B45" s="36" t="s">
        <v>106</v>
      </c>
      <c r="C45" s="37">
        <v>253.42920000000001</v>
      </c>
      <c r="D45" s="76">
        <f t="shared" si="10"/>
        <v>9.7731053611029794E-2</v>
      </c>
      <c r="E45" s="77"/>
    </row>
    <row r="46" spans="1:18" s="78" customFormat="1" ht="24.95" customHeight="1">
      <c r="A46" s="79">
        <v>3</v>
      </c>
      <c r="B46" s="36" t="s">
        <v>134</v>
      </c>
      <c r="C46" s="37">
        <v>251.01330000000002</v>
      </c>
      <c r="D46" s="76">
        <f t="shared" si="10"/>
        <v>9.6799399119681176E-2</v>
      </c>
      <c r="E46" s="77"/>
    </row>
    <row r="47" spans="1:18" s="78" customFormat="1" ht="24.95" customHeight="1">
      <c r="A47" s="75">
        <v>4</v>
      </c>
      <c r="B47" s="36" t="s">
        <v>137</v>
      </c>
      <c r="C47" s="37">
        <v>242.55</v>
      </c>
      <c r="D47" s="76">
        <f t="shared" si="10"/>
        <v>9.3535658295710505E-2</v>
      </c>
      <c r="E47" s="77"/>
    </row>
    <row r="48" spans="1:18" s="78" customFormat="1" ht="24.95" customHeight="1">
      <c r="A48" s="79">
        <v>5</v>
      </c>
      <c r="B48" s="36" t="s">
        <v>138</v>
      </c>
      <c r="C48" s="37">
        <v>217.61999999999998</v>
      </c>
      <c r="D48" s="76">
        <f t="shared" si="10"/>
        <v>8.3921789149917617E-2</v>
      </c>
      <c r="E48" s="77"/>
    </row>
    <row r="49" spans="1:5" s="78" customFormat="1" ht="24.95" customHeight="1">
      <c r="A49" s="75">
        <v>6</v>
      </c>
      <c r="B49" s="36" t="s">
        <v>140</v>
      </c>
      <c r="C49" s="37">
        <v>208</v>
      </c>
      <c r="D49" s="76">
        <f t="shared" si="10"/>
        <v>8.0211984850578372E-2</v>
      </c>
      <c r="E49" s="77"/>
    </row>
    <row r="50" spans="1:5" s="78" customFormat="1" ht="24.95" customHeight="1">
      <c r="A50" s="79">
        <v>7</v>
      </c>
      <c r="B50" s="36" t="s">
        <v>158</v>
      </c>
      <c r="C50" s="37">
        <v>203.184</v>
      </c>
      <c r="D50" s="76">
        <f t="shared" si="10"/>
        <v>7.8354768893653434E-2</v>
      </c>
      <c r="E50" s="77"/>
    </row>
    <row r="51" spans="1:5" s="78" customFormat="1" ht="24.95" customHeight="1">
      <c r="A51" s="75">
        <v>8</v>
      </c>
      <c r="B51" s="36" t="s">
        <v>159</v>
      </c>
      <c r="C51" s="37">
        <v>162.21</v>
      </c>
      <c r="D51" s="76">
        <f t="shared" si="10"/>
        <v>6.255377914717461E-2</v>
      </c>
      <c r="E51" s="77"/>
    </row>
    <row r="52" spans="1:5" s="78" customFormat="1" ht="24.95" customHeight="1">
      <c r="A52" s="79">
        <v>9</v>
      </c>
      <c r="B52" s="36" t="s">
        <v>139</v>
      </c>
      <c r="C52" s="37">
        <v>159.80000000000001</v>
      </c>
      <c r="D52" s="76">
        <f t="shared" si="10"/>
        <v>6.1624399899627043E-2</v>
      </c>
      <c r="E52" s="77"/>
    </row>
    <row r="53" spans="1:5" s="78" customFormat="1" ht="24.95" customHeight="1" thickBot="1">
      <c r="A53" s="80">
        <v>10</v>
      </c>
      <c r="B53" s="49" t="s">
        <v>160</v>
      </c>
      <c r="C53" s="50">
        <v>152.70400000000001</v>
      </c>
      <c r="D53" s="81">
        <f t="shared" si="10"/>
        <v>5.8887937185686155E-2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019" priority="27" operator="containsText" text="綠豆芽">
      <formula>NOT(ISERROR(SEARCH("綠豆芽",A12)))</formula>
    </cfRule>
    <cfRule type="containsText" dxfId="1018" priority="28" operator="containsText" text="煮白細麵生(方#12)">
      <formula>NOT(ISERROR(SEARCH("煮白細麵生(方#12)",A12)))</formula>
    </cfRule>
    <cfRule type="containsText" dxfId="1017" priority="29" operator="containsText" text="024">
      <formula>NOT(ISERROR(SEARCH("024",A12)))</formula>
    </cfRule>
    <cfRule type="containsText" dxfId="1016" priority="30" operator="containsText" text="白醬">
      <formula>NOT(ISERROR(SEARCH("白醬",A12)))</formula>
    </cfRule>
    <cfRule type="containsText" dxfId="1015" priority="31" operator="containsText" text="青蔥">
      <formula>NOT(ISERROR(SEARCH("青蔥",A12)))</formula>
    </cfRule>
    <cfRule type="containsText" dxfId="1014" priority="32" operator="containsText" text=")川燙小青花菜">
      <formula>NOT(ISERROR(SEARCH(")川燙小青花菜",A12)))</formula>
    </cfRule>
    <cfRule type="containsText" dxfId="1013" priority="33" operator="containsText" text="湯凍">
      <formula>NOT(ISERROR(SEARCH("湯凍",A12)))</formula>
    </cfRule>
    <cfRule type="containsText" dxfId="1012" priority="34" operator="containsText" text="中華">
      <formula>NOT(ISERROR(SEARCH("中華",A12)))</formula>
    </cfRule>
  </conditionalFormatting>
  <conditionalFormatting sqref="A28:A37">
    <cfRule type="containsText" dxfId="1011" priority="5" operator="containsText" text="綠豆芽">
      <formula>NOT(ISERROR(SEARCH("綠豆芽",A28)))</formula>
    </cfRule>
    <cfRule type="containsText" dxfId="1010" priority="6" operator="containsText" text="煮白細麵生(方#12)">
      <formula>NOT(ISERROR(SEARCH("煮白細麵生(方#12)",A28)))</formula>
    </cfRule>
    <cfRule type="containsText" dxfId="1009" priority="7" operator="containsText" text="024">
      <formula>NOT(ISERROR(SEARCH("024",A28)))</formula>
    </cfRule>
    <cfRule type="containsText" dxfId="1008" priority="8" operator="containsText" text="白醬">
      <formula>NOT(ISERROR(SEARCH("白醬",A28)))</formula>
    </cfRule>
    <cfRule type="containsText" dxfId="1007" priority="9" operator="containsText" text="青蔥">
      <formula>NOT(ISERROR(SEARCH("青蔥",A28)))</formula>
    </cfRule>
    <cfRule type="containsText" dxfId="1006" priority="10" operator="containsText" text=")川燙小青花菜">
      <formula>NOT(ISERROR(SEARCH(")川燙小青花菜",A28)))</formula>
    </cfRule>
    <cfRule type="containsText" dxfId="1005" priority="11" operator="containsText" text="湯凍">
      <formula>NOT(ISERROR(SEARCH("湯凍",A28)))</formula>
    </cfRule>
    <cfRule type="containsText" dxfId="1004" priority="12" operator="containsText" text="中華">
      <formula>NOT(ISERROR(SEARCH("中華",A28)))</formula>
    </cfRule>
  </conditionalFormatting>
  <conditionalFormatting sqref="A44:A53">
    <cfRule type="containsText" dxfId="1003" priority="17" operator="containsText" text="綠豆芽">
      <formula>NOT(ISERROR(SEARCH("綠豆芽",A44)))</formula>
    </cfRule>
    <cfRule type="containsText" dxfId="1002" priority="18" operator="containsText" text="煮白細麵生(方#12)">
      <formula>NOT(ISERROR(SEARCH("煮白細麵生(方#12)",A44)))</formula>
    </cfRule>
    <cfRule type="containsText" dxfId="1001" priority="19" operator="containsText" text="024">
      <formula>NOT(ISERROR(SEARCH("024",A44)))</formula>
    </cfRule>
    <cfRule type="containsText" dxfId="1000" priority="20" operator="containsText" text="白醬">
      <formula>NOT(ISERROR(SEARCH("白醬",A44)))</formula>
    </cfRule>
    <cfRule type="containsText" dxfId="999" priority="21" operator="containsText" text="青蔥">
      <formula>NOT(ISERROR(SEARCH("青蔥",A44)))</formula>
    </cfRule>
    <cfRule type="containsText" dxfId="998" priority="22" operator="containsText" text=")川燙小青花菜">
      <formula>NOT(ISERROR(SEARCH(")川燙小青花菜",A44)))</formula>
    </cfRule>
    <cfRule type="containsText" dxfId="997" priority="23" operator="containsText" text="湯凍">
      <formula>NOT(ISERROR(SEARCH("湯凍",A44)))</formula>
    </cfRule>
    <cfRule type="containsText" dxfId="996" priority="24" operator="containsText" text="中華">
      <formula>NOT(ISERROR(SEARCH("中華",A44)))</formula>
    </cfRule>
  </conditionalFormatting>
  <conditionalFormatting sqref="D44:D53">
    <cfRule type="cellIs" dxfId="995" priority="16" operator="greaterThan">
      <formula>0.146</formula>
    </cfRule>
  </conditionalFormatting>
  <conditionalFormatting sqref="E5">
    <cfRule type="cellIs" dxfId="994" priority="14" operator="greaterThan">
      <formula>0.0025</formula>
    </cfRule>
    <cfRule type="cellIs" dxfId="993" priority="25" operator="greaterThan">
      <formula>0.072</formula>
    </cfRule>
    <cfRule type="cellIs" dxfId="992" priority="26" operator="greaterThan">
      <formula>7.2</formula>
    </cfRule>
  </conditionalFormatting>
  <conditionalFormatting sqref="G5">
    <cfRule type="cellIs" dxfId="991" priority="1" operator="greaterThan">
      <formula>0.0025</formula>
    </cfRule>
    <cfRule type="cellIs" dxfId="990" priority="2" operator="greaterThan">
      <formula>0.072</formula>
    </cfRule>
    <cfRule type="cellIs" dxfId="989" priority="3" operator="greaterThan">
      <formula>7.2</formula>
    </cfRule>
  </conditionalFormatting>
  <conditionalFormatting sqref="H12:H22">
    <cfRule type="cellIs" dxfId="988" priority="15" operator="greaterThan">
      <formula>1.1</formula>
    </cfRule>
  </conditionalFormatting>
  <conditionalFormatting sqref="H28:H37">
    <cfRule type="cellIs" dxfId="987" priority="4" operator="greaterThan">
      <formula>1.1</formula>
    </cfRule>
  </conditionalFormatting>
  <conditionalFormatting sqref="I5">
    <cfRule type="cellIs" dxfId="98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C19F-E62C-40AA-9A0E-EEF7DBEABCCE}">
  <sheetPr>
    <tabColor rgb="FFFF0000"/>
    <pageSetUpPr fitToPage="1"/>
  </sheetPr>
  <dimension ref="A1:R56"/>
  <sheetViews>
    <sheetView zoomScale="70" zoomScaleNormal="70" workbookViewId="0">
      <selection activeCell="L5" sqref="L5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24" style="18" bestFit="1" customWidth="1"/>
    <col min="17" max="17" width="55.25" style="18" bestFit="1" customWidth="1"/>
    <col min="18" max="18" width="41.75" style="18" customWidth="1"/>
    <col min="19" max="16384" width="9" style="18"/>
  </cols>
  <sheetData>
    <row r="1" spans="1:18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8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8" s="20" customFormat="1" ht="28.5">
      <c r="A3" s="149">
        <v>45898</v>
      </c>
      <c r="B3" s="150"/>
      <c r="C3" s="151">
        <v>5760799.9100000001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8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8" ht="46.5" customHeight="1" thickBot="1">
      <c r="A5" s="146" t="s">
        <v>61</v>
      </c>
      <c r="B5" s="147"/>
      <c r="C5" s="147"/>
      <c r="D5" s="24">
        <v>13931.158699999993</v>
      </c>
      <c r="E5" s="25">
        <f>D5/C3</f>
        <v>2.4182681081870785E-3</v>
      </c>
      <c r="F5" s="24">
        <v>44372.037199999984</v>
      </c>
      <c r="G5" s="26">
        <f>F5/C3</f>
        <v>7.7024090218748772E-3</v>
      </c>
      <c r="H5" s="27">
        <f>SUM(C12:C21)</f>
        <v>4345.5272000000004</v>
      </c>
      <c r="I5" s="28">
        <f>H5/D5</f>
        <v>0.3119286265829419</v>
      </c>
      <c r="J5" s="27">
        <f>SUM(C28:C37)</f>
        <v>13543.466400000008</v>
      </c>
      <c r="K5" s="29">
        <f>J5/F5</f>
        <v>0.30522525569324127</v>
      </c>
      <c r="L5" s="30">
        <v>1847.3764000000001</v>
      </c>
      <c r="M5" s="31">
        <f>L5/D5</f>
        <v>0.13260751957408978</v>
      </c>
    </row>
    <row r="6" spans="1:18" ht="46.5" customHeight="1" thickBot="1"/>
    <row r="7" spans="1:18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148"/>
      <c r="R7" s="95"/>
    </row>
    <row r="8" spans="1:18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28" t="s">
        <v>66</v>
      </c>
      <c r="Q8" s="100" t="s">
        <v>67</v>
      </c>
      <c r="R8" s="104" t="s">
        <v>68</v>
      </c>
    </row>
    <row r="9" spans="1:18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0"/>
      <c r="R9" s="104"/>
    </row>
    <row r="10" spans="1:18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0"/>
      <c r="R10" s="104"/>
    </row>
    <row r="11" spans="1:18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0"/>
      <c r="R11" s="104"/>
    </row>
    <row r="12" spans="1:18" s="46" customFormat="1" ht="24.95" customHeight="1">
      <c r="A12" s="35">
        <v>1</v>
      </c>
      <c r="B12" s="36" t="s">
        <v>91</v>
      </c>
      <c r="C12" s="37">
        <v>1081.5</v>
      </c>
      <c r="D12" s="38">
        <v>3008</v>
      </c>
      <c r="E12" s="38">
        <v>3078</v>
      </c>
      <c r="F12" s="38">
        <v>0</v>
      </c>
      <c r="G12" s="37">
        <v>15.45</v>
      </c>
      <c r="H12" s="39">
        <f>(E12+F12)/D12</f>
        <v>1.0232712765957446</v>
      </c>
      <c r="I12" s="37">
        <v>1081.5</v>
      </c>
      <c r="J12" s="38">
        <v>70</v>
      </c>
      <c r="K12" s="40">
        <f>J12/D12</f>
        <v>2.327127659574468E-2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82" t="s">
        <v>92</v>
      </c>
      <c r="Q12" s="82" t="s">
        <v>93</v>
      </c>
      <c r="R12" s="45" t="s">
        <v>94</v>
      </c>
    </row>
    <row r="13" spans="1:18" s="46" customFormat="1" ht="24.95" customHeight="1">
      <c r="A13" s="47">
        <v>2</v>
      </c>
      <c r="B13" s="36" t="s">
        <v>161</v>
      </c>
      <c r="C13" s="37">
        <v>734.6</v>
      </c>
      <c r="D13" s="38">
        <v>39</v>
      </c>
      <c r="E13" s="38">
        <v>43</v>
      </c>
      <c r="F13" s="38">
        <v>0</v>
      </c>
      <c r="G13" s="37">
        <v>183.65</v>
      </c>
      <c r="H13" s="39">
        <f t="shared" ref="H13:H21" si="1">(E13+F13)/D13</f>
        <v>1.1025641025641026</v>
      </c>
      <c r="I13" s="37">
        <v>734.6</v>
      </c>
      <c r="J13" s="38">
        <v>4</v>
      </c>
      <c r="K13" s="40">
        <f>J13/D13</f>
        <v>0.10256410256410256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82" t="s">
        <v>96</v>
      </c>
      <c r="Q13" s="82"/>
      <c r="R13" s="45" t="s">
        <v>162</v>
      </c>
    </row>
    <row r="14" spans="1:18" s="46" customFormat="1" ht="24.95" customHeight="1">
      <c r="A14" s="47">
        <v>3</v>
      </c>
      <c r="B14" s="36" t="s">
        <v>163</v>
      </c>
      <c r="C14" s="37">
        <v>507.84</v>
      </c>
      <c r="D14" s="38">
        <v>31.5</v>
      </c>
      <c r="E14" s="38">
        <v>33.5</v>
      </c>
      <c r="F14" s="38">
        <v>0</v>
      </c>
      <c r="G14" s="37">
        <v>253.92</v>
      </c>
      <c r="H14" s="39">
        <f>(E14+F14)/D14</f>
        <v>1.0634920634920635</v>
      </c>
      <c r="I14" s="37">
        <v>507.84</v>
      </c>
      <c r="J14" s="38">
        <v>2</v>
      </c>
      <c r="K14" s="40">
        <f t="shared" ref="K14:K21" si="4">J14/D14</f>
        <v>6.3492063492063489E-2</v>
      </c>
      <c r="L14" s="41">
        <f t="shared" si="2"/>
        <v>0</v>
      </c>
      <c r="M14" s="42">
        <f t="shared" si="3"/>
        <v>0</v>
      </c>
      <c r="N14" s="43">
        <f t="shared" si="0"/>
        <v>0</v>
      </c>
      <c r="O14" s="44" t="s">
        <v>88</v>
      </c>
      <c r="P14" s="82" t="s">
        <v>96</v>
      </c>
      <c r="Q14" s="82"/>
      <c r="R14" s="45" t="s">
        <v>162</v>
      </c>
    </row>
    <row r="15" spans="1:18" s="46" customFormat="1" ht="24.95" customHeight="1">
      <c r="A15" s="35">
        <v>4</v>
      </c>
      <c r="B15" s="36" t="s">
        <v>98</v>
      </c>
      <c r="C15" s="37">
        <v>312.3</v>
      </c>
      <c r="D15" s="38">
        <v>4035</v>
      </c>
      <c r="E15" s="38">
        <v>3975</v>
      </c>
      <c r="F15" s="38">
        <v>90</v>
      </c>
      <c r="G15" s="37">
        <v>10.41</v>
      </c>
      <c r="H15" s="39">
        <f>(E15+F15)/D15</f>
        <v>1.0074349442379182</v>
      </c>
      <c r="I15" s="37">
        <v>312.3</v>
      </c>
      <c r="J15" s="38">
        <v>30</v>
      </c>
      <c r="K15" s="40">
        <f t="shared" si="4"/>
        <v>7.4349442379182153E-3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88</v>
      </c>
      <c r="P15" s="82" t="s">
        <v>99</v>
      </c>
      <c r="Q15" s="82"/>
      <c r="R15" s="45" t="s">
        <v>100</v>
      </c>
    </row>
    <row r="16" spans="1:18" s="46" customFormat="1" ht="24.95" customHeight="1">
      <c r="A16" s="47">
        <v>5</v>
      </c>
      <c r="B16" s="36" t="s">
        <v>164</v>
      </c>
      <c r="C16" s="37">
        <v>307.09899999999999</v>
      </c>
      <c r="D16" s="38">
        <v>16.95</v>
      </c>
      <c r="E16" s="38">
        <v>18.3</v>
      </c>
      <c r="F16" s="38">
        <v>0</v>
      </c>
      <c r="G16" s="37">
        <v>236.23</v>
      </c>
      <c r="H16" s="39">
        <f t="shared" si="1"/>
        <v>1.0796460176991152</v>
      </c>
      <c r="I16" s="37">
        <v>318.9105000000003</v>
      </c>
      <c r="J16" s="38">
        <v>1.3</v>
      </c>
      <c r="K16" s="40">
        <f t="shared" si="4"/>
        <v>7.6696165191740412E-2</v>
      </c>
      <c r="L16" s="41">
        <f t="shared" si="2"/>
        <v>5.0000000000001377E-2</v>
      </c>
      <c r="M16" s="42">
        <f t="shared" si="3"/>
        <v>2.9498525073747128E-3</v>
      </c>
      <c r="N16" s="43">
        <f t="shared" si="0"/>
        <v>11.811500000000324</v>
      </c>
      <c r="O16" s="44" t="s">
        <v>88</v>
      </c>
      <c r="P16" s="82" t="s">
        <v>96</v>
      </c>
      <c r="Q16" s="82"/>
      <c r="R16" s="45" t="s">
        <v>124</v>
      </c>
    </row>
    <row r="17" spans="1:18" s="46" customFormat="1" ht="24.95" customHeight="1">
      <c r="A17" s="35">
        <v>6</v>
      </c>
      <c r="B17" s="36" t="s">
        <v>165</v>
      </c>
      <c r="C17" s="37">
        <v>306.81</v>
      </c>
      <c r="D17" s="38">
        <v>28.82</v>
      </c>
      <c r="E17" s="38">
        <v>31.82</v>
      </c>
      <c r="F17" s="38">
        <v>0</v>
      </c>
      <c r="G17" s="37">
        <v>102.27</v>
      </c>
      <c r="H17" s="39">
        <f t="shared" si="1"/>
        <v>1.1040943789035391</v>
      </c>
      <c r="I17" s="37">
        <v>306.81</v>
      </c>
      <c r="J17" s="38">
        <v>3</v>
      </c>
      <c r="K17" s="40">
        <f t="shared" si="4"/>
        <v>0.1040943789035392</v>
      </c>
      <c r="L17" s="41">
        <f t="shared" si="2"/>
        <v>0</v>
      </c>
      <c r="M17" s="42">
        <f t="shared" si="3"/>
        <v>0</v>
      </c>
      <c r="N17" s="43">
        <f t="shared" si="0"/>
        <v>0</v>
      </c>
      <c r="O17" s="44" t="s">
        <v>88</v>
      </c>
      <c r="P17" s="82" t="s">
        <v>96</v>
      </c>
      <c r="Q17" s="82"/>
      <c r="R17" s="45" t="s">
        <v>166</v>
      </c>
    </row>
    <row r="18" spans="1:18" s="46" customFormat="1" ht="24.95" customHeight="1">
      <c r="A18" s="47">
        <v>7</v>
      </c>
      <c r="B18" s="36" t="s">
        <v>150</v>
      </c>
      <c r="C18" s="37">
        <v>289.0068</v>
      </c>
      <c r="D18" s="38">
        <v>86.26</v>
      </c>
      <c r="E18" s="38">
        <v>88.86</v>
      </c>
      <c r="F18" s="38">
        <v>0</v>
      </c>
      <c r="G18" s="37">
        <v>141.66999999999999</v>
      </c>
      <c r="H18" s="39">
        <f t="shared" si="1"/>
        <v>1.0301414328773475</v>
      </c>
      <c r="I18" s="37">
        <v>368.34199999999919</v>
      </c>
      <c r="J18" s="38">
        <v>2.04</v>
      </c>
      <c r="K18" s="40">
        <f t="shared" si="4"/>
        <v>2.364943194991885E-2</v>
      </c>
      <c r="L18" s="41">
        <f>((E18+F18)-D18)-J18</f>
        <v>0.55999999999999428</v>
      </c>
      <c r="M18" s="42">
        <f t="shared" si="3"/>
        <v>6.4920009274286369E-3</v>
      </c>
      <c r="N18" s="43">
        <f t="shared" si="0"/>
        <v>79.335199999999176</v>
      </c>
      <c r="O18" s="44" t="s">
        <v>88</v>
      </c>
      <c r="P18" s="82" t="s">
        <v>89</v>
      </c>
      <c r="Q18" s="82"/>
      <c r="R18" s="45" t="s">
        <v>133</v>
      </c>
    </row>
    <row r="19" spans="1:18" s="46" customFormat="1" ht="24.95" customHeight="1">
      <c r="A19" s="35">
        <v>8</v>
      </c>
      <c r="B19" s="36" t="s">
        <v>167</v>
      </c>
      <c r="C19" s="37">
        <v>278.52299999999997</v>
      </c>
      <c r="D19" s="38">
        <v>11.78</v>
      </c>
      <c r="E19" s="38">
        <v>11.4</v>
      </c>
      <c r="F19" s="38">
        <v>0.95</v>
      </c>
      <c r="G19" s="37">
        <v>795.78</v>
      </c>
      <c r="H19" s="39">
        <f t="shared" si="1"/>
        <v>1.0483870967741935</v>
      </c>
      <c r="I19" s="37">
        <v>453.59460000000018</v>
      </c>
      <c r="J19" s="38">
        <v>0.35</v>
      </c>
      <c r="K19" s="40">
        <f t="shared" si="4"/>
        <v>2.9711375212224108E-2</v>
      </c>
      <c r="L19" s="41">
        <f t="shared" si="2"/>
        <v>0.22000000000000031</v>
      </c>
      <c r="M19" s="42">
        <f t="shared" si="3"/>
        <v>1.8675721561969467E-2</v>
      </c>
      <c r="N19" s="43">
        <f t="shared" si="0"/>
        <v>175.07160000000025</v>
      </c>
      <c r="O19" s="44" t="s">
        <v>88</v>
      </c>
      <c r="P19" s="44" t="s">
        <v>99</v>
      </c>
      <c r="Q19" s="44"/>
      <c r="R19" s="45" t="s">
        <v>147</v>
      </c>
    </row>
    <row r="20" spans="1:18" s="46" customFormat="1" ht="24.95" customHeight="1">
      <c r="A20" s="47">
        <v>9</v>
      </c>
      <c r="B20" s="36" t="s">
        <v>168</v>
      </c>
      <c r="C20" s="37">
        <v>269.45</v>
      </c>
      <c r="D20" s="38">
        <v>10263</v>
      </c>
      <c r="E20" s="38">
        <v>10580</v>
      </c>
      <c r="F20" s="38">
        <v>0</v>
      </c>
      <c r="G20" s="37">
        <v>0.85</v>
      </c>
      <c r="H20" s="39">
        <f t="shared" si="1"/>
        <v>1.0308876546818668</v>
      </c>
      <c r="I20" s="37">
        <v>269.45</v>
      </c>
      <c r="J20" s="38">
        <v>317</v>
      </c>
      <c r="K20" s="40">
        <f t="shared" si="4"/>
        <v>3.08876546818669E-2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88</v>
      </c>
      <c r="P20" s="44" t="s">
        <v>99</v>
      </c>
      <c r="Q20" s="82"/>
      <c r="R20" s="45" t="s">
        <v>103</v>
      </c>
    </row>
    <row r="21" spans="1:18" s="46" customFormat="1" ht="24.95" customHeight="1" thickBot="1">
      <c r="A21" s="48">
        <v>10</v>
      </c>
      <c r="B21" s="49" t="s">
        <v>106</v>
      </c>
      <c r="C21" s="50">
        <v>258.39840000000004</v>
      </c>
      <c r="D21" s="51">
        <v>29.46</v>
      </c>
      <c r="E21" s="51">
        <v>30.6</v>
      </c>
      <c r="F21" s="51">
        <v>0</v>
      </c>
      <c r="G21" s="50">
        <v>248.46</v>
      </c>
      <c r="H21" s="52">
        <f t="shared" si="1"/>
        <v>1.0386965376782078</v>
      </c>
      <c r="I21" s="50">
        <v>283.24440000000016</v>
      </c>
      <c r="J21" s="51">
        <v>1.04</v>
      </c>
      <c r="K21" s="53">
        <f t="shared" si="4"/>
        <v>3.5302104548540394E-2</v>
      </c>
      <c r="L21" s="54">
        <f t="shared" si="2"/>
        <v>0.10000000000000053</v>
      </c>
      <c r="M21" s="55">
        <f t="shared" si="3"/>
        <v>3.3944331296673637E-3</v>
      </c>
      <c r="N21" s="56">
        <f t="shared" si="0"/>
        <v>24.846000000000132</v>
      </c>
      <c r="O21" s="57" t="s">
        <v>88</v>
      </c>
      <c r="P21" s="57" t="s">
        <v>89</v>
      </c>
      <c r="Q21" s="57"/>
      <c r="R21" s="58" t="s">
        <v>103</v>
      </c>
    </row>
    <row r="22" spans="1:18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20"/>
    </row>
    <row r="24" spans="1:18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8" t="s">
        <v>66</v>
      </c>
      <c r="Q24" s="100" t="s">
        <v>67</v>
      </c>
      <c r="R24" s="129" t="s">
        <v>68</v>
      </c>
    </row>
    <row r="25" spans="1:18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00"/>
      <c r="Q25" s="100"/>
      <c r="R25" s="130"/>
    </row>
    <row r="26" spans="1:18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00"/>
      <c r="Q26" s="100"/>
      <c r="R26" s="130"/>
    </row>
    <row r="27" spans="1:18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00"/>
      <c r="Q27" s="100"/>
      <c r="R27" s="131"/>
    </row>
    <row r="28" spans="1:18" s="67" customFormat="1" ht="24.95" customHeight="1">
      <c r="A28" s="35">
        <v>1</v>
      </c>
      <c r="B28" s="36" t="s">
        <v>101</v>
      </c>
      <c r="C28" s="37">
        <v>4133.937200000003</v>
      </c>
      <c r="D28" s="38">
        <v>458.95</v>
      </c>
      <c r="E28" s="38">
        <v>452.91</v>
      </c>
      <c r="F28" s="38">
        <v>34.08</v>
      </c>
      <c r="G28" s="37">
        <v>147.43</v>
      </c>
      <c r="H28" s="68">
        <f t="shared" ref="H28:H37" si="5">(E28+F28)/D28</f>
        <v>1.0610959799542434</v>
      </c>
      <c r="I28" s="37">
        <v>4133.937200000003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28.04000000000002</v>
      </c>
      <c r="N28" s="42">
        <f t="shared" ref="N28:N37" si="9">M28/D28</f>
        <v>6.1095979954243429E-2</v>
      </c>
      <c r="O28" s="44" t="s">
        <v>116</v>
      </c>
      <c r="P28" s="69" t="s">
        <v>48</v>
      </c>
      <c r="Q28" s="82" t="s">
        <v>102</v>
      </c>
      <c r="R28" s="45" t="s">
        <v>103</v>
      </c>
    </row>
    <row r="29" spans="1:18" s="67" customFormat="1" ht="24.95" customHeight="1">
      <c r="A29" s="47">
        <v>2</v>
      </c>
      <c r="B29" s="36" t="s">
        <v>169</v>
      </c>
      <c r="C29" s="37">
        <v>1417.0396000000005</v>
      </c>
      <c r="D29" s="38">
        <v>291.62</v>
      </c>
      <c r="E29" s="38">
        <v>292.62</v>
      </c>
      <c r="F29" s="38">
        <v>19.18</v>
      </c>
      <c r="G29" s="37">
        <v>70.22</v>
      </c>
      <c r="H29" s="68">
        <f t="shared" si="5"/>
        <v>1.069199643371511</v>
      </c>
      <c r="I29" s="37">
        <v>1417.0396000000005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20.180000000000007</v>
      </c>
      <c r="N29" s="42">
        <f t="shared" si="9"/>
        <v>6.9199643371510897E-2</v>
      </c>
      <c r="O29" s="44" t="s">
        <v>116</v>
      </c>
      <c r="P29" s="44" t="s">
        <v>120</v>
      </c>
      <c r="Q29" s="82" t="s">
        <v>121</v>
      </c>
      <c r="R29" s="45" t="s">
        <v>90</v>
      </c>
    </row>
    <row r="30" spans="1:18" s="67" customFormat="1" ht="24.95" customHeight="1">
      <c r="A30" s="47">
        <v>3</v>
      </c>
      <c r="B30" s="36" t="s">
        <v>117</v>
      </c>
      <c r="C30" s="37">
        <v>1237.4010000000023</v>
      </c>
      <c r="D30" s="38">
        <v>91.38</v>
      </c>
      <c r="E30" s="38">
        <v>94.28</v>
      </c>
      <c r="F30" s="38">
        <v>0</v>
      </c>
      <c r="G30" s="37">
        <v>426.69</v>
      </c>
      <c r="H30" s="68">
        <f t="shared" si="5"/>
        <v>1.0317356095425696</v>
      </c>
      <c r="I30" s="37">
        <v>1237.4010000000023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2.9000000000000057</v>
      </c>
      <c r="N30" s="42">
        <f t="shared" si="9"/>
        <v>3.1735609542569557E-2</v>
      </c>
      <c r="O30" s="44" t="s">
        <v>116</v>
      </c>
      <c r="P30" s="69" t="s">
        <v>118</v>
      </c>
      <c r="Q30" s="82"/>
      <c r="R30" s="45" t="s">
        <v>97</v>
      </c>
    </row>
    <row r="31" spans="1:18" s="67" customFormat="1" ht="24.95" customHeight="1">
      <c r="A31" s="35">
        <v>4</v>
      </c>
      <c r="B31" s="36" t="s">
        <v>170</v>
      </c>
      <c r="C31" s="37">
        <v>1098.5744000000029</v>
      </c>
      <c r="D31" s="38">
        <v>88.37</v>
      </c>
      <c r="E31" s="38">
        <v>88.29</v>
      </c>
      <c r="F31" s="38">
        <v>3.04</v>
      </c>
      <c r="G31" s="37">
        <v>371.14</v>
      </c>
      <c r="H31" s="68">
        <f t="shared" si="5"/>
        <v>1.0334955301572932</v>
      </c>
      <c r="I31" s="37">
        <v>1098.5744000000029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2.960000000000008</v>
      </c>
      <c r="N31" s="42">
        <f t="shared" si="9"/>
        <v>3.3495530157293285E-2</v>
      </c>
      <c r="O31" s="44" t="s">
        <v>116</v>
      </c>
      <c r="P31" s="69" t="s">
        <v>118</v>
      </c>
      <c r="Q31" s="82"/>
      <c r="R31" s="45" t="s">
        <v>103</v>
      </c>
    </row>
    <row r="32" spans="1:18" s="67" customFormat="1" ht="24.95" customHeight="1">
      <c r="A32" s="47">
        <v>5</v>
      </c>
      <c r="B32" s="36" t="s">
        <v>142</v>
      </c>
      <c r="C32" s="37">
        <v>1059.9040000000057</v>
      </c>
      <c r="D32" s="38">
        <v>64.61</v>
      </c>
      <c r="E32" s="38">
        <v>64.92</v>
      </c>
      <c r="F32" s="38">
        <v>1.29</v>
      </c>
      <c r="G32" s="37">
        <v>662.44</v>
      </c>
      <c r="H32" s="68">
        <f t="shared" si="5"/>
        <v>1.0247639684259404</v>
      </c>
      <c r="I32" s="37">
        <v>1059.9040000000057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1.6000000000000085</v>
      </c>
      <c r="N32" s="42">
        <f t="shared" si="9"/>
        <v>2.4763968425940388E-2</v>
      </c>
      <c r="O32" s="44" t="s">
        <v>116</v>
      </c>
      <c r="P32" s="69" t="s">
        <v>118</v>
      </c>
      <c r="Q32" s="82"/>
      <c r="R32" s="45" t="s">
        <v>103</v>
      </c>
    </row>
    <row r="33" spans="1:18" s="67" customFormat="1" ht="24.95" customHeight="1">
      <c r="A33" s="35">
        <v>6</v>
      </c>
      <c r="B33" s="36" t="s">
        <v>152</v>
      </c>
      <c r="C33" s="37">
        <v>1000.1099999999999</v>
      </c>
      <c r="D33" s="38">
        <v>22.87</v>
      </c>
      <c r="E33" s="38">
        <v>24.46</v>
      </c>
      <c r="F33" s="38">
        <v>0</v>
      </c>
      <c r="G33" s="37">
        <v>629</v>
      </c>
      <c r="H33" s="68">
        <f t="shared" si="5"/>
        <v>1.0695233930913861</v>
      </c>
      <c r="I33" s="37">
        <v>1000.1099999999999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1.5899999999999999</v>
      </c>
      <c r="N33" s="42">
        <f t="shared" si="9"/>
        <v>6.9523393091386082E-2</v>
      </c>
      <c r="O33" s="44" t="s">
        <v>116</v>
      </c>
      <c r="P33" s="69" t="s">
        <v>118</v>
      </c>
      <c r="Q33" s="82"/>
      <c r="R33" s="45" t="s">
        <v>105</v>
      </c>
    </row>
    <row r="34" spans="1:18" s="67" customFormat="1" ht="24.95" customHeight="1">
      <c r="A34" s="47">
        <v>7</v>
      </c>
      <c r="B34" s="36" t="s">
        <v>160</v>
      </c>
      <c r="C34" s="37">
        <v>983.03199999999561</v>
      </c>
      <c r="D34" s="38">
        <v>259.22000000000003</v>
      </c>
      <c r="E34" s="38">
        <v>258.32</v>
      </c>
      <c r="F34" s="38">
        <v>11.2</v>
      </c>
      <c r="G34" s="37">
        <v>95.44</v>
      </c>
      <c r="H34" s="68">
        <f t="shared" si="5"/>
        <v>1.039734588380526</v>
      </c>
      <c r="I34" s="37">
        <v>983.03199999999561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10.299999999999955</v>
      </c>
      <c r="N34" s="42">
        <f t="shared" si="9"/>
        <v>3.9734588380526015E-2</v>
      </c>
      <c r="O34" s="44" t="s">
        <v>116</v>
      </c>
      <c r="P34" s="69" t="s">
        <v>118</v>
      </c>
      <c r="Q34" s="82"/>
      <c r="R34" s="45" t="s">
        <v>103</v>
      </c>
    </row>
    <row r="35" spans="1:18" s="67" customFormat="1" ht="24.95" customHeight="1">
      <c r="A35" s="35">
        <v>8</v>
      </c>
      <c r="B35" s="36" t="s">
        <v>151</v>
      </c>
      <c r="C35" s="37">
        <v>880.77919999999892</v>
      </c>
      <c r="D35" s="38">
        <v>26.9</v>
      </c>
      <c r="E35" s="38">
        <v>26.83</v>
      </c>
      <c r="F35" s="38">
        <v>1.4</v>
      </c>
      <c r="G35" s="37">
        <v>662.24</v>
      </c>
      <c r="H35" s="68">
        <f t="shared" si="5"/>
        <v>1.0494423791821561</v>
      </c>
      <c r="I35" s="37">
        <v>880.77919999999892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1.3299999999999983</v>
      </c>
      <c r="N35" s="42">
        <f t="shared" si="9"/>
        <v>4.944237918215607E-2</v>
      </c>
      <c r="O35" s="44" t="s">
        <v>116</v>
      </c>
      <c r="P35" s="69" t="s">
        <v>118</v>
      </c>
      <c r="Q35" s="82"/>
      <c r="R35" s="45" t="s">
        <v>100</v>
      </c>
    </row>
    <row r="36" spans="1:18" s="67" customFormat="1" ht="24.95" customHeight="1">
      <c r="A36" s="47">
        <v>9</v>
      </c>
      <c r="B36" s="36" t="s">
        <v>119</v>
      </c>
      <c r="C36" s="37">
        <v>868.68899999999849</v>
      </c>
      <c r="D36" s="38">
        <v>477.11</v>
      </c>
      <c r="E36" s="38">
        <v>467.71</v>
      </c>
      <c r="F36" s="38">
        <v>35.700000000000003</v>
      </c>
      <c r="G36" s="37">
        <v>33.03</v>
      </c>
      <c r="H36" s="68">
        <f t="shared" si="5"/>
        <v>1.0551235564125672</v>
      </c>
      <c r="I36" s="37">
        <v>868.68899999999849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26.299999999999955</v>
      </c>
      <c r="N36" s="42">
        <f t="shared" si="9"/>
        <v>5.5123556412567234E-2</v>
      </c>
      <c r="O36" s="44" t="s">
        <v>131</v>
      </c>
      <c r="P36" s="44" t="s">
        <v>120</v>
      </c>
      <c r="Q36" s="82" t="s">
        <v>121</v>
      </c>
      <c r="R36" s="45" t="s">
        <v>122</v>
      </c>
    </row>
    <row r="37" spans="1:18" s="67" customFormat="1" ht="24.95" customHeight="1" thickBot="1">
      <c r="A37" s="48">
        <v>10</v>
      </c>
      <c r="B37" s="49" t="s">
        <v>140</v>
      </c>
      <c r="C37" s="50">
        <v>864</v>
      </c>
      <c r="D37" s="51">
        <v>91.64</v>
      </c>
      <c r="E37" s="51">
        <v>97</v>
      </c>
      <c r="F37" s="51">
        <v>0</v>
      </c>
      <c r="G37" s="50">
        <v>200</v>
      </c>
      <c r="H37" s="70">
        <f t="shared" si="5"/>
        <v>1.0584897424705368</v>
      </c>
      <c r="I37" s="50">
        <v>1072</v>
      </c>
      <c r="J37" s="51">
        <v>1.04</v>
      </c>
      <c r="K37" s="53">
        <f t="shared" si="6"/>
        <v>1.1348756001745963E-2</v>
      </c>
      <c r="L37" s="56">
        <f t="shared" si="7"/>
        <v>208</v>
      </c>
      <c r="M37" s="54">
        <f t="shared" si="8"/>
        <v>4.3199999999999994</v>
      </c>
      <c r="N37" s="55">
        <f t="shared" si="9"/>
        <v>4.7140986468790912E-2</v>
      </c>
      <c r="O37" s="57" t="s">
        <v>131</v>
      </c>
      <c r="P37" s="83" t="s">
        <v>118</v>
      </c>
      <c r="Q37" s="84"/>
      <c r="R37" s="58" t="s">
        <v>103</v>
      </c>
    </row>
    <row r="38" spans="1:18" ht="15.75" customHeight="1" thickBot="1"/>
    <row r="39" spans="1:18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8" ht="26.1" customHeight="1">
      <c r="A40" s="96" t="s">
        <v>63</v>
      </c>
      <c r="B40" s="97"/>
      <c r="C40" s="97"/>
      <c r="D40" s="98"/>
      <c r="E40" s="71"/>
      <c r="G40" s="74"/>
    </row>
    <row r="41" spans="1:18" ht="25.5" customHeight="1">
      <c r="A41" s="99" t="s">
        <v>69</v>
      </c>
      <c r="B41" s="100" t="s">
        <v>70</v>
      </c>
      <c r="C41" s="100"/>
      <c r="D41" s="101"/>
      <c r="E41" s="71"/>
    </row>
    <row r="42" spans="1:18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8" ht="20.45" customHeight="1">
      <c r="A43" s="99"/>
      <c r="B43" s="102"/>
      <c r="C43" s="103"/>
      <c r="D43" s="104"/>
      <c r="E43" s="71"/>
    </row>
    <row r="44" spans="1:18" s="78" customFormat="1" ht="24.95" customHeight="1">
      <c r="A44" s="75">
        <v>1</v>
      </c>
      <c r="B44" s="36" t="s">
        <v>168</v>
      </c>
      <c r="C44" s="37">
        <v>269.45</v>
      </c>
      <c r="D44" s="76">
        <f t="shared" ref="D44:D53" si="10">C44/$L$5</f>
        <v>0.1458554953933589</v>
      </c>
      <c r="E44" s="77"/>
    </row>
    <row r="45" spans="1:18" s="78" customFormat="1" ht="24.95" customHeight="1">
      <c r="A45" s="79">
        <v>2</v>
      </c>
      <c r="B45" s="36" t="s">
        <v>106</v>
      </c>
      <c r="C45" s="37">
        <v>258.39840000000004</v>
      </c>
      <c r="D45" s="76">
        <f t="shared" si="10"/>
        <v>0.1398731736531873</v>
      </c>
      <c r="E45" s="77"/>
    </row>
    <row r="46" spans="1:18" s="78" customFormat="1" ht="24.95" customHeight="1">
      <c r="A46" s="79">
        <v>3</v>
      </c>
      <c r="B46" s="36" t="s">
        <v>140</v>
      </c>
      <c r="C46" s="37">
        <v>208</v>
      </c>
      <c r="D46" s="76">
        <f t="shared" si="10"/>
        <v>0.11259210629734145</v>
      </c>
      <c r="E46" s="77"/>
    </row>
    <row r="47" spans="1:18" s="78" customFormat="1" ht="24.95" customHeight="1">
      <c r="A47" s="75">
        <v>4</v>
      </c>
      <c r="B47" s="36" t="s">
        <v>137</v>
      </c>
      <c r="C47" s="37">
        <v>200.9</v>
      </c>
      <c r="D47" s="76">
        <f t="shared" si="10"/>
        <v>0.10874881805353798</v>
      </c>
      <c r="E47" s="77"/>
    </row>
    <row r="48" spans="1:18" s="78" customFormat="1" ht="24.95" customHeight="1">
      <c r="A48" s="79">
        <v>5</v>
      </c>
      <c r="B48" s="36" t="s">
        <v>138</v>
      </c>
      <c r="C48" s="37">
        <v>196.56</v>
      </c>
      <c r="D48" s="76">
        <f t="shared" si="10"/>
        <v>0.10639954045098768</v>
      </c>
      <c r="E48" s="77"/>
    </row>
    <row r="49" spans="1:5" s="78" customFormat="1" ht="24.95" customHeight="1">
      <c r="A49" s="75">
        <v>6</v>
      </c>
      <c r="B49" s="36" t="s">
        <v>159</v>
      </c>
      <c r="C49" s="37">
        <v>162.21</v>
      </c>
      <c r="D49" s="76">
        <f t="shared" si="10"/>
        <v>8.7805603665825765E-2</v>
      </c>
      <c r="E49" s="77"/>
    </row>
    <row r="50" spans="1:5" s="78" customFormat="1" ht="24.95" customHeight="1">
      <c r="A50" s="79">
        <v>7</v>
      </c>
      <c r="B50" s="36" t="s">
        <v>139</v>
      </c>
      <c r="C50" s="37">
        <v>159.80000000000001</v>
      </c>
      <c r="D50" s="76">
        <f t="shared" si="10"/>
        <v>8.6501050895745987E-2</v>
      </c>
      <c r="E50" s="77"/>
    </row>
    <row r="51" spans="1:5" s="78" customFormat="1" ht="24.95" customHeight="1">
      <c r="A51" s="75">
        <v>8</v>
      </c>
      <c r="B51" s="36" t="s">
        <v>134</v>
      </c>
      <c r="C51" s="37">
        <v>112.0877</v>
      </c>
      <c r="D51" s="76">
        <f t="shared" si="10"/>
        <v>6.0673991504925577E-2</v>
      </c>
      <c r="E51" s="77"/>
    </row>
    <row r="52" spans="1:5" s="78" customFormat="1" ht="24.95" customHeight="1">
      <c r="A52" s="79">
        <v>9</v>
      </c>
      <c r="B52" s="36" t="s">
        <v>143</v>
      </c>
      <c r="C52" s="37">
        <v>101.655</v>
      </c>
      <c r="D52" s="76">
        <f t="shared" si="10"/>
        <v>5.5026685411808877E-2</v>
      </c>
      <c r="E52" s="77"/>
    </row>
    <row r="53" spans="1:5" s="78" customFormat="1" ht="24.95" customHeight="1" thickBot="1">
      <c r="A53" s="80">
        <v>10</v>
      </c>
      <c r="B53" s="49" t="s">
        <v>158</v>
      </c>
      <c r="C53" s="50">
        <v>76.193999999999988</v>
      </c>
      <c r="D53" s="81">
        <f t="shared" si="10"/>
        <v>4.1244437246248239E-2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985" priority="27" operator="containsText" text="綠豆芽">
      <formula>NOT(ISERROR(SEARCH("綠豆芽",A12)))</formula>
    </cfRule>
    <cfRule type="containsText" dxfId="984" priority="28" operator="containsText" text="煮白細麵生(方#12)">
      <formula>NOT(ISERROR(SEARCH("煮白細麵生(方#12)",A12)))</formula>
    </cfRule>
    <cfRule type="containsText" dxfId="983" priority="29" operator="containsText" text="024">
      <formula>NOT(ISERROR(SEARCH("024",A12)))</formula>
    </cfRule>
    <cfRule type="containsText" dxfId="982" priority="30" operator="containsText" text="白醬">
      <formula>NOT(ISERROR(SEARCH("白醬",A12)))</formula>
    </cfRule>
    <cfRule type="containsText" dxfId="981" priority="31" operator="containsText" text="青蔥">
      <formula>NOT(ISERROR(SEARCH("青蔥",A12)))</formula>
    </cfRule>
    <cfRule type="containsText" dxfId="980" priority="32" operator="containsText" text=")川燙小青花菜">
      <formula>NOT(ISERROR(SEARCH(")川燙小青花菜",A12)))</formula>
    </cfRule>
    <cfRule type="containsText" dxfId="979" priority="33" operator="containsText" text="湯凍">
      <formula>NOT(ISERROR(SEARCH("湯凍",A12)))</formula>
    </cfRule>
    <cfRule type="containsText" dxfId="978" priority="34" operator="containsText" text="中華">
      <formula>NOT(ISERROR(SEARCH("中華",A12)))</formula>
    </cfRule>
  </conditionalFormatting>
  <conditionalFormatting sqref="A28:A37">
    <cfRule type="containsText" dxfId="977" priority="5" operator="containsText" text="綠豆芽">
      <formula>NOT(ISERROR(SEARCH("綠豆芽",A28)))</formula>
    </cfRule>
    <cfRule type="containsText" dxfId="976" priority="6" operator="containsText" text="煮白細麵生(方#12)">
      <formula>NOT(ISERROR(SEARCH("煮白細麵生(方#12)",A28)))</formula>
    </cfRule>
    <cfRule type="containsText" dxfId="975" priority="7" operator="containsText" text="024">
      <formula>NOT(ISERROR(SEARCH("024",A28)))</formula>
    </cfRule>
    <cfRule type="containsText" dxfId="974" priority="8" operator="containsText" text="白醬">
      <formula>NOT(ISERROR(SEARCH("白醬",A28)))</formula>
    </cfRule>
    <cfRule type="containsText" dxfId="973" priority="9" operator="containsText" text="青蔥">
      <formula>NOT(ISERROR(SEARCH("青蔥",A28)))</formula>
    </cfRule>
    <cfRule type="containsText" dxfId="972" priority="10" operator="containsText" text=")川燙小青花菜">
      <formula>NOT(ISERROR(SEARCH(")川燙小青花菜",A28)))</formula>
    </cfRule>
    <cfRule type="containsText" dxfId="971" priority="11" operator="containsText" text="湯凍">
      <formula>NOT(ISERROR(SEARCH("湯凍",A28)))</formula>
    </cfRule>
    <cfRule type="containsText" dxfId="970" priority="12" operator="containsText" text="中華">
      <formula>NOT(ISERROR(SEARCH("中華",A28)))</formula>
    </cfRule>
  </conditionalFormatting>
  <conditionalFormatting sqref="A44:A53">
    <cfRule type="containsText" dxfId="969" priority="17" operator="containsText" text="綠豆芽">
      <formula>NOT(ISERROR(SEARCH("綠豆芽",A44)))</formula>
    </cfRule>
    <cfRule type="containsText" dxfId="968" priority="18" operator="containsText" text="煮白細麵生(方#12)">
      <formula>NOT(ISERROR(SEARCH("煮白細麵生(方#12)",A44)))</formula>
    </cfRule>
    <cfRule type="containsText" dxfId="967" priority="19" operator="containsText" text="024">
      <formula>NOT(ISERROR(SEARCH("024",A44)))</formula>
    </cfRule>
    <cfRule type="containsText" dxfId="966" priority="20" operator="containsText" text="白醬">
      <formula>NOT(ISERROR(SEARCH("白醬",A44)))</formula>
    </cfRule>
    <cfRule type="containsText" dxfId="965" priority="21" operator="containsText" text="青蔥">
      <formula>NOT(ISERROR(SEARCH("青蔥",A44)))</formula>
    </cfRule>
    <cfRule type="containsText" dxfId="964" priority="22" operator="containsText" text=")川燙小青花菜">
      <formula>NOT(ISERROR(SEARCH(")川燙小青花菜",A44)))</formula>
    </cfRule>
    <cfRule type="containsText" dxfId="963" priority="23" operator="containsText" text="湯凍">
      <formula>NOT(ISERROR(SEARCH("湯凍",A44)))</formula>
    </cfRule>
    <cfRule type="containsText" dxfId="962" priority="24" operator="containsText" text="中華">
      <formula>NOT(ISERROR(SEARCH("中華",A44)))</formula>
    </cfRule>
  </conditionalFormatting>
  <conditionalFormatting sqref="D44:D53">
    <cfRule type="cellIs" dxfId="961" priority="16" operator="greaterThan">
      <formula>0.146</formula>
    </cfRule>
  </conditionalFormatting>
  <conditionalFormatting sqref="E5">
    <cfRule type="cellIs" dxfId="960" priority="14" operator="greaterThan">
      <formula>0.0025</formula>
    </cfRule>
    <cfRule type="cellIs" dxfId="959" priority="25" operator="greaterThan">
      <formula>0.072</formula>
    </cfRule>
    <cfRule type="cellIs" dxfId="958" priority="26" operator="greaterThan">
      <formula>7.2</formula>
    </cfRule>
  </conditionalFormatting>
  <conditionalFormatting sqref="G5">
    <cfRule type="cellIs" dxfId="957" priority="1" operator="greaterThan">
      <formula>0.0025</formula>
    </cfRule>
    <cfRule type="cellIs" dxfId="956" priority="2" operator="greaterThan">
      <formula>0.072</formula>
    </cfRule>
    <cfRule type="cellIs" dxfId="955" priority="3" operator="greaterThan">
      <formula>7.2</formula>
    </cfRule>
  </conditionalFormatting>
  <conditionalFormatting sqref="H12:H22">
    <cfRule type="cellIs" dxfId="954" priority="15" operator="greaterThan">
      <formula>1.1</formula>
    </cfRule>
  </conditionalFormatting>
  <conditionalFormatting sqref="H28:H37">
    <cfRule type="cellIs" dxfId="953" priority="4" operator="greaterThan">
      <formula>1.1</formula>
    </cfRule>
  </conditionalFormatting>
  <conditionalFormatting sqref="I5">
    <cfRule type="cellIs" dxfId="95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80C1-841C-4E80-A274-E1997118A3DD}">
  <sheetPr>
    <tabColor rgb="FFFF0000"/>
    <pageSetUpPr fitToPage="1"/>
  </sheetPr>
  <dimension ref="A1:R56"/>
  <sheetViews>
    <sheetView zoomScale="70" zoomScaleNormal="70" workbookViewId="0">
      <selection activeCell="L5" sqref="L5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24" style="18" bestFit="1" customWidth="1"/>
    <col min="17" max="17" width="55.25" style="18" bestFit="1" customWidth="1"/>
    <col min="18" max="18" width="41.75" style="18" customWidth="1"/>
    <col min="19" max="16384" width="9" style="18"/>
  </cols>
  <sheetData>
    <row r="1" spans="1:18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8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8" s="20" customFormat="1" ht="28.5">
      <c r="A3" s="149">
        <v>45897</v>
      </c>
      <c r="B3" s="150"/>
      <c r="C3" s="151">
        <v>6765305.7300000004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8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8" ht="46.5" customHeight="1" thickBot="1">
      <c r="A5" s="146" t="s">
        <v>61</v>
      </c>
      <c r="B5" s="147"/>
      <c r="C5" s="147"/>
      <c r="D5" s="24">
        <v>16316.670999999995</v>
      </c>
      <c r="E5" s="25">
        <f>D5/C3</f>
        <v>2.4118157628332331E-3</v>
      </c>
      <c r="F5" s="24">
        <v>52026.534399999982</v>
      </c>
      <c r="G5" s="26">
        <f>F5/C3</f>
        <v>7.6901970844117313E-3</v>
      </c>
      <c r="H5" s="27">
        <f>SUM(C12:C21)</f>
        <v>4258.0321999999996</v>
      </c>
      <c r="I5" s="28">
        <f>H5/D5</f>
        <v>0.26096206756880747</v>
      </c>
      <c r="J5" s="27">
        <f>SUM(C28:C37)</f>
        <v>15396.413699999986</v>
      </c>
      <c r="K5" s="29">
        <f>J5/F5</f>
        <v>0.29593387062121884</v>
      </c>
      <c r="L5" s="30">
        <v>2340.9159999999997</v>
      </c>
      <c r="M5" s="31">
        <f>L5/D5</f>
        <v>0.14346774535075202</v>
      </c>
    </row>
    <row r="6" spans="1:18" ht="46.5" customHeight="1" thickBot="1"/>
    <row r="7" spans="1:18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148"/>
      <c r="R7" s="95"/>
    </row>
    <row r="8" spans="1:18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28" t="s">
        <v>66</v>
      </c>
      <c r="Q8" s="100" t="s">
        <v>67</v>
      </c>
      <c r="R8" s="104" t="s">
        <v>68</v>
      </c>
    </row>
    <row r="9" spans="1:18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0"/>
      <c r="R9" s="104"/>
    </row>
    <row r="10" spans="1:18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0"/>
      <c r="R10" s="104"/>
    </row>
    <row r="11" spans="1:18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0"/>
      <c r="R11" s="104"/>
    </row>
    <row r="12" spans="1:18" s="46" customFormat="1" ht="24.95" customHeight="1">
      <c r="A12" s="35">
        <v>1</v>
      </c>
      <c r="B12" s="36" t="s">
        <v>171</v>
      </c>
      <c r="C12" s="37">
        <v>689.16399999999999</v>
      </c>
      <c r="D12" s="38">
        <v>125.85</v>
      </c>
      <c r="E12" s="38">
        <v>131.88999999999999</v>
      </c>
      <c r="F12" s="38">
        <v>0</v>
      </c>
      <c r="G12" s="37">
        <v>114.1</v>
      </c>
      <c r="H12" s="39">
        <f>(E12+F12)/D12</f>
        <v>1.0479936432260628</v>
      </c>
      <c r="I12" s="37">
        <v>689.16399999999908</v>
      </c>
      <c r="J12" s="38">
        <v>6.04</v>
      </c>
      <c r="K12" s="40">
        <f>J12/D12</f>
        <v>4.7993643226062775E-2</v>
      </c>
      <c r="L12" s="41">
        <f>((E12+F12)-D12)-J12</f>
        <v>-7.9936057773011271E-15</v>
      </c>
      <c r="M12" s="42">
        <f>L12/D12</f>
        <v>-6.3516931087017299E-17</v>
      </c>
      <c r="N12" s="43">
        <f t="shared" ref="N12:N21" si="0">L12*G12</f>
        <v>-9.1207041919005848E-13</v>
      </c>
      <c r="O12" s="44" t="s">
        <v>88</v>
      </c>
      <c r="P12" s="69" t="s">
        <v>89</v>
      </c>
      <c r="Q12" s="82"/>
      <c r="R12" s="45" t="s">
        <v>172</v>
      </c>
    </row>
    <row r="13" spans="1:18" s="46" customFormat="1" ht="24.95" customHeight="1">
      <c r="A13" s="47">
        <v>2</v>
      </c>
      <c r="B13" s="36" t="s">
        <v>91</v>
      </c>
      <c r="C13" s="37">
        <v>494.4</v>
      </c>
      <c r="D13" s="38">
        <v>3978</v>
      </c>
      <c r="E13" s="38">
        <v>4010</v>
      </c>
      <c r="F13" s="38">
        <v>0</v>
      </c>
      <c r="G13" s="37">
        <v>15.45</v>
      </c>
      <c r="H13" s="39">
        <f t="shared" ref="H13:H21" si="1">(E13+F13)/D13</f>
        <v>1.008044243338361</v>
      </c>
      <c r="I13" s="37">
        <v>494.4</v>
      </c>
      <c r="J13" s="38">
        <v>32</v>
      </c>
      <c r="K13" s="40">
        <f>J13/D13</f>
        <v>8.0442433383609846E-3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92</v>
      </c>
      <c r="Q13" s="44" t="s">
        <v>93</v>
      </c>
      <c r="R13" s="45" t="s">
        <v>94</v>
      </c>
    </row>
    <row r="14" spans="1:18" s="46" customFormat="1" ht="24.95" customHeight="1">
      <c r="A14" s="47">
        <v>3</v>
      </c>
      <c r="B14" s="36" t="s">
        <v>150</v>
      </c>
      <c r="C14" s="37">
        <v>449.09389999999996</v>
      </c>
      <c r="D14" s="38">
        <v>105.38</v>
      </c>
      <c r="E14" s="38">
        <v>119.78</v>
      </c>
      <c r="F14" s="38">
        <v>0</v>
      </c>
      <c r="G14" s="37">
        <v>141.66999999999999</v>
      </c>
      <c r="H14" s="39">
        <f>(E14+F14)/D14</f>
        <v>1.1366483203643956</v>
      </c>
      <c r="I14" s="37">
        <v>2040.0480000000007</v>
      </c>
      <c r="J14" s="38">
        <v>3.17</v>
      </c>
      <c r="K14" s="40">
        <f t="shared" ref="K14:K21" si="4">J14/D14</f>
        <v>3.008160941355096E-2</v>
      </c>
      <c r="L14" s="41">
        <f t="shared" si="2"/>
        <v>11.230000000000006</v>
      </c>
      <c r="M14" s="42">
        <f t="shared" si="3"/>
        <v>0.10656671095084462</v>
      </c>
      <c r="N14" s="43">
        <f t="shared" si="0"/>
        <v>1590.9541000000006</v>
      </c>
      <c r="O14" s="44" t="s">
        <v>88</v>
      </c>
      <c r="P14" s="69" t="s">
        <v>96</v>
      </c>
      <c r="Q14" s="82"/>
      <c r="R14" s="45" t="s">
        <v>133</v>
      </c>
    </row>
    <row r="15" spans="1:18" s="46" customFormat="1" ht="24.95" customHeight="1">
      <c r="A15" s="35">
        <v>4</v>
      </c>
      <c r="B15" s="36" t="s">
        <v>98</v>
      </c>
      <c r="C15" s="37">
        <v>447.63</v>
      </c>
      <c r="D15" s="38">
        <v>4383</v>
      </c>
      <c r="E15" s="38">
        <v>4426</v>
      </c>
      <c r="F15" s="38">
        <v>0</v>
      </c>
      <c r="G15" s="37">
        <v>10.41</v>
      </c>
      <c r="H15" s="39">
        <f>(E15+F15)/D15</f>
        <v>1.0098106319872233</v>
      </c>
      <c r="I15" s="37">
        <v>447.63</v>
      </c>
      <c r="J15" s="38">
        <v>43</v>
      </c>
      <c r="K15" s="40">
        <f t="shared" si="4"/>
        <v>9.8106319872233623E-3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88</v>
      </c>
      <c r="P15" s="44" t="s">
        <v>99</v>
      </c>
      <c r="Q15" s="82"/>
      <c r="R15" s="45" t="s">
        <v>100</v>
      </c>
    </row>
    <row r="16" spans="1:18" s="46" customFormat="1" ht="24.95" customHeight="1">
      <c r="A16" s="47">
        <v>5</v>
      </c>
      <c r="B16" s="36" t="s">
        <v>173</v>
      </c>
      <c r="C16" s="37">
        <v>420.75</v>
      </c>
      <c r="D16" s="38">
        <v>2280</v>
      </c>
      <c r="E16" s="38">
        <v>2355</v>
      </c>
      <c r="F16" s="38">
        <v>0</v>
      </c>
      <c r="G16" s="37">
        <v>5.61</v>
      </c>
      <c r="H16" s="39">
        <f t="shared" si="1"/>
        <v>1.0328947368421053</v>
      </c>
      <c r="I16" s="37">
        <v>420.75</v>
      </c>
      <c r="J16" s="38">
        <v>75</v>
      </c>
      <c r="K16" s="40">
        <f t="shared" si="4"/>
        <v>3.2894736842105261E-2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88</v>
      </c>
      <c r="P16" s="44" t="s">
        <v>99</v>
      </c>
      <c r="Q16" s="82"/>
      <c r="R16" s="45" t="s">
        <v>174</v>
      </c>
    </row>
    <row r="17" spans="1:18" s="46" customFormat="1" ht="24.95" customHeight="1">
      <c r="A17" s="35">
        <v>6</v>
      </c>
      <c r="B17" s="36" t="s">
        <v>168</v>
      </c>
      <c r="C17" s="37">
        <v>417.34999999999997</v>
      </c>
      <c r="D17" s="38">
        <v>10779</v>
      </c>
      <c r="E17" s="38">
        <v>11270</v>
      </c>
      <c r="F17" s="38">
        <v>0</v>
      </c>
      <c r="G17" s="37">
        <v>0.85</v>
      </c>
      <c r="H17" s="39">
        <f t="shared" si="1"/>
        <v>1.0455515353928937</v>
      </c>
      <c r="I17" s="37">
        <v>417.34999999999997</v>
      </c>
      <c r="J17" s="38">
        <v>491</v>
      </c>
      <c r="K17" s="40">
        <f t="shared" si="4"/>
        <v>4.555153539289359E-2</v>
      </c>
      <c r="L17" s="41">
        <f t="shared" si="2"/>
        <v>0</v>
      </c>
      <c r="M17" s="42">
        <f t="shared" si="3"/>
        <v>0</v>
      </c>
      <c r="N17" s="43">
        <f t="shared" si="0"/>
        <v>0</v>
      </c>
      <c r="O17" s="44" t="s">
        <v>88</v>
      </c>
      <c r="P17" s="44" t="s">
        <v>99</v>
      </c>
      <c r="Q17" s="44"/>
      <c r="R17" s="45" t="s">
        <v>103</v>
      </c>
    </row>
    <row r="18" spans="1:18" s="46" customFormat="1" ht="24.95" customHeight="1">
      <c r="A18" s="47">
        <v>7</v>
      </c>
      <c r="B18" s="36" t="s">
        <v>107</v>
      </c>
      <c r="C18" s="37">
        <v>381.37829999999997</v>
      </c>
      <c r="D18" s="38">
        <v>14.57</v>
      </c>
      <c r="E18" s="38">
        <v>17.61</v>
      </c>
      <c r="F18" s="38">
        <v>0</v>
      </c>
      <c r="G18" s="37">
        <v>140.72999999999999</v>
      </c>
      <c r="H18" s="39">
        <f t="shared" si="1"/>
        <v>1.2086479066575153</v>
      </c>
      <c r="I18" s="37">
        <v>427.81919999999985</v>
      </c>
      <c r="J18" s="38">
        <v>2.71</v>
      </c>
      <c r="K18" s="40">
        <f t="shared" si="4"/>
        <v>0.18599862731640357</v>
      </c>
      <c r="L18" s="41">
        <f>((E18+F18)-D18)-J18</f>
        <v>0.32999999999999918</v>
      </c>
      <c r="M18" s="42">
        <f t="shared" si="3"/>
        <v>2.2649279341111817E-2</v>
      </c>
      <c r="N18" s="43">
        <f t="shared" si="0"/>
        <v>46.440899999999878</v>
      </c>
      <c r="O18" s="44" t="s">
        <v>88</v>
      </c>
      <c r="P18" s="69" t="s">
        <v>175</v>
      </c>
      <c r="Q18" s="82"/>
      <c r="R18" s="45" t="s">
        <v>108</v>
      </c>
    </row>
    <row r="19" spans="1:18" s="46" customFormat="1" ht="24.95" customHeight="1">
      <c r="A19" s="35">
        <v>8</v>
      </c>
      <c r="B19" s="36" t="s">
        <v>176</v>
      </c>
      <c r="C19" s="37">
        <v>357.45179999999999</v>
      </c>
      <c r="D19" s="38">
        <v>1736</v>
      </c>
      <c r="E19" s="38">
        <v>1899.22</v>
      </c>
      <c r="F19" s="38">
        <v>0</v>
      </c>
      <c r="G19" s="37">
        <v>2.19</v>
      </c>
      <c r="H19" s="39">
        <f t="shared" si="1"/>
        <v>1.0940207373271889</v>
      </c>
      <c r="I19" s="37">
        <v>357.45180000000005</v>
      </c>
      <c r="J19" s="38">
        <v>163.22</v>
      </c>
      <c r="K19" s="40">
        <f t="shared" si="4"/>
        <v>9.4020737327188936E-2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88</v>
      </c>
      <c r="P19" s="44" t="s">
        <v>99</v>
      </c>
      <c r="Q19" s="44"/>
      <c r="R19" s="45" t="s">
        <v>147</v>
      </c>
    </row>
    <row r="20" spans="1:18" s="46" customFormat="1" ht="24.95" customHeight="1">
      <c r="A20" s="47">
        <v>9</v>
      </c>
      <c r="B20" s="36" t="s">
        <v>177</v>
      </c>
      <c r="C20" s="37">
        <v>304.779</v>
      </c>
      <c r="D20" s="38">
        <v>1736</v>
      </c>
      <c r="E20" s="38">
        <v>1908.45</v>
      </c>
      <c r="F20" s="38">
        <v>0</v>
      </c>
      <c r="G20" s="37">
        <v>1.9</v>
      </c>
      <c r="H20" s="39">
        <f t="shared" si="1"/>
        <v>1.0993375576036866</v>
      </c>
      <c r="I20" s="37">
        <v>327.65500000000009</v>
      </c>
      <c r="J20" s="38">
        <v>160.41</v>
      </c>
      <c r="K20" s="40">
        <f t="shared" si="4"/>
        <v>9.2402073732718887E-2</v>
      </c>
      <c r="L20" s="41">
        <f t="shared" si="2"/>
        <v>12.040000000000049</v>
      </c>
      <c r="M20" s="42">
        <f t="shared" si="3"/>
        <v>6.9354838709677702E-3</v>
      </c>
      <c r="N20" s="43">
        <f t="shared" si="0"/>
        <v>22.87600000000009</v>
      </c>
      <c r="O20" s="44" t="s">
        <v>88</v>
      </c>
      <c r="P20" s="44" t="s">
        <v>99</v>
      </c>
      <c r="Q20" s="82"/>
      <c r="R20" s="45" t="s">
        <v>147</v>
      </c>
    </row>
    <row r="21" spans="1:18" s="46" customFormat="1" ht="24.95" customHeight="1" thickBot="1">
      <c r="A21" s="48">
        <v>10</v>
      </c>
      <c r="B21" s="49" t="s">
        <v>178</v>
      </c>
      <c r="C21" s="50">
        <v>296.03519999999997</v>
      </c>
      <c r="D21" s="51">
        <v>25.45</v>
      </c>
      <c r="E21" s="51">
        <v>29.47</v>
      </c>
      <c r="F21" s="51">
        <v>0</v>
      </c>
      <c r="G21" s="50">
        <v>97.38</v>
      </c>
      <c r="H21" s="52">
        <f t="shared" si="1"/>
        <v>1.1579567779960707</v>
      </c>
      <c r="I21" s="50">
        <v>391.46759999999995</v>
      </c>
      <c r="J21" s="51">
        <v>3.04</v>
      </c>
      <c r="K21" s="53">
        <f t="shared" si="4"/>
        <v>0.1194499017681729</v>
      </c>
      <c r="L21" s="54">
        <f t="shared" si="2"/>
        <v>0.97999999999999954</v>
      </c>
      <c r="M21" s="55">
        <f t="shared" si="3"/>
        <v>3.8506876227897821E-2</v>
      </c>
      <c r="N21" s="56">
        <f t="shared" si="0"/>
        <v>95.432399999999944</v>
      </c>
      <c r="O21" s="57" t="s">
        <v>88</v>
      </c>
      <c r="P21" s="57" t="s">
        <v>96</v>
      </c>
      <c r="Q21" s="57"/>
      <c r="R21" s="58" t="s">
        <v>122</v>
      </c>
    </row>
    <row r="22" spans="1:18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20"/>
    </row>
    <row r="24" spans="1:18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8" t="s">
        <v>66</v>
      </c>
      <c r="Q24" s="100" t="s">
        <v>67</v>
      </c>
      <c r="R24" s="129" t="s">
        <v>68</v>
      </c>
    </row>
    <row r="25" spans="1:18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00"/>
      <c r="Q25" s="100"/>
      <c r="R25" s="130"/>
    </row>
    <row r="26" spans="1:18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00"/>
      <c r="Q26" s="100"/>
      <c r="R26" s="130"/>
    </row>
    <row r="27" spans="1:18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00"/>
      <c r="Q27" s="100"/>
      <c r="R27" s="131"/>
    </row>
    <row r="28" spans="1:18" s="67" customFormat="1" ht="24.95" customHeight="1">
      <c r="A28" s="35">
        <v>1</v>
      </c>
      <c r="B28" s="36" t="s">
        <v>101</v>
      </c>
      <c r="C28" s="37">
        <v>2836.5531999999848</v>
      </c>
      <c r="D28" s="38">
        <v>628.19000000000005</v>
      </c>
      <c r="E28" s="38">
        <v>621.27</v>
      </c>
      <c r="F28" s="38">
        <v>26.16</v>
      </c>
      <c r="G28" s="37">
        <v>147.43</v>
      </c>
      <c r="H28" s="68">
        <f t="shared" ref="H28:H37" si="5">(E28+F28)/D28</f>
        <v>1.0306276763399607</v>
      </c>
      <c r="I28" s="37">
        <v>2836.5531999999848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19.239999999999895</v>
      </c>
      <c r="N28" s="42">
        <f t="shared" ref="N28:N37" si="9">M28/D28</f>
        <v>3.062767633996067E-2</v>
      </c>
      <c r="O28" s="44" t="s">
        <v>116</v>
      </c>
      <c r="P28" s="69" t="s">
        <v>48</v>
      </c>
      <c r="Q28" s="82" t="s">
        <v>102</v>
      </c>
      <c r="R28" s="45" t="s">
        <v>103</v>
      </c>
    </row>
    <row r="29" spans="1:18" s="67" customFormat="1" ht="24.95" customHeight="1">
      <c r="A29" s="47">
        <v>2</v>
      </c>
      <c r="B29" s="36" t="s">
        <v>179</v>
      </c>
      <c r="C29" s="37">
        <v>1802.2107999999948</v>
      </c>
      <c r="D29" s="38">
        <v>192.4</v>
      </c>
      <c r="E29" s="38">
        <v>189.82</v>
      </c>
      <c r="F29" s="38">
        <v>7</v>
      </c>
      <c r="G29" s="37">
        <v>407.74</v>
      </c>
      <c r="H29" s="68">
        <f t="shared" si="5"/>
        <v>1.0229729729729728</v>
      </c>
      <c r="I29" s="37">
        <v>1802.2107999999948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4.4199999999999875</v>
      </c>
      <c r="N29" s="42">
        <f t="shared" si="9"/>
        <v>2.2972972972972908E-2</v>
      </c>
      <c r="O29" s="44" t="s">
        <v>116</v>
      </c>
      <c r="P29" s="44" t="s">
        <v>120</v>
      </c>
      <c r="Q29" s="82" t="s">
        <v>132</v>
      </c>
      <c r="R29" s="45" t="s">
        <v>180</v>
      </c>
    </row>
    <row r="30" spans="1:18" s="67" customFormat="1" ht="24.95" customHeight="1">
      <c r="A30" s="47">
        <v>3</v>
      </c>
      <c r="B30" s="36" t="s">
        <v>129</v>
      </c>
      <c r="C30" s="37">
        <v>1676.0445000000072</v>
      </c>
      <c r="D30" s="38">
        <v>4649.25</v>
      </c>
      <c r="E30" s="38">
        <v>4634.8</v>
      </c>
      <c r="F30" s="38">
        <v>57</v>
      </c>
      <c r="G30" s="37">
        <v>39.39</v>
      </c>
      <c r="H30" s="68">
        <f t="shared" si="5"/>
        <v>1.0091520137656611</v>
      </c>
      <c r="I30" s="37">
        <v>1676.0445000000072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42.550000000000182</v>
      </c>
      <c r="N30" s="42">
        <f t="shared" si="9"/>
        <v>9.1520137656611669E-3</v>
      </c>
      <c r="O30" s="44" t="s">
        <v>116</v>
      </c>
      <c r="P30" s="44" t="s">
        <v>120</v>
      </c>
      <c r="Q30" s="82" t="s">
        <v>132</v>
      </c>
      <c r="R30" s="45" t="s">
        <v>103</v>
      </c>
    </row>
    <row r="31" spans="1:18" s="67" customFormat="1" ht="24.95" customHeight="1">
      <c r="A31" s="35">
        <v>4</v>
      </c>
      <c r="B31" s="36" t="s">
        <v>152</v>
      </c>
      <c r="C31" s="37">
        <v>1641.6899999999996</v>
      </c>
      <c r="D31" s="38">
        <v>25.97</v>
      </c>
      <c r="E31" s="38">
        <v>28.58</v>
      </c>
      <c r="F31" s="38">
        <v>0</v>
      </c>
      <c r="G31" s="37">
        <v>629</v>
      </c>
      <c r="H31" s="68">
        <f t="shared" si="5"/>
        <v>1.1005005775895265</v>
      </c>
      <c r="I31" s="37">
        <v>1641.6899999999996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2.6099999999999994</v>
      </c>
      <c r="N31" s="42">
        <f t="shared" si="9"/>
        <v>0.10050057758952637</v>
      </c>
      <c r="O31" s="44" t="s">
        <v>116</v>
      </c>
      <c r="P31" s="69" t="s">
        <v>118</v>
      </c>
      <c r="Q31" s="82"/>
      <c r="R31" s="45" t="s">
        <v>105</v>
      </c>
    </row>
    <row r="32" spans="1:18" s="67" customFormat="1" ht="24.95" customHeight="1">
      <c r="A32" s="47">
        <v>5</v>
      </c>
      <c r="B32" s="36" t="s">
        <v>150</v>
      </c>
      <c r="C32" s="37">
        <v>1590.9541000000008</v>
      </c>
      <c r="D32" s="38">
        <v>105.38</v>
      </c>
      <c r="E32" s="38">
        <v>119.78</v>
      </c>
      <c r="F32" s="38">
        <v>0</v>
      </c>
      <c r="G32" s="37">
        <v>141.66999999999999</v>
      </c>
      <c r="H32" s="68">
        <f t="shared" si="5"/>
        <v>1.1366483203643956</v>
      </c>
      <c r="I32" s="37">
        <v>2040.0480000000007</v>
      </c>
      <c r="J32" s="38">
        <v>3.17</v>
      </c>
      <c r="K32" s="40">
        <f t="shared" si="6"/>
        <v>3.008160941355096E-2</v>
      </c>
      <c r="L32" s="43">
        <f t="shared" si="7"/>
        <v>449.09389999999996</v>
      </c>
      <c r="M32" s="41">
        <f t="shared" si="8"/>
        <v>11.230000000000006</v>
      </c>
      <c r="N32" s="42">
        <f t="shared" si="9"/>
        <v>0.10656671095084462</v>
      </c>
      <c r="O32" s="44" t="s">
        <v>116</v>
      </c>
      <c r="P32" s="69" t="s">
        <v>118</v>
      </c>
      <c r="Q32" s="82"/>
      <c r="R32" s="45" t="s">
        <v>133</v>
      </c>
    </row>
    <row r="33" spans="1:18" s="67" customFormat="1" ht="24.95" customHeight="1">
      <c r="A33" s="35">
        <v>6</v>
      </c>
      <c r="B33" s="36" t="s">
        <v>151</v>
      </c>
      <c r="C33" s="37">
        <v>1390.7040000000009</v>
      </c>
      <c r="D33" s="38">
        <v>29.22</v>
      </c>
      <c r="E33" s="38">
        <v>29.32</v>
      </c>
      <c r="F33" s="38">
        <v>2</v>
      </c>
      <c r="G33" s="37">
        <v>662.24</v>
      </c>
      <c r="H33" s="68">
        <f t="shared" si="5"/>
        <v>1.0718685831622177</v>
      </c>
      <c r="I33" s="37">
        <v>1390.7040000000009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2.1000000000000014</v>
      </c>
      <c r="N33" s="42">
        <f t="shared" si="9"/>
        <v>7.1868583162217711E-2</v>
      </c>
      <c r="O33" s="44" t="s">
        <v>116</v>
      </c>
      <c r="P33" s="69" t="s">
        <v>118</v>
      </c>
      <c r="Q33" s="82"/>
      <c r="R33" s="45" t="s">
        <v>100</v>
      </c>
    </row>
    <row r="34" spans="1:18" s="67" customFormat="1" ht="24.95" customHeight="1">
      <c r="A34" s="47">
        <v>7</v>
      </c>
      <c r="B34" s="36" t="s">
        <v>181</v>
      </c>
      <c r="C34" s="37">
        <v>1273.4363999999962</v>
      </c>
      <c r="D34" s="38">
        <v>90.28</v>
      </c>
      <c r="E34" s="38">
        <v>91.71</v>
      </c>
      <c r="F34" s="38">
        <v>2.0499999999999998</v>
      </c>
      <c r="G34" s="37">
        <v>365.93</v>
      </c>
      <c r="H34" s="68">
        <f t="shared" si="5"/>
        <v>1.0385467434647762</v>
      </c>
      <c r="I34" s="37">
        <v>1273.4363999999962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3.4799999999999898</v>
      </c>
      <c r="N34" s="42">
        <f t="shared" si="9"/>
        <v>3.8546743464776136E-2</v>
      </c>
      <c r="O34" s="44" t="s">
        <v>116</v>
      </c>
      <c r="P34" s="69" t="s">
        <v>118</v>
      </c>
      <c r="Q34" s="82"/>
      <c r="R34" s="45" t="s">
        <v>182</v>
      </c>
    </row>
    <row r="35" spans="1:18" s="67" customFormat="1" ht="24.95" customHeight="1">
      <c r="A35" s="35">
        <v>8</v>
      </c>
      <c r="B35" s="36" t="s">
        <v>95</v>
      </c>
      <c r="C35" s="37">
        <v>1214.3625000000027</v>
      </c>
      <c r="D35" s="38">
        <v>177.45</v>
      </c>
      <c r="E35" s="38">
        <v>185.4</v>
      </c>
      <c r="F35" s="38">
        <v>0</v>
      </c>
      <c r="G35" s="37">
        <v>152.75</v>
      </c>
      <c r="H35" s="68">
        <f t="shared" si="5"/>
        <v>1.0448013524936604</v>
      </c>
      <c r="I35" s="37">
        <v>1214.3625000000027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7.9500000000000171</v>
      </c>
      <c r="N35" s="42">
        <f t="shared" si="9"/>
        <v>4.4801352493660282E-2</v>
      </c>
      <c r="O35" s="44" t="s">
        <v>116</v>
      </c>
      <c r="P35" s="69" t="s">
        <v>118</v>
      </c>
      <c r="Q35" s="82"/>
      <c r="R35" s="45" t="s">
        <v>97</v>
      </c>
    </row>
    <row r="36" spans="1:18" s="67" customFormat="1" ht="24.95" customHeight="1">
      <c r="A36" s="47">
        <v>9</v>
      </c>
      <c r="B36" s="36" t="s">
        <v>117</v>
      </c>
      <c r="C36" s="37">
        <v>1015.5221999999981</v>
      </c>
      <c r="D36" s="38">
        <v>109.2</v>
      </c>
      <c r="E36" s="38">
        <v>111.58</v>
      </c>
      <c r="F36" s="38">
        <v>0</v>
      </c>
      <c r="G36" s="37">
        <v>426.69</v>
      </c>
      <c r="H36" s="68">
        <f t="shared" si="5"/>
        <v>1.0217948717948717</v>
      </c>
      <c r="I36" s="37">
        <v>1015.5221999999981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2.3799999999999955</v>
      </c>
      <c r="N36" s="42">
        <f t="shared" si="9"/>
        <v>2.1794871794871752E-2</v>
      </c>
      <c r="O36" s="44" t="s">
        <v>131</v>
      </c>
      <c r="P36" s="69" t="s">
        <v>118</v>
      </c>
      <c r="Q36" s="82"/>
      <c r="R36" s="45" t="s">
        <v>97</v>
      </c>
    </row>
    <row r="37" spans="1:18" s="67" customFormat="1" ht="24.95" customHeight="1" thickBot="1">
      <c r="A37" s="48">
        <v>10</v>
      </c>
      <c r="B37" s="49" t="s">
        <v>167</v>
      </c>
      <c r="C37" s="50">
        <v>954.93600000000083</v>
      </c>
      <c r="D37" s="51">
        <v>13.02</v>
      </c>
      <c r="E37" s="51">
        <v>13.32</v>
      </c>
      <c r="F37" s="51">
        <v>0.9</v>
      </c>
      <c r="G37" s="50">
        <v>795.78</v>
      </c>
      <c r="H37" s="70">
        <f t="shared" si="5"/>
        <v>1.0921658986175116</v>
      </c>
      <c r="I37" s="50">
        <v>954.93600000000083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1.2000000000000011</v>
      </c>
      <c r="N37" s="55">
        <f t="shared" si="9"/>
        <v>9.2165898617511607E-2</v>
      </c>
      <c r="O37" s="57" t="s">
        <v>131</v>
      </c>
      <c r="P37" s="83" t="s">
        <v>118</v>
      </c>
      <c r="Q37" s="84"/>
      <c r="R37" s="58" t="s">
        <v>147</v>
      </c>
    </row>
    <row r="38" spans="1:18" ht="15.75" customHeight="1" thickBot="1"/>
    <row r="39" spans="1:18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8" ht="26.1" customHeight="1">
      <c r="A40" s="96" t="s">
        <v>63</v>
      </c>
      <c r="B40" s="97"/>
      <c r="C40" s="97"/>
      <c r="D40" s="98"/>
      <c r="E40" s="71"/>
      <c r="G40" s="74"/>
    </row>
    <row r="41" spans="1:18" ht="25.5" customHeight="1">
      <c r="A41" s="99" t="s">
        <v>69</v>
      </c>
      <c r="B41" s="100" t="s">
        <v>70</v>
      </c>
      <c r="C41" s="100"/>
      <c r="D41" s="101"/>
      <c r="E41" s="71"/>
    </row>
    <row r="42" spans="1:18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8" ht="20.45" customHeight="1">
      <c r="A43" s="99"/>
      <c r="B43" s="102"/>
      <c r="C43" s="103"/>
      <c r="D43" s="104"/>
      <c r="E43" s="71"/>
    </row>
    <row r="44" spans="1:18" s="78" customFormat="1" ht="24.95" customHeight="1">
      <c r="A44" s="75">
        <v>1</v>
      </c>
      <c r="B44" s="36" t="s">
        <v>168</v>
      </c>
      <c r="C44" s="37">
        <v>417.34999999999997</v>
      </c>
      <c r="D44" s="76">
        <f t="shared" ref="D44:D53" si="10">C44/$L$5</f>
        <v>0.17828491069307914</v>
      </c>
      <c r="E44" s="77"/>
    </row>
    <row r="45" spans="1:18" s="78" customFormat="1" ht="24.95" customHeight="1">
      <c r="A45" s="79">
        <v>2</v>
      </c>
      <c r="B45" s="36" t="s">
        <v>137</v>
      </c>
      <c r="C45" s="37">
        <v>294</v>
      </c>
      <c r="D45" s="76">
        <f t="shared" si="10"/>
        <v>0.1255918623308141</v>
      </c>
      <c r="E45" s="77"/>
    </row>
    <row r="46" spans="1:18" s="78" customFormat="1" ht="24.95" customHeight="1">
      <c r="A46" s="79">
        <v>3</v>
      </c>
      <c r="B46" s="36" t="s">
        <v>134</v>
      </c>
      <c r="C46" s="37">
        <v>269.95769999999999</v>
      </c>
      <c r="D46" s="76">
        <f t="shared" si="10"/>
        <v>0.11532139555626944</v>
      </c>
      <c r="E46" s="77"/>
    </row>
    <row r="47" spans="1:18" s="78" customFormat="1" ht="24.95" customHeight="1">
      <c r="A47" s="75">
        <v>4</v>
      </c>
      <c r="B47" s="36" t="s">
        <v>138</v>
      </c>
      <c r="C47" s="37">
        <v>266.76</v>
      </c>
      <c r="D47" s="76">
        <f t="shared" si="10"/>
        <v>0.1139553918209795</v>
      </c>
      <c r="E47" s="77"/>
    </row>
    <row r="48" spans="1:18" s="78" customFormat="1" ht="24.95" customHeight="1">
      <c r="A48" s="79">
        <v>5</v>
      </c>
      <c r="B48" s="36" t="s">
        <v>106</v>
      </c>
      <c r="C48" s="37">
        <v>178.8912</v>
      </c>
      <c r="D48" s="76">
        <f t="shared" si="10"/>
        <v>7.6419316199299772E-2</v>
      </c>
      <c r="E48" s="77"/>
    </row>
    <row r="49" spans="1:5" s="78" customFormat="1" ht="24.95" customHeight="1">
      <c r="A49" s="75">
        <v>6</v>
      </c>
      <c r="B49" s="36" t="s">
        <v>159</v>
      </c>
      <c r="C49" s="37">
        <v>162.21</v>
      </c>
      <c r="D49" s="76">
        <f t="shared" si="10"/>
        <v>6.9293387716603261E-2</v>
      </c>
      <c r="E49" s="77"/>
    </row>
    <row r="50" spans="1:5" s="78" customFormat="1" ht="24.95" customHeight="1">
      <c r="A50" s="79">
        <v>7</v>
      </c>
      <c r="B50" s="36" t="s">
        <v>139</v>
      </c>
      <c r="C50" s="37">
        <v>159.80000000000001</v>
      </c>
      <c r="D50" s="76">
        <f t="shared" si="10"/>
        <v>6.8263876192054748E-2</v>
      </c>
      <c r="E50" s="77"/>
    </row>
    <row r="51" spans="1:5" s="78" customFormat="1" ht="24.95" customHeight="1">
      <c r="A51" s="75">
        <v>8</v>
      </c>
      <c r="B51" s="36" t="s">
        <v>140</v>
      </c>
      <c r="C51" s="37">
        <v>148</v>
      </c>
      <c r="D51" s="76">
        <f t="shared" si="10"/>
        <v>6.3223114370613898E-2</v>
      </c>
      <c r="E51" s="77"/>
    </row>
    <row r="52" spans="1:5" s="78" customFormat="1" ht="24.95" customHeight="1">
      <c r="A52" s="79">
        <v>9</v>
      </c>
      <c r="B52" s="36" t="s">
        <v>160</v>
      </c>
      <c r="C52" s="37">
        <v>116.43679999999999</v>
      </c>
      <c r="D52" s="76">
        <f t="shared" si="10"/>
        <v>4.9739845428029034E-2</v>
      </c>
      <c r="E52" s="77"/>
    </row>
    <row r="53" spans="1:5" s="78" customFormat="1" ht="24.95" customHeight="1" thickBot="1">
      <c r="A53" s="80">
        <v>10</v>
      </c>
      <c r="B53" s="49" t="s">
        <v>143</v>
      </c>
      <c r="C53" s="50">
        <v>101.655</v>
      </c>
      <c r="D53" s="81">
        <f t="shared" si="10"/>
        <v>4.3425308725302411E-2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951" priority="27" operator="containsText" text="綠豆芽">
      <formula>NOT(ISERROR(SEARCH("綠豆芽",A12)))</formula>
    </cfRule>
    <cfRule type="containsText" dxfId="950" priority="28" operator="containsText" text="煮白細麵生(方#12)">
      <formula>NOT(ISERROR(SEARCH("煮白細麵生(方#12)",A12)))</formula>
    </cfRule>
    <cfRule type="containsText" dxfId="949" priority="29" operator="containsText" text="024">
      <formula>NOT(ISERROR(SEARCH("024",A12)))</formula>
    </cfRule>
    <cfRule type="containsText" dxfId="948" priority="30" operator="containsText" text="白醬">
      <formula>NOT(ISERROR(SEARCH("白醬",A12)))</formula>
    </cfRule>
    <cfRule type="containsText" dxfId="947" priority="31" operator="containsText" text="青蔥">
      <formula>NOT(ISERROR(SEARCH("青蔥",A12)))</formula>
    </cfRule>
    <cfRule type="containsText" dxfId="946" priority="32" operator="containsText" text=")川燙小青花菜">
      <formula>NOT(ISERROR(SEARCH(")川燙小青花菜",A12)))</formula>
    </cfRule>
    <cfRule type="containsText" dxfId="945" priority="33" operator="containsText" text="湯凍">
      <formula>NOT(ISERROR(SEARCH("湯凍",A12)))</formula>
    </cfRule>
    <cfRule type="containsText" dxfId="944" priority="34" operator="containsText" text="中華">
      <formula>NOT(ISERROR(SEARCH("中華",A12)))</formula>
    </cfRule>
  </conditionalFormatting>
  <conditionalFormatting sqref="A28:A37">
    <cfRule type="containsText" dxfId="943" priority="5" operator="containsText" text="綠豆芽">
      <formula>NOT(ISERROR(SEARCH("綠豆芽",A28)))</formula>
    </cfRule>
    <cfRule type="containsText" dxfId="942" priority="6" operator="containsText" text="煮白細麵生(方#12)">
      <formula>NOT(ISERROR(SEARCH("煮白細麵生(方#12)",A28)))</formula>
    </cfRule>
    <cfRule type="containsText" dxfId="941" priority="7" operator="containsText" text="024">
      <formula>NOT(ISERROR(SEARCH("024",A28)))</formula>
    </cfRule>
    <cfRule type="containsText" dxfId="940" priority="8" operator="containsText" text="白醬">
      <formula>NOT(ISERROR(SEARCH("白醬",A28)))</formula>
    </cfRule>
    <cfRule type="containsText" dxfId="939" priority="9" operator="containsText" text="青蔥">
      <formula>NOT(ISERROR(SEARCH("青蔥",A28)))</formula>
    </cfRule>
    <cfRule type="containsText" dxfId="938" priority="10" operator="containsText" text=")川燙小青花菜">
      <formula>NOT(ISERROR(SEARCH(")川燙小青花菜",A28)))</formula>
    </cfRule>
    <cfRule type="containsText" dxfId="937" priority="11" operator="containsText" text="湯凍">
      <formula>NOT(ISERROR(SEARCH("湯凍",A28)))</formula>
    </cfRule>
    <cfRule type="containsText" dxfId="936" priority="12" operator="containsText" text="中華">
      <formula>NOT(ISERROR(SEARCH("中華",A28)))</formula>
    </cfRule>
  </conditionalFormatting>
  <conditionalFormatting sqref="A44:A53">
    <cfRule type="containsText" dxfId="935" priority="17" operator="containsText" text="綠豆芽">
      <formula>NOT(ISERROR(SEARCH("綠豆芽",A44)))</formula>
    </cfRule>
    <cfRule type="containsText" dxfId="934" priority="18" operator="containsText" text="煮白細麵生(方#12)">
      <formula>NOT(ISERROR(SEARCH("煮白細麵生(方#12)",A44)))</formula>
    </cfRule>
    <cfRule type="containsText" dxfId="933" priority="19" operator="containsText" text="024">
      <formula>NOT(ISERROR(SEARCH("024",A44)))</formula>
    </cfRule>
    <cfRule type="containsText" dxfId="932" priority="20" operator="containsText" text="白醬">
      <formula>NOT(ISERROR(SEARCH("白醬",A44)))</formula>
    </cfRule>
    <cfRule type="containsText" dxfId="931" priority="21" operator="containsText" text="青蔥">
      <formula>NOT(ISERROR(SEARCH("青蔥",A44)))</formula>
    </cfRule>
    <cfRule type="containsText" dxfId="930" priority="22" operator="containsText" text=")川燙小青花菜">
      <formula>NOT(ISERROR(SEARCH(")川燙小青花菜",A44)))</formula>
    </cfRule>
    <cfRule type="containsText" dxfId="929" priority="23" operator="containsText" text="湯凍">
      <formula>NOT(ISERROR(SEARCH("湯凍",A44)))</formula>
    </cfRule>
    <cfRule type="containsText" dxfId="928" priority="24" operator="containsText" text="中華">
      <formula>NOT(ISERROR(SEARCH("中華",A44)))</formula>
    </cfRule>
  </conditionalFormatting>
  <conditionalFormatting sqref="D44:D53">
    <cfRule type="cellIs" dxfId="927" priority="16" operator="greaterThan">
      <formula>0.146</formula>
    </cfRule>
  </conditionalFormatting>
  <conditionalFormatting sqref="E5">
    <cfRule type="cellIs" dxfId="926" priority="14" operator="greaterThan">
      <formula>0.0025</formula>
    </cfRule>
    <cfRule type="cellIs" dxfId="925" priority="25" operator="greaterThan">
      <formula>0.072</formula>
    </cfRule>
    <cfRule type="cellIs" dxfId="924" priority="26" operator="greaterThan">
      <formula>7.2</formula>
    </cfRule>
  </conditionalFormatting>
  <conditionalFormatting sqref="G5">
    <cfRule type="cellIs" dxfId="923" priority="1" operator="greaterThan">
      <formula>0.0025</formula>
    </cfRule>
    <cfRule type="cellIs" dxfId="922" priority="2" operator="greaterThan">
      <formula>0.072</formula>
    </cfRule>
    <cfRule type="cellIs" dxfId="921" priority="3" operator="greaterThan">
      <formula>7.2</formula>
    </cfRule>
  </conditionalFormatting>
  <conditionalFormatting sqref="H12:H22">
    <cfRule type="cellIs" dxfId="920" priority="15" operator="greaterThan">
      <formula>1.1</formula>
    </cfRule>
  </conditionalFormatting>
  <conditionalFormatting sqref="H28:H37">
    <cfRule type="cellIs" dxfId="919" priority="4" operator="greaterThan">
      <formula>1.1</formula>
    </cfRule>
  </conditionalFormatting>
  <conditionalFormatting sqref="I5">
    <cfRule type="cellIs" dxfId="91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FCB5-1800-4C97-8C5A-63A18D579351}">
  <sheetPr>
    <tabColor rgb="FFFF0000"/>
    <pageSetUpPr fitToPage="1"/>
  </sheetPr>
  <dimension ref="A1:R56"/>
  <sheetViews>
    <sheetView zoomScale="70" zoomScaleNormal="70" workbookViewId="0">
      <selection activeCell="L5" sqref="L5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24" style="18" bestFit="1" customWidth="1"/>
    <col min="17" max="17" width="55.25" style="18" bestFit="1" customWidth="1"/>
    <col min="18" max="18" width="41.75" style="18" customWidth="1"/>
    <col min="19" max="16384" width="9" style="18"/>
  </cols>
  <sheetData>
    <row r="1" spans="1:18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8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8" s="20" customFormat="1" ht="28.5">
      <c r="A3" s="149">
        <v>45896</v>
      </c>
      <c r="B3" s="150"/>
      <c r="C3" s="151">
        <v>7268105.9000000004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8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8" ht="46.5" customHeight="1" thickBot="1">
      <c r="A5" s="146" t="s">
        <v>61</v>
      </c>
      <c r="B5" s="147"/>
      <c r="C5" s="147"/>
      <c r="D5" s="24">
        <v>17530.725399999988</v>
      </c>
      <c r="E5" s="25">
        <f>D5/C3</f>
        <v>2.4120074254834383E-3</v>
      </c>
      <c r="F5" s="24">
        <v>56275.879499999966</v>
      </c>
      <c r="G5" s="26">
        <f>F5/C3</f>
        <v>7.7428535404251561E-3</v>
      </c>
      <c r="H5" s="27">
        <f>SUM(C12:C21)</f>
        <v>4957.1862999999994</v>
      </c>
      <c r="I5" s="28">
        <f>H5/D5</f>
        <v>0.28277131646817094</v>
      </c>
      <c r="J5" s="27">
        <f>SUM(C28:C37)</f>
        <v>16268.267099999997</v>
      </c>
      <c r="K5" s="29">
        <f>J5/F5</f>
        <v>0.28908063711381016</v>
      </c>
      <c r="L5" s="30">
        <v>2589.0621000000001</v>
      </c>
      <c r="M5" s="31">
        <f>L5/D5</f>
        <v>0.14768710597680126</v>
      </c>
    </row>
    <row r="6" spans="1:18" ht="46.5" customHeight="1" thickBot="1"/>
    <row r="7" spans="1:18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148"/>
      <c r="R7" s="95"/>
    </row>
    <row r="8" spans="1:18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28" t="s">
        <v>66</v>
      </c>
      <c r="Q8" s="100" t="s">
        <v>67</v>
      </c>
      <c r="R8" s="104" t="s">
        <v>68</v>
      </c>
    </row>
    <row r="9" spans="1:18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0"/>
      <c r="R9" s="104"/>
    </row>
    <row r="10" spans="1:18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0"/>
      <c r="R10" s="104"/>
    </row>
    <row r="11" spans="1:18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0"/>
      <c r="R11" s="104"/>
    </row>
    <row r="12" spans="1:18" s="46" customFormat="1" ht="24.95" customHeight="1">
      <c r="A12" s="35">
        <v>1</v>
      </c>
      <c r="B12" s="36" t="s">
        <v>91</v>
      </c>
      <c r="C12" s="37">
        <v>1761.3</v>
      </c>
      <c r="D12" s="38">
        <v>4043</v>
      </c>
      <c r="E12" s="38">
        <v>4157</v>
      </c>
      <c r="F12" s="38">
        <v>0</v>
      </c>
      <c r="G12" s="37">
        <v>15.45</v>
      </c>
      <c r="H12" s="39">
        <f>(E12+F12)/D12</f>
        <v>1.0281968835023498</v>
      </c>
      <c r="I12" s="37">
        <v>1761.3</v>
      </c>
      <c r="J12" s="38">
        <v>114</v>
      </c>
      <c r="K12" s="40">
        <f>J12/D12</f>
        <v>2.8196883502349741E-2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92</v>
      </c>
      <c r="Q12" s="44" t="s">
        <v>93</v>
      </c>
      <c r="R12" s="45" t="s">
        <v>94</v>
      </c>
    </row>
    <row r="13" spans="1:18" s="46" customFormat="1" ht="24.95" customHeight="1">
      <c r="A13" s="47">
        <v>2</v>
      </c>
      <c r="B13" s="36" t="s">
        <v>177</v>
      </c>
      <c r="C13" s="37">
        <v>566.19999999999993</v>
      </c>
      <c r="D13" s="38">
        <v>2034</v>
      </c>
      <c r="E13" s="38">
        <v>2332</v>
      </c>
      <c r="F13" s="38">
        <v>0</v>
      </c>
      <c r="G13" s="37">
        <v>1.9</v>
      </c>
      <c r="H13" s="39">
        <f t="shared" ref="H13:H21" si="1">(E13+F13)/D13</f>
        <v>1.1465093411996068</v>
      </c>
      <c r="I13" s="37">
        <v>566.19999999999993</v>
      </c>
      <c r="J13" s="38">
        <v>298</v>
      </c>
      <c r="K13" s="40">
        <f>J13/D13</f>
        <v>0.14650934119960668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183</v>
      </c>
      <c r="Q13" s="44"/>
      <c r="R13" s="45" t="s">
        <v>147</v>
      </c>
    </row>
    <row r="14" spans="1:18" s="46" customFormat="1" ht="24.95" customHeight="1">
      <c r="A14" s="47">
        <v>3</v>
      </c>
      <c r="B14" s="36" t="s">
        <v>95</v>
      </c>
      <c r="C14" s="37">
        <v>447.5575</v>
      </c>
      <c r="D14" s="38">
        <v>187.81</v>
      </c>
      <c r="E14" s="38">
        <v>199.27</v>
      </c>
      <c r="F14" s="38">
        <v>0</v>
      </c>
      <c r="G14" s="37">
        <v>152.75</v>
      </c>
      <c r="H14" s="39">
        <f>(E14+F14)/D14</f>
        <v>1.0610191150630957</v>
      </c>
      <c r="I14" s="37">
        <v>1750.5150000000012</v>
      </c>
      <c r="J14" s="38">
        <v>2.93</v>
      </c>
      <c r="K14" s="40">
        <f t="shared" ref="K14:K21" si="4">J14/D14</f>
        <v>1.5600873222938077E-2</v>
      </c>
      <c r="L14" s="41">
        <f t="shared" si="2"/>
        <v>8.5300000000000082</v>
      </c>
      <c r="M14" s="42">
        <f t="shared" si="3"/>
        <v>4.541824184015765E-2</v>
      </c>
      <c r="N14" s="43">
        <f t="shared" si="0"/>
        <v>1302.9575000000013</v>
      </c>
      <c r="O14" s="44" t="s">
        <v>88</v>
      </c>
      <c r="P14" s="69" t="s">
        <v>175</v>
      </c>
      <c r="Q14" s="82"/>
      <c r="R14" s="45" t="s">
        <v>97</v>
      </c>
    </row>
    <row r="15" spans="1:18" s="46" customFormat="1" ht="24.95" customHeight="1">
      <c r="A15" s="35">
        <v>4</v>
      </c>
      <c r="B15" s="36" t="s">
        <v>150</v>
      </c>
      <c r="C15" s="37">
        <v>351.34159999999997</v>
      </c>
      <c r="D15" s="38">
        <v>115.94</v>
      </c>
      <c r="E15" s="38">
        <v>119.77</v>
      </c>
      <c r="F15" s="38">
        <v>0</v>
      </c>
      <c r="G15" s="37">
        <v>141.66999999999999</v>
      </c>
      <c r="H15" s="39">
        <f>(E15+F15)/D15</f>
        <v>1.0330343281007417</v>
      </c>
      <c r="I15" s="37">
        <v>542.59609999999975</v>
      </c>
      <c r="J15" s="38">
        <v>2.48</v>
      </c>
      <c r="K15" s="40">
        <f t="shared" si="4"/>
        <v>2.1390374331550801E-2</v>
      </c>
      <c r="L15" s="41">
        <f t="shared" si="2"/>
        <v>1.3499999999999983</v>
      </c>
      <c r="M15" s="42">
        <f t="shared" si="3"/>
        <v>1.1643953769190947E-2</v>
      </c>
      <c r="N15" s="43">
        <f t="shared" si="0"/>
        <v>191.25449999999975</v>
      </c>
      <c r="O15" s="44" t="s">
        <v>88</v>
      </c>
      <c r="P15" s="69" t="s">
        <v>89</v>
      </c>
      <c r="Q15" s="82"/>
      <c r="R15" s="45" t="s">
        <v>133</v>
      </c>
    </row>
    <row r="16" spans="1:18" s="46" customFormat="1" ht="24.95" customHeight="1">
      <c r="A16" s="47">
        <v>5</v>
      </c>
      <c r="B16" s="36" t="s">
        <v>98</v>
      </c>
      <c r="C16" s="37">
        <v>322.70999999999998</v>
      </c>
      <c r="D16" s="38">
        <v>4221</v>
      </c>
      <c r="E16" s="38">
        <v>4252</v>
      </c>
      <c r="F16" s="38">
        <v>0</v>
      </c>
      <c r="G16" s="37">
        <v>10.41</v>
      </c>
      <c r="H16" s="39">
        <f t="shared" si="1"/>
        <v>1.0073442312248282</v>
      </c>
      <c r="I16" s="37">
        <v>322.70999999999998</v>
      </c>
      <c r="J16" s="38">
        <v>31</v>
      </c>
      <c r="K16" s="40">
        <f t="shared" si="4"/>
        <v>7.3442312248282399E-3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88</v>
      </c>
      <c r="P16" s="44" t="s">
        <v>99</v>
      </c>
      <c r="Q16" s="82"/>
      <c r="R16" s="45" t="s">
        <v>100</v>
      </c>
    </row>
    <row r="17" spans="1:18" s="46" customFormat="1" ht="24.95" customHeight="1">
      <c r="A17" s="35">
        <v>6</v>
      </c>
      <c r="B17" s="36" t="s">
        <v>106</v>
      </c>
      <c r="C17" s="37">
        <v>318.02879999999999</v>
      </c>
      <c r="D17" s="38">
        <v>35.64</v>
      </c>
      <c r="E17" s="38">
        <v>37.5</v>
      </c>
      <c r="F17" s="38">
        <v>0</v>
      </c>
      <c r="G17" s="37">
        <v>248.46</v>
      </c>
      <c r="H17" s="39">
        <f t="shared" si="1"/>
        <v>1.0521885521885521</v>
      </c>
      <c r="I17" s="37">
        <v>462.1355999999999</v>
      </c>
      <c r="J17" s="38">
        <v>1.28</v>
      </c>
      <c r="K17" s="40">
        <f t="shared" si="4"/>
        <v>3.5914702581369251E-2</v>
      </c>
      <c r="L17" s="41">
        <f t="shared" si="2"/>
        <v>0.5799999999999994</v>
      </c>
      <c r="M17" s="42">
        <f t="shared" si="3"/>
        <v>1.6273849607182922E-2</v>
      </c>
      <c r="N17" s="43">
        <f t="shared" si="0"/>
        <v>144.10679999999985</v>
      </c>
      <c r="O17" s="44" t="s">
        <v>88</v>
      </c>
      <c r="P17" s="44" t="s">
        <v>175</v>
      </c>
      <c r="Q17" s="44"/>
      <c r="R17" s="45" t="s">
        <v>103</v>
      </c>
    </row>
    <row r="18" spans="1:18" s="46" customFormat="1" ht="24.95" customHeight="1">
      <c r="A18" s="47">
        <v>7</v>
      </c>
      <c r="B18" s="36" t="s">
        <v>111</v>
      </c>
      <c r="C18" s="37">
        <v>298.56</v>
      </c>
      <c r="D18" s="38">
        <v>128.19999999999999</v>
      </c>
      <c r="E18" s="38">
        <v>126.21000000000001</v>
      </c>
      <c r="F18" s="38">
        <v>5.0999999999999996</v>
      </c>
      <c r="G18" s="37">
        <v>96</v>
      </c>
      <c r="H18" s="39">
        <f t="shared" si="1"/>
        <v>1.0242589703588145</v>
      </c>
      <c r="I18" s="37">
        <v>298.56000000000131</v>
      </c>
      <c r="J18" s="38">
        <v>3.11</v>
      </c>
      <c r="K18" s="40">
        <f t="shared" si="4"/>
        <v>2.4258970358814354E-2</v>
      </c>
      <c r="L18" s="41">
        <f>((E18+F18)-D18)-J18</f>
        <v>1.3766765505351941E-14</v>
      </c>
      <c r="M18" s="42">
        <f t="shared" si="3"/>
        <v>1.0738506634439892E-16</v>
      </c>
      <c r="N18" s="43">
        <f t="shared" si="0"/>
        <v>1.3216094885137863E-12</v>
      </c>
      <c r="O18" s="44" t="s">
        <v>88</v>
      </c>
      <c r="P18" s="69" t="s">
        <v>89</v>
      </c>
      <c r="Q18" s="82"/>
      <c r="R18" s="45" t="s">
        <v>113</v>
      </c>
    </row>
    <row r="19" spans="1:18" s="46" customFormat="1" ht="24.95" customHeight="1">
      <c r="A19" s="35">
        <v>8</v>
      </c>
      <c r="B19" s="36" t="s">
        <v>164</v>
      </c>
      <c r="C19" s="37">
        <v>297.64979999999997</v>
      </c>
      <c r="D19" s="38">
        <v>21.36</v>
      </c>
      <c r="E19" s="38">
        <v>22.62</v>
      </c>
      <c r="F19" s="38">
        <v>0</v>
      </c>
      <c r="G19" s="37">
        <v>236.23</v>
      </c>
      <c r="H19" s="39">
        <f t="shared" si="1"/>
        <v>1.0589887640449438</v>
      </c>
      <c r="I19" s="37">
        <v>297.64980000000037</v>
      </c>
      <c r="J19" s="38">
        <v>1.26</v>
      </c>
      <c r="K19" s="40">
        <f t="shared" si="4"/>
        <v>5.8988764044943826E-2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88</v>
      </c>
      <c r="P19" s="44" t="s">
        <v>175</v>
      </c>
      <c r="Q19" s="44"/>
      <c r="R19" s="45" t="s">
        <v>124</v>
      </c>
    </row>
    <row r="20" spans="1:18" s="46" customFormat="1" ht="24.95" customHeight="1">
      <c r="A20" s="47">
        <v>9</v>
      </c>
      <c r="B20" s="36" t="s">
        <v>104</v>
      </c>
      <c r="C20" s="37">
        <v>297.18860000000001</v>
      </c>
      <c r="D20" s="38">
        <v>47.77</v>
      </c>
      <c r="E20" s="38">
        <v>51.1</v>
      </c>
      <c r="F20" s="38">
        <v>0</v>
      </c>
      <c r="G20" s="37">
        <v>153.19</v>
      </c>
      <c r="H20" s="39">
        <f t="shared" si="1"/>
        <v>1.0697090223989951</v>
      </c>
      <c r="I20" s="37">
        <v>510.12269999999972</v>
      </c>
      <c r="J20" s="38">
        <v>1.94</v>
      </c>
      <c r="K20" s="40">
        <f t="shared" si="4"/>
        <v>4.0611262298513709E-2</v>
      </c>
      <c r="L20" s="41">
        <f t="shared" si="2"/>
        <v>1.3899999999999983</v>
      </c>
      <c r="M20" s="42">
        <f t="shared" si="3"/>
        <v>2.9097760100481436E-2</v>
      </c>
      <c r="N20" s="43">
        <f t="shared" si="0"/>
        <v>212.93409999999975</v>
      </c>
      <c r="O20" s="44" t="s">
        <v>88</v>
      </c>
      <c r="P20" s="44" t="s">
        <v>175</v>
      </c>
      <c r="Q20" s="82"/>
      <c r="R20" s="45" t="s">
        <v>105</v>
      </c>
    </row>
    <row r="21" spans="1:18" s="46" customFormat="1" ht="24.95" customHeight="1" thickBot="1">
      <c r="A21" s="48">
        <v>10</v>
      </c>
      <c r="B21" s="49" t="s">
        <v>168</v>
      </c>
      <c r="C21" s="50">
        <v>296.64999999999998</v>
      </c>
      <c r="D21" s="51">
        <v>11496</v>
      </c>
      <c r="E21" s="51">
        <v>11845</v>
      </c>
      <c r="F21" s="51">
        <v>0</v>
      </c>
      <c r="G21" s="50">
        <v>0.85</v>
      </c>
      <c r="H21" s="52">
        <f t="shared" si="1"/>
        <v>1.0303583855254002</v>
      </c>
      <c r="I21" s="50">
        <v>296.64999999999998</v>
      </c>
      <c r="J21" s="51">
        <v>349</v>
      </c>
      <c r="K21" s="53">
        <f t="shared" si="4"/>
        <v>3.0358385525400138E-2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88</v>
      </c>
      <c r="P21" s="57" t="s">
        <v>183</v>
      </c>
      <c r="Q21" s="57"/>
      <c r="R21" s="58" t="s">
        <v>103</v>
      </c>
    </row>
    <row r="22" spans="1:18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20"/>
    </row>
    <row r="24" spans="1:18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8" t="s">
        <v>66</v>
      </c>
      <c r="Q24" s="100" t="s">
        <v>67</v>
      </c>
      <c r="R24" s="129" t="s">
        <v>68</v>
      </c>
    </row>
    <row r="25" spans="1:18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00"/>
      <c r="Q25" s="100"/>
      <c r="R25" s="130"/>
    </row>
    <row r="26" spans="1:18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00"/>
      <c r="Q26" s="100"/>
      <c r="R26" s="130"/>
    </row>
    <row r="27" spans="1:18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00"/>
      <c r="Q27" s="100"/>
      <c r="R27" s="131"/>
    </row>
    <row r="28" spans="1:18" s="67" customFormat="1" ht="24.95" customHeight="1">
      <c r="A28" s="35">
        <v>1</v>
      </c>
      <c r="B28" s="36" t="s">
        <v>101</v>
      </c>
      <c r="C28" s="37">
        <v>2339.7141000000006</v>
      </c>
      <c r="D28" s="38">
        <v>707.73</v>
      </c>
      <c r="E28" s="38">
        <v>707.4</v>
      </c>
      <c r="F28" s="38">
        <v>16.2</v>
      </c>
      <c r="G28" s="37">
        <v>147.43</v>
      </c>
      <c r="H28" s="68">
        <f t="shared" ref="H28:H37" si="5">(E28+F28)/D28</f>
        <v>1.0224238056886101</v>
      </c>
      <c r="I28" s="37">
        <v>2339.7141000000006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15.870000000000005</v>
      </c>
      <c r="N28" s="42">
        <f t="shared" ref="N28:N37" si="9">M28/D28</f>
        <v>2.242380568861007E-2</v>
      </c>
      <c r="O28" s="44" t="s">
        <v>116</v>
      </c>
      <c r="P28" s="69" t="s">
        <v>48</v>
      </c>
      <c r="Q28" s="82" t="s">
        <v>102</v>
      </c>
      <c r="R28" s="45" t="s">
        <v>103</v>
      </c>
    </row>
    <row r="29" spans="1:18" s="67" customFormat="1" ht="24.95" customHeight="1">
      <c r="A29" s="47">
        <v>2</v>
      </c>
      <c r="B29" s="36" t="s">
        <v>181</v>
      </c>
      <c r="C29" s="37">
        <v>2063.8452000000002</v>
      </c>
      <c r="D29" s="38">
        <v>101.97</v>
      </c>
      <c r="E29" s="38">
        <v>102.28</v>
      </c>
      <c r="F29" s="38">
        <v>5.33</v>
      </c>
      <c r="G29" s="37">
        <v>365.93</v>
      </c>
      <c r="H29" s="68">
        <f t="shared" si="5"/>
        <v>1.0553103854074728</v>
      </c>
      <c r="I29" s="37">
        <v>2063.8452000000002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5.6400000000000006</v>
      </c>
      <c r="N29" s="42">
        <f t="shared" si="9"/>
        <v>5.5310385407472795E-2</v>
      </c>
      <c r="O29" s="44" t="s">
        <v>116</v>
      </c>
      <c r="P29" s="69" t="s">
        <v>118</v>
      </c>
      <c r="Q29" s="82"/>
      <c r="R29" s="45" t="s">
        <v>182</v>
      </c>
    </row>
    <row r="30" spans="1:18" s="67" customFormat="1" ht="24.95" customHeight="1">
      <c r="A30" s="47">
        <v>3</v>
      </c>
      <c r="B30" s="36" t="s">
        <v>170</v>
      </c>
      <c r="C30" s="37">
        <v>1926.2165999999938</v>
      </c>
      <c r="D30" s="38">
        <v>106.93</v>
      </c>
      <c r="E30" s="38">
        <v>100.99</v>
      </c>
      <c r="F30" s="38">
        <v>11.13</v>
      </c>
      <c r="G30" s="37">
        <v>371.14</v>
      </c>
      <c r="H30" s="68">
        <f t="shared" si="5"/>
        <v>1.0485364256990553</v>
      </c>
      <c r="I30" s="37">
        <v>1926.2165999999938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5.1899999999999835</v>
      </c>
      <c r="N30" s="42">
        <f t="shared" si="9"/>
        <v>4.8536425699055301E-2</v>
      </c>
      <c r="O30" s="44" t="s">
        <v>116</v>
      </c>
      <c r="P30" s="69" t="s">
        <v>118</v>
      </c>
      <c r="Q30" s="82"/>
      <c r="R30" s="45" t="s">
        <v>103</v>
      </c>
    </row>
    <row r="31" spans="1:18" s="67" customFormat="1" ht="24.95" customHeight="1">
      <c r="A31" s="35">
        <v>4</v>
      </c>
      <c r="B31" s="36" t="s">
        <v>125</v>
      </c>
      <c r="C31" s="37">
        <v>1600.4771999999991</v>
      </c>
      <c r="D31" s="38">
        <v>29.9</v>
      </c>
      <c r="E31" s="38">
        <v>28.52</v>
      </c>
      <c r="F31" s="38">
        <v>3.96</v>
      </c>
      <c r="G31" s="37">
        <v>620.34</v>
      </c>
      <c r="H31" s="68">
        <f t="shared" si="5"/>
        <v>1.0862876254180602</v>
      </c>
      <c r="I31" s="37">
        <v>1600.4771999999991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2.5799999999999983</v>
      </c>
      <c r="N31" s="42">
        <f t="shared" si="9"/>
        <v>8.6287625418060149E-2</v>
      </c>
      <c r="O31" s="44" t="s">
        <v>116</v>
      </c>
      <c r="P31" s="69" t="s">
        <v>118</v>
      </c>
      <c r="Q31" s="82"/>
      <c r="R31" s="45" t="s">
        <v>126</v>
      </c>
    </row>
    <row r="32" spans="1:18" s="67" customFormat="1" ht="24.95" customHeight="1">
      <c r="A32" s="47">
        <v>5</v>
      </c>
      <c r="B32" s="36" t="s">
        <v>130</v>
      </c>
      <c r="C32" s="37">
        <v>1496.2765999999992</v>
      </c>
      <c r="D32" s="38">
        <v>207.73</v>
      </c>
      <c r="E32" s="38">
        <v>207.19</v>
      </c>
      <c r="F32" s="38">
        <v>3.01</v>
      </c>
      <c r="G32" s="37">
        <v>605.78</v>
      </c>
      <c r="H32" s="68">
        <f t="shared" si="5"/>
        <v>1.011890434698888</v>
      </c>
      <c r="I32" s="37">
        <v>1496.2765999999992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2.4699999999999989</v>
      </c>
      <c r="N32" s="42">
        <f t="shared" si="9"/>
        <v>1.1890434698887975E-2</v>
      </c>
      <c r="O32" s="44" t="s">
        <v>116</v>
      </c>
      <c r="P32" s="44" t="s">
        <v>120</v>
      </c>
      <c r="Q32" s="82" t="s">
        <v>132</v>
      </c>
      <c r="R32" s="45" t="s">
        <v>133</v>
      </c>
    </row>
    <row r="33" spans="1:18" s="67" customFormat="1" ht="24.95" customHeight="1">
      <c r="A33" s="35">
        <v>6</v>
      </c>
      <c r="B33" s="36" t="s">
        <v>129</v>
      </c>
      <c r="C33" s="37">
        <v>1468.8530999999987</v>
      </c>
      <c r="D33" s="38">
        <v>5009.3100000000004</v>
      </c>
      <c r="E33" s="38">
        <v>4981.8</v>
      </c>
      <c r="F33" s="38">
        <v>64.8</v>
      </c>
      <c r="G33" s="37">
        <v>39.39</v>
      </c>
      <c r="H33" s="68">
        <f t="shared" si="5"/>
        <v>1.0074441390131574</v>
      </c>
      <c r="I33" s="37">
        <v>1468.8530999999987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37.289999999999964</v>
      </c>
      <c r="N33" s="42">
        <f t="shared" si="9"/>
        <v>7.4441390131574931E-3</v>
      </c>
      <c r="O33" s="44" t="s">
        <v>116</v>
      </c>
      <c r="P33" s="44" t="s">
        <v>120</v>
      </c>
      <c r="Q33" s="82" t="s">
        <v>132</v>
      </c>
      <c r="R33" s="45" t="s">
        <v>103</v>
      </c>
    </row>
    <row r="34" spans="1:18" s="67" customFormat="1" ht="24.95" customHeight="1">
      <c r="A34" s="47">
        <v>7</v>
      </c>
      <c r="B34" s="36" t="s">
        <v>117</v>
      </c>
      <c r="C34" s="37">
        <v>1442.212200000004</v>
      </c>
      <c r="D34" s="38">
        <v>115.57</v>
      </c>
      <c r="E34" s="38">
        <v>118.95</v>
      </c>
      <c r="F34" s="38">
        <v>0</v>
      </c>
      <c r="G34" s="37">
        <v>426.69</v>
      </c>
      <c r="H34" s="68">
        <f t="shared" si="5"/>
        <v>1.0292463442069741</v>
      </c>
      <c r="I34" s="37">
        <v>1442.212200000004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3.3800000000000097</v>
      </c>
      <c r="N34" s="42">
        <f t="shared" si="9"/>
        <v>2.9246344206974213E-2</v>
      </c>
      <c r="O34" s="44" t="s">
        <v>116</v>
      </c>
      <c r="P34" s="69" t="s">
        <v>118</v>
      </c>
      <c r="Q34" s="82"/>
      <c r="R34" s="45" t="s">
        <v>97</v>
      </c>
    </row>
    <row r="35" spans="1:18" s="67" customFormat="1" ht="24.95" customHeight="1">
      <c r="A35" s="35">
        <v>8</v>
      </c>
      <c r="B35" s="36" t="s">
        <v>151</v>
      </c>
      <c r="C35" s="37">
        <v>1337.7247999999997</v>
      </c>
      <c r="D35" s="38">
        <v>28.14</v>
      </c>
      <c r="E35" s="38">
        <v>28.16</v>
      </c>
      <c r="F35" s="38">
        <v>2</v>
      </c>
      <c r="G35" s="37">
        <v>662.24</v>
      </c>
      <c r="H35" s="68">
        <f t="shared" si="5"/>
        <v>1.0717839374555793</v>
      </c>
      <c r="I35" s="37">
        <v>1337.7247999999997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2.0199999999999996</v>
      </c>
      <c r="N35" s="42">
        <f t="shared" si="9"/>
        <v>7.1783937455579233E-2</v>
      </c>
      <c r="O35" s="44" t="s">
        <v>116</v>
      </c>
      <c r="P35" s="69" t="s">
        <v>118</v>
      </c>
      <c r="Q35" s="82"/>
      <c r="R35" s="45" t="s">
        <v>100</v>
      </c>
    </row>
    <row r="36" spans="1:18" s="67" customFormat="1" ht="24.95" customHeight="1">
      <c r="A36" s="47">
        <v>9</v>
      </c>
      <c r="B36" s="36" t="s">
        <v>95</v>
      </c>
      <c r="C36" s="37">
        <v>1302.9575000000013</v>
      </c>
      <c r="D36" s="38">
        <v>187.81</v>
      </c>
      <c r="E36" s="38">
        <v>199.27</v>
      </c>
      <c r="F36" s="38">
        <v>0</v>
      </c>
      <c r="G36" s="37">
        <v>152.75</v>
      </c>
      <c r="H36" s="68">
        <f t="shared" si="5"/>
        <v>1.0610191150630957</v>
      </c>
      <c r="I36" s="37">
        <v>1750.5150000000012</v>
      </c>
      <c r="J36" s="38">
        <v>2.93</v>
      </c>
      <c r="K36" s="40">
        <f t="shared" si="6"/>
        <v>1.5600873222938077E-2</v>
      </c>
      <c r="L36" s="43">
        <f t="shared" si="7"/>
        <v>447.5575</v>
      </c>
      <c r="M36" s="41">
        <f t="shared" si="8"/>
        <v>8.5300000000000082</v>
      </c>
      <c r="N36" s="42">
        <f t="shared" si="9"/>
        <v>4.541824184015765E-2</v>
      </c>
      <c r="O36" s="44" t="s">
        <v>131</v>
      </c>
      <c r="P36" s="69" t="s">
        <v>118</v>
      </c>
      <c r="Q36" s="82"/>
      <c r="R36" s="45" t="s">
        <v>97</v>
      </c>
    </row>
    <row r="37" spans="1:18" s="67" customFormat="1" ht="24.95" customHeight="1" thickBot="1">
      <c r="A37" s="48">
        <v>10</v>
      </c>
      <c r="B37" s="49" t="s">
        <v>184</v>
      </c>
      <c r="C37" s="50">
        <v>1289.9897999999998</v>
      </c>
      <c r="D37" s="51">
        <v>34.93</v>
      </c>
      <c r="E37" s="51">
        <v>35.31</v>
      </c>
      <c r="F37" s="51">
        <v>2.0499999999999998</v>
      </c>
      <c r="G37" s="50">
        <v>530.86</v>
      </c>
      <c r="H37" s="70">
        <f t="shared" si="5"/>
        <v>1.069567706842256</v>
      </c>
      <c r="I37" s="50">
        <v>1289.9897999999998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2.4299999999999997</v>
      </c>
      <c r="N37" s="55">
        <f t="shared" si="9"/>
        <v>6.9567706842255939E-2</v>
      </c>
      <c r="O37" s="57" t="s">
        <v>131</v>
      </c>
      <c r="P37" s="83" t="s">
        <v>118</v>
      </c>
      <c r="Q37" s="84"/>
      <c r="R37" s="58" t="s">
        <v>185</v>
      </c>
    </row>
    <row r="38" spans="1:18" ht="15.75" customHeight="1" thickBot="1"/>
    <row r="39" spans="1:18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8" ht="26.1" customHeight="1">
      <c r="A40" s="96" t="s">
        <v>63</v>
      </c>
      <c r="B40" s="97"/>
      <c r="C40" s="97"/>
      <c r="D40" s="98"/>
      <c r="E40" s="71"/>
      <c r="G40" s="74"/>
    </row>
    <row r="41" spans="1:18" ht="25.5" customHeight="1">
      <c r="A41" s="99" t="s">
        <v>69</v>
      </c>
      <c r="B41" s="100" t="s">
        <v>70</v>
      </c>
      <c r="C41" s="100"/>
      <c r="D41" s="101"/>
      <c r="E41" s="71"/>
    </row>
    <row r="42" spans="1:18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8" ht="20.45" customHeight="1">
      <c r="A43" s="99"/>
      <c r="B43" s="102"/>
      <c r="C43" s="103"/>
      <c r="D43" s="104"/>
      <c r="E43" s="71"/>
    </row>
    <row r="44" spans="1:18" s="78" customFormat="1" ht="24.95" customHeight="1">
      <c r="A44" s="75">
        <v>1</v>
      </c>
      <c r="B44" s="36" t="s">
        <v>106</v>
      </c>
      <c r="C44" s="37">
        <v>318.02879999999999</v>
      </c>
      <c r="D44" s="76">
        <f t="shared" ref="D44:D53" si="10">C44/$L$5</f>
        <v>0.12283552410735918</v>
      </c>
      <c r="E44" s="77"/>
    </row>
    <row r="45" spans="1:18" s="78" customFormat="1" ht="24.95" customHeight="1">
      <c r="A45" s="79">
        <v>2</v>
      </c>
      <c r="B45" s="36" t="s">
        <v>168</v>
      </c>
      <c r="C45" s="37">
        <v>296.64999999999998</v>
      </c>
      <c r="D45" s="76">
        <f t="shared" si="10"/>
        <v>0.11457817099095459</v>
      </c>
      <c r="E45" s="77"/>
    </row>
    <row r="46" spans="1:18" s="78" customFormat="1" ht="24.95" customHeight="1">
      <c r="A46" s="79">
        <v>3</v>
      </c>
      <c r="B46" s="36" t="s">
        <v>137</v>
      </c>
      <c r="C46" s="37">
        <v>296.45000000000005</v>
      </c>
      <c r="D46" s="76">
        <f t="shared" si="10"/>
        <v>0.11450092294039607</v>
      </c>
      <c r="E46" s="77"/>
    </row>
    <row r="47" spans="1:18" s="78" customFormat="1" ht="24.95" customHeight="1">
      <c r="A47" s="75">
        <v>4</v>
      </c>
      <c r="B47" s="36" t="s">
        <v>138</v>
      </c>
      <c r="C47" s="37">
        <v>294.83999999999997</v>
      </c>
      <c r="D47" s="76">
        <f t="shared" si="10"/>
        <v>0.1138790761333998</v>
      </c>
      <c r="E47" s="77"/>
    </row>
    <row r="48" spans="1:18" s="78" customFormat="1" ht="24.95" customHeight="1">
      <c r="A48" s="79">
        <v>5</v>
      </c>
      <c r="B48" s="36" t="s">
        <v>141</v>
      </c>
      <c r="C48" s="37">
        <v>230.65</v>
      </c>
      <c r="D48" s="76">
        <f t="shared" si="10"/>
        <v>8.9086314306636369E-2</v>
      </c>
      <c r="E48" s="77"/>
    </row>
    <row r="49" spans="1:5" s="78" customFormat="1" ht="24.95" customHeight="1">
      <c r="A49" s="75">
        <v>6</v>
      </c>
      <c r="B49" s="36" t="s">
        <v>158</v>
      </c>
      <c r="C49" s="37">
        <v>228.58199999999999</v>
      </c>
      <c r="D49" s="76">
        <f t="shared" si="10"/>
        <v>8.8287569463861057E-2</v>
      </c>
      <c r="E49" s="77"/>
    </row>
    <row r="50" spans="1:5" s="78" customFormat="1" ht="24.95" customHeight="1">
      <c r="A50" s="79">
        <v>7</v>
      </c>
      <c r="B50" s="36" t="s">
        <v>159</v>
      </c>
      <c r="C50" s="37">
        <v>162.21</v>
      </c>
      <c r="D50" s="76">
        <f t="shared" si="10"/>
        <v>6.2652031405503947E-2</v>
      </c>
      <c r="E50" s="77"/>
    </row>
    <row r="51" spans="1:5" s="78" customFormat="1" ht="24.95" customHeight="1">
      <c r="A51" s="75">
        <v>8</v>
      </c>
      <c r="B51" s="36" t="s">
        <v>140</v>
      </c>
      <c r="C51" s="37">
        <v>160</v>
      </c>
      <c r="D51" s="76">
        <f t="shared" si="10"/>
        <v>6.1798440446832074E-2</v>
      </c>
      <c r="E51" s="77"/>
    </row>
    <row r="52" spans="1:5" s="78" customFormat="1" ht="24.95" customHeight="1">
      <c r="A52" s="79">
        <v>9</v>
      </c>
      <c r="B52" s="36" t="s">
        <v>139</v>
      </c>
      <c r="C52" s="37">
        <v>134.232</v>
      </c>
      <c r="D52" s="76">
        <f t="shared" si="10"/>
        <v>5.1845801612869773E-2</v>
      </c>
      <c r="E52" s="77"/>
    </row>
    <row r="53" spans="1:5" s="78" customFormat="1" ht="24.95" customHeight="1" thickBot="1">
      <c r="A53" s="80">
        <v>10</v>
      </c>
      <c r="B53" s="49" t="s">
        <v>142</v>
      </c>
      <c r="C53" s="50">
        <v>99.366</v>
      </c>
      <c r="D53" s="81">
        <f t="shared" si="10"/>
        <v>3.8379148958999479E-2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917" priority="34" operator="containsText" text="中華">
      <formula>NOT(ISERROR(SEARCH("中華",A12)))</formula>
    </cfRule>
    <cfRule type="containsText" dxfId="916" priority="33" operator="containsText" text="湯凍">
      <formula>NOT(ISERROR(SEARCH("湯凍",A12)))</formula>
    </cfRule>
    <cfRule type="containsText" dxfId="915" priority="32" operator="containsText" text=")川燙小青花菜">
      <formula>NOT(ISERROR(SEARCH(")川燙小青花菜",A12)))</formula>
    </cfRule>
    <cfRule type="containsText" dxfId="914" priority="31" operator="containsText" text="青蔥">
      <formula>NOT(ISERROR(SEARCH("青蔥",A12)))</formula>
    </cfRule>
    <cfRule type="containsText" dxfId="913" priority="30" operator="containsText" text="白醬">
      <formula>NOT(ISERROR(SEARCH("白醬",A12)))</formula>
    </cfRule>
    <cfRule type="containsText" dxfId="912" priority="29" operator="containsText" text="024">
      <formula>NOT(ISERROR(SEARCH("024",A12)))</formula>
    </cfRule>
    <cfRule type="containsText" dxfId="911" priority="28" operator="containsText" text="煮白細麵生(方#12)">
      <formula>NOT(ISERROR(SEARCH("煮白細麵生(方#12)",A12)))</formula>
    </cfRule>
    <cfRule type="containsText" dxfId="910" priority="27" operator="containsText" text="綠豆芽">
      <formula>NOT(ISERROR(SEARCH("綠豆芽",A12)))</formula>
    </cfRule>
  </conditionalFormatting>
  <conditionalFormatting sqref="A28:A37">
    <cfRule type="containsText" dxfId="909" priority="5" operator="containsText" text="綠豆芽">
      <formula>NOT(ISERROR(SEARCH("綠豆芽",A28)))</formula>
    </cfRule>
    <cfRule type="containsText" dxfId="908" priority="6" operator="containsText" text="煮白細麵生(方#12)">
      <formula>NOT(ISERROR(SEARCH("煮白細麵生(方#12)",A28)))</formula>
    </cfRule>
    <cfRule type="containsText" dxfId="907" priority="7" operator="containsText" text="024">
      <formula>NOT(ISERROR(SEARCH("024",A28)))</formula>
    </cfRule>
    <cfRule type="containsText" dxfId="906" priority="8" operator="containsText" text="白醬">
      <formula>NOT(ISERROR(SEARCH("白醬",A28)))</formula>
    </cfRule>
    <cfRule type="containsText" dxfId="905" priority="9" operator="containsText" text="青蔥">
      <formula>NOT(ISERROR(SEARCH("青蔥",A28)))</formula>
    </cfRule>
    <cfRule type="containsText" dxfId="904" priority="10" operator="containsText" text=")川燙小青花菜">
      <formula>NOT(ISERROR(SEARCH(")川燙小青花菜",A28)))</formula>
    </cfRule>
    <cfRule type="containsText" dxfId="903" priority="11" operator="containsText" text="湯凍">
      <formula>NOT(ISERROR(SEARCH("湯凍",A28)))</formula>
    </cfRule>
    <cfRule type="containsText" dxfId="902" priority="12" operator="containsText" text="中華">
      <formula>NOT(ISERROR(SEARCH("中華",A28)))</formula>
    </cfRule>
  </conditionalFormatting>
  <conditionalFormatting sqref="A44:A53">
    <cfRule type="containsText" dxfId="901" priority="17" operator="containsText" text="綠豆芽">
      <formula>NOT(ISERROR(SEARCH("綠豆芽",A44)))</formula>
    </cfRule>
    <cfRule type="containsText" dxfId="900" priority="18" operator="containsText" text="煮白細麵生(方#12)">
      <formula>NOT(ISERROR(SEARCH("煮白細麵生(方#12)",A44)))</formula>
    </cfRule>
    <cfRule type="containsText" dxfId="899" priority="19" operator="containsText" text="024">
      <formula>NOT(ISERROR(SEARCH("024",A44)))</formula>
    </cfRule>
    <cfRule type="containsText" dxfId="898" priority="20" operator="containsText" text="白醬">
      <formula>NOT(ISERROR(SEARCH("白醬",A44)))</formula>
    </cfRule>
    <cfRule type="containsText" dxfId="897" priority="21" operator="containsText" text="青蔥">
      <formula>NOT(ISERROR(SEARCH("青蔥",A44)))</formula>
    </cfRule>
    <cfRule type="containsText" dxfId="896" priority="22" operator="containsText" text=")川燙小青花菜">
      <formula>NOT(ISERROR(SEARCH(")川燙小青花菜",A44)))</formula>
    </cfRule>
    <cfRule type="containsText" dxfId="895" priority="23" operator="containsText" text="湯凍">
      <formula>NOT(ISERROR(SEARCH("湯凍",A44)))</formula>
    </cfRule>
    <cfRule type="containsText" dxfId="894" priority="24" operator="containsText" text="中華">
      <formula>NOT(ISERROR(SEARCH("中華",A44)))</formula>
    </cfRule>
  </conditionalFormatting>
  <conditionalFormatting sqref="D44:D53">
    <cfRule type="cellIs" dxfId="893" priority="16" operator="greaterThan">
      <formula>0.146</formula>
    </cfRule>
  </conditionalFormatting>
  <conditionalFormatting sqref="E5">
    <cfRule type="cellIs" dxfId="892" priority="25" operator="greaterThan">
      <formula>0.072</formula>
    </cfRule>
    <cfRule type="cellIs" dxfId="891" priority="26" operator="greaterThan">
      <formula>7.2</formula>
    </cfRule>
    <cfRule type="cellIs" dxfId="890" priority="14" operator="greaterThan">
      <formula>0.0025</formula>
    </cfRule>
  </conditionalFormatting>
  <conditionalFormatting sqref="G5">
    <cfRule type="cellIs" dxfId="889" priority="3" operator="greaterThan">
      <formula>7.2</formula>
    </cfRule>
    <cfRule type="cellIs" dxfId="888" priority="2" operator="greaterThan">
      <formula>0.072</formula>
    </cfRule>
    <cfRule type="cellIs" dxfId="887" priority="1" operator="greaterThan">
      <formula>0.0025</formula>
    </cfRule>
  </conditionalFormatting>
  <conditionalFormatting sqref="H12:H22">
    <cfRule type="cellIs" dxfId="886" priority="15" operator="greaterThan">
      <formula>1.1</formula>
    </cfRule>
  </conditionalFormatting>
  <conditionalFormatting sqref="H28:H37">
    <cfRule type="cellIs" dxfId="885" priority="4" operator="greaterThan">
      <formula>1.1</formula>
    </cfRule>
  </conditionalFormatting>
  <conditionalFormatting sqref="I5">
    <cfRule type="cellIs" dxfId="88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9B809-1CDB-47BB-8C2B-7718B1F1C8FB}">
  <sheetPr>
    <tabColor rgb="FFFF0000"/>
    <pageSetUpPr fitToPage="1"/>
  </sheetPr>
  <dimension ref="A1:R56"/>
  <sheetViews>
    <sheetView zoomScale="70" zoomScaleNormal="70" workbookViewId="0">
      <selection activeCell="L5" sqref="L5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24" style="18" bestFit="1" customWidth="1"/>
    <col min="17" max="17" width="55.25" style="18" bestFit="1" customWidth="1"/>
    <col min="18" max="18" width="41.75" style="18" customWidth="1"/>
    <col min="19" max="16384" width="9" style="18"/>
  </cols>
  <sheetData>
    <row r="1" spans="1:18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8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8" s="20" customFormat="1" ht="28.5">
      <c r="A3" s="149">
        <v>45895</v>
      </c>
      <c r="B3" s="150"/>
      <c r="C3" s="151">
        <v>7423824.2000000002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8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8" ht="46.5" customHeight="1" thickBot="1">
      <c r="A5" s="146" t="s">
        <v>61</v>
      </c>
      <c r="B5" s="147"/>
      <c r="C5" s="147"/>
      <c r="D5" s="24">
        <v>17888.274300000005</v>
      </c>
      <c r="E5" s="25">
        <f>D5/C3</f>
        <v>2.4095767650316939E-3</v>
      </c>
      <c r="F5" s="24">
        <v>58011.728800000019</v>
      </c>
      <c r="G5" s="26">
        <f>F5/C3</f>
        <v>7.8142648905937216E-3</v>
      </c>
      <c r="H5" s="27">
        <f>SUM(C12:C21)</f>
        <v>2865.4102999999996</v>
      </c>
      <c r="I5" s="28">
        <f>H5/D5</f>
        <v>0.16018371878387391</v>
      </c>
      <c r="J5" s="27">
        <f>SUM(C28:C37)</f>
        <v>20404.952999999998</v>
      </c>
      <c r="K5" s="29">
        <f>J5/F5</f>
        <v>0.35173840569977965</v>
      </c>
      <c r="L5" s="30">
        <v>2550.2186000000002</v>
      </c>
      <c r="M5" s="31">
        <f>L5/D5</f>
        <v>0.14256370163107346</v>
      </c>
    </row>
    <row r="6" spans="1:18" ht="46.5" customHeight="1" thickBot="1"/>
    <row r="7" spans="1:18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148"/>
      <c r="R7" s="95"/>
    </row>
    <row r="8" spans="1:18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28" t="s">
        <v>66</v>
      </c>
      <c r="Q8" s="100" t="s">
        <v>67</v>
      </c>
      <c r="R8" s="104" t="s">
        <v>68</v>
      </c>
    </row>
    <row r="9" spans="1:18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0"/>
      <c r="R9" s="104"/>
    </row>
    <row r="10" spans="1:18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0"/>
      <c r="R10" s="104"/>
    </row>
    <row r="11" spans="1:18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0"/>
      <c r="R11" s="104"/>
    </row>
    <row r="12" spans="1:18" s="46" customFormat="1" ht="24.95" customHeight="1">
      <c r="A12" s="35">
        <v>1</v>
      </c>
      <c r="B12" s="36" t="s">
        <v>91</v>
      </c>
      <c r="C12" s="37">
        <v>556.19999999999993</v>
      </c>
      <c r="D12" s="38">
        <v>4021</v>
      </c>
      <c r="E12" s="38">
        <v>4057</v>
      </c>
      <c r="F12" s="38">
        <v>0</v>
      </c>
      <c r="G12" s="37">
        <v>15.45</v>
      </c>
      <c r="H12" s="39">
        <f>(E12+F12)/D12</f>
        <v>1.0089529967669735</v>
      </c>
      <c r="I12" s="37">
        <v>556.19999999999993</v>
      </c>
      <c r="J12" s="38">
        <v>36</v>
      </c>
      <c r="K12" s="40">
        <f>J12/D12</f>
        <v>8.9529967669733888E-3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92</v>
      </c>
      <c r="Q12" s="44" t="s">
        <v>93</v>
      </c>
      <c r="R12" s="45" t="s">
        <v>94</v>
      </c>
    </row>
    <row r="13" spans="1:18" s="46" customFormat="1" ht="24.95" customHeight="1">
      <c r="A13" s="47">
        <v>2</v>
      </c>
      <c r="B13" s="36" t="s">
        <v>186</v>
      </c>
      <c r="C13" s="37">
        <v>282.60540000000003</v>
      </c>
      <c r="D13" s="38">
        <v>84.28</v>
      </c>
      <c r="E13" s="38">
        <v>89.22</v>
      </c>
      <c r="F13" s="38">
        <v>0</v>
      </c>
      <c r="G13" s="37">
        <v>61.17</v>
      </c>
      <c r="H13" s="39">
        <f t="shared" ref="H13:H21" si="1">(E13+F13)/D13</f>
        <v>1.0586141433317513</v>
      </c>
      <c r="I13" s="37">
        <v>302.17979999999989</v>
      </c>
      <c r="J13" s="38">
        <v>4.62</v>
      </c>
      <c r="K13" s="40">
        <f>J13/D13</f>
        <v>5.4817275747508304E-2</v>
      </c>
      <c r="L13" s="41">
        <f t="shared" ref="L13:L21" si="2">((E13+F13)-D13)-J13</f>
        <v>0.31999999999999762</v>
      </c>
      <c r="M13" s="42">
        <f t="shared" ref="M13:M21" si="3">L13/D13</f>
        <v>3.7968675842429711E-3</v>
      </c>
      <c r="N13" s="43">
        <f t="shared" si="0"/>
        <v>19.574399999999855</v>
      </c>
      <c r="O13" s="44" t="s">
        <v>88</v>
      </c>
      <c r="P13" s="44" t="s">
        <v>187</v>
      </c>
      <c r="Q13" s="44" t="s">
        <v>188</v>
      </c>
      <c r="R13" s="45" t="s">
        <v>189</v>
      </c>
    </row>
    <row r="14" spans="1:18" s="46" customFormat="1" ht="24.95" customHeight="1">
      <c r="A14" s="47">
        <v>3</v>
      </c>
      <c r="B14" s="36" t="s">
        <v>150</v>
      </c>
      <c r="C14" s="37">
        <v>270.58969999999994</v>
      </c>
      <c r="D14" s="38">
        <v>119.45</v>
      </c>
      <c r="E14" s="38">
        <v>122.74</v>
      </c>
      <c r="F14" s="38">
        <v>0</v>
      </c>
      <c r="G14" s="37">
        <v>141.66999999999999</v>
      </c>
      <c r="H14" s="39">
        <f>(E14+F14)/D14</f>
        <v>1.0275429049811635</v>
      </c>
      <c r="I14" s="37">
        <v>466.09429999999884</v>
      </c>
      <c r="J14" s="38">
        <v>1.91</v>
      </c>
      <c r="K14" s="40">
        <f t="shared" ref="K14:K21" si="4">J14/D14</f>
        <v>1.5989953955629969E-2</v>
      </c>
      <c r="L14" s="41">
        <f t="shared" si="2"/>
        <v>1.3799999999999921</v>
      </c>
      <c r="M14" s="42">
        <f t="shared" si="3"/>
        <v>1.155295102553363E-2</v>
      </c>
      <c r="N14" s="43">
        <f t="shared" si="0"/>
        <v>195.50459999999887</v>
      </c>
      <c r="O14" s="44" t="s">
        <v>88</v>
      </c>
      <c r="P14" s="69" t="s">
        <v>89</v>
      </c>
      <c r="Q14" s="82"/>
      <c r="R14" s="45" t="s">
        <v>133</v>
      </c>
    </row>
    <row r="15" spans="1:18" s="46" customFormat="1" ht="24.95" customHeight="1">
      <c r="A15" s="35">
        <v>4</v>
      </c>
      <c r="B15" s="36" t="s">
        <v>104</v>
      </c>
      <c r="C15" s="37">
        <v>269.61439999999999</v>
      </c>
      <c r="D15" s="38">
        <v>48.8</v>
      </c>
      <c r="E15" s="38">
        <v>52.07</v>
      </c>
      <c r="F15" s="38">
        <v>0</v>
      </c>
      <c r="G15" s="37">
        <v>153.19</v>
      </c>
      <c r="H15" s="39">
        <f>(E15+F15)/D15</f>
        <v>1.0670081967213116</v>
      </c>
      <c r="I15" s="37">
        <v>500.93130000000048</v>
      </c>
      <c r="J15" s="38">
        <v>1.76</v>
      </c>
      <c r="K15" s="40">
        <f t="shared" si="4"/>
        <v>3.6065573770491806E-2</v>
      </c>
      <c r="L15" s="41">
        <f t="shared" si="2"/>
        <v>1.5100000000000031</v>
      </c>
      <c r="M15" s="42">
        <f t="shared" si="3"/>
        <v>3.0942622950819738E-2</v>
      </c>
      <c r="N15" s="43">
        <f t="shared" si="0"/>
        <v>231.31690000000049</v>
      </c>
      <c r="O15" s="44" t="s">
        <v>88</v>
      </c>
      <c r="P15" s="69" t="s">
        <v>175</v>
      </c>
      <c r="Q15" s="82"/>
      <c r="R15" s="45" t="s">
        <v>105</v>
      </c>
    </row>
    <row r="16" spans="1:18" s="46" customFormat="1" ht="24.95" customHeight="1">
      <c r="A16" s="47">
        <v>5</v>
      </c>
      <c r="B16" s="36" t="s">
        <v>168</v>
      </c>
      <c r="C16" s="37">
        <v>260.95</v>
      </c>
      <c r="D16" s="38">
        <v>11163</v>
      </c>
      <c r="E16" s="38">
        <v>11470</v>
      </c>
      <c r="F16" s="38">
        <v>0</v>
      </c>
      <c r="G16" s="37">
        <v>0.85</v>
      </c>
      <c r="H16" s="39">
        <f t="shared" si="1"/>
        <v>1.0275015676789394</v>
      </c>
      <c r="I16" s="37">
        <v>260.95</v>
      </c>
      <c r="J16" s="38">
        <v>307</v>
      </c>
      <c r="K16" s="40">
        <f t="shared" si="4"/>
        <v>2.7501567678939354E-2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88</v>
      </c>
      <c r="P16" s="44" t="s">
        <v>99</v>
      </c>
      <c r="Q16" s="82"/>
      <c r="R16" s="45" t="s">
        <v>103</v>
      </c>
    </row>
    <row r="17" spans="1:18" s="46" customFormat="1" ht="24.95" customHeight="1">
      <c r="A17" s="35">
        <v>6</v>
      </c>
      <c r="B17" s="36" t="s">
        <v>164</v>
      </c>
      <c r="C17" s="37">
        <v>259.85300000000001</v>
      </c>
      <c r="D17" s="38">
        <v>21.58</v>
      </c>
      <c r="E17" s="38">
        <v>22.68</v>
      </c>
      <c r="F17" s="38">
        <v>0</v>
      </c>
      <c r="G17" s="37">
        <v>236.23</v>
      </c>
      <c r="H17" s="39">
        <f t="shared" si="1"/>
        <v>1.0509731232622799</v>
      </c>
      <c r="I17" s="37">
        <v>259.85300000000035</v>
      </c>
      <c r="J17" s="38">
        <v>1.1000000000000001</v>
      </c>
      <c r="K17" s="40">
        <f t="shared" si="4"/>
        <v>5.0973123262279894E-2</v>
      </c>
      <c r="L17" s="41">
        <f t="shared" si="2"/>
        <v>0</v>
      </c>
      <c r="M17" s="42">
        <f t="shared" si="3"/>
        <v>0</v>
      </c>
      <c r="N17" s="43">
        <f t="shared" si="0"/>
        <v>0</v>
      </c>
      <c r="O17" s="44" t="s">
        <v>88</v>
      </c>
      <c r="P17" s="44" t="s">
        <v>175</v>
      </c>
      <c r="Q17" s="44"/>
      <c r="R17" s="45" t="s">
        <v>124</v>
      </c>
    </row>
    <row r="18" spans="1:18" s="46" customFormat="1" ht="24.95" customHeight="1">
      <c r="A18" s="47">
        <v>7</v>
      </c>
      <c r="B18" s="36" t="s">
        <v>148</v>
      </c>
      <c r="C18" s="37">
        <v>246.10079999999999</v>
      </c>
      <c r="D18" s="38">
        <v>34.64</v>
      </c>
      <c r="E18" s="38">
        <v>36.06</v>
      </c>
      <c r="F18" s="38">
        <v>0</v>
      </c>
      <c r="G18" s="37">
        <v>208.56</v>
      </c>
      <c r="H18" s="39">
        <f t="shared" si="1"/>
        <v>1.0409930715935336</v>
      </c>
      <c r="I18" s="37">
        <v>296.15520000000038</v>
      </c>
      <c r="J18" s="38">
        <v>1.18</v>
      </c>
      <c r="K18" s="40">
        <f t="shared" si="4"/>
        <v>3.4064665127020784E-2</v>
      </c>
      <c r="L18" s="41">
        <f>((E18+F18)-D18)-J18</f>
        <v>0.24000000000000177</v>
      </c>
      <c r="M18" s="42">
        <f t="shared" si="3"/>
        <v>6.9284064665127527E-3</v>
      </c>
      <c r="N18" s="43">
        <f t="shared" si="0"/>
        <v>50.054400000000371</v>
      </c>
      <c r="O18" s="44" t="s">
        <v>88</v>
      </c>
      <c r="P18" s="69" t="s">
        <v>89</v>
      </c>
      <c r="Q18" s="82"/>
      <c r="R18" s="45" t="s">
        <v>149</v>
      </c>
    </row>
    <row r="19" spans="1:18" s="46" customFormat="1" ht="24.95" customHeight="1">
      <c r="A19" s="35">
        <v>8</v>
      </c>
      <c r="B19" s="36" t="s">
        <v>190</v>
      </c>
      <c r="C19" s="37">
        <v>244.02999999999997</v>
      </c>
      <c r="D19" s="38">
        <v>602</v>
      </c>
      <c r="E19" s="38">
        <v>625</v>
      </c>
      <c r="F19" s="38">
        <v>0</v>
      </c>
      <c r="G19" s="37">
        <v>10.61</v>
      </c>
      <c r="H19" s="39">
        <f t="shared" si="1"/>
        <v>1.0382059800664452</v>
      </c>
      <c r="I19" s="37">
        <v>244.02999999999997</v>
      </c>
      <c r="J19" s="38">
        <v>23</v>
      </c>
      <c r="K19" s="40">
        <f t="shared" si="4"/>
        <v>3.8205980066445183E-2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88</v>
      </c>
      <c r="P19" s="44" t="s">
        <v>99</v>
      </c>
      <c r="Q19" s="44"/>
      <c r="R19" s="45" t="s">
        <v>189</v>
      </c>
    </row>
    <row r="20" spans="1:18" s="46" customFormat="1" ht="24.95" customHeight="1">
      <c r="A20" s="47">
        <v>9</v>
      </c>
      <c r="B20" s="36" t="s">
        <v>98</v>
      </c>
      <c r="C20" s="37">
        <v>239.43</v>
      </c>
      <c r="D20" s="38">
        <v>4809</v>
      </c>
      <c r="E20" s="38">
        <v>4700</v>
      </c>
      <c r="F20" s="38">
        <v>132</v>
      </c>
      <c r="G20" s="37">
        <v>10.41</v>
      </c>
      <c r="H20" s="39">
        <f t="shared" si="1"/>
        <v>1.0047826991058433</v>
      </c>
      <c r="I20" s="37">
        <v>239.43</v>
      </c>
      <c r="J20" s="38">
        <v>23</v>
      </c>
      <c r="K20" s="40">
        <f t="shared" si="4"/>
        <v>4.7826991058432106E-3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88</v>
      </c>
      <c r="P20" s="44" t="s">
        <v>99</v>
      </c>
      <c r="Q20" s="82"/>
      <c r="R20" s="45" t="s">
        <v>100</v>
      </c>
    </row>
    <row r="21" spans="1:18" s="46" customFormat="1" ht="24.95" customHeight="1" thickBot="1">
      <c r="A21" s="48">
        <v>10</v>
      </c>
      <c r="B21" s="49" t="s">
        <v>106</v>
      </c>
      <c r="C21" s="50">
        <v>236.03700000000001</v>
      </c>
      <c r="D21" s="51">
        <v>36.07</v>
      </c>
      <c r="E21" s="51">
        <v>37.72</v>
      </c>
      <c r="F21" s="51">
        <v>0</v>
      </c>
      <c r="G21" s="50">
        <v>248.46</v>
      </c>
      <c r="H21" s="52">
        <f t="shared" si="1"/>
        <v>1.0457443859162738</v>
      </c>
      <c r="I21" s="50">
        <v>409.95899999999966</v>
      </c>
      <c r="J21" s="51">
        <v>0.95</v>
      </c>
      <c r="K21" s="53">
        <f t="shared" si="4"/>
        <v>2.6337676739672859E-2</v>
      </c>
      <c r="L21" s="54">
        <f t="shared" si="2"/>
        <v>0.69999999999999862</v>
      </c>
      <c r="M21" s="55">
        <f t="shared" si="3"/>
        <v>1.9406709176601016E-2</v>
      </c>
      <c r="N21" s="56">
        <f t="shared" si="0"/>
        <v>173.92199999999966</v>
      </c>
      <c r="O21" s="57" t="s">
        <v>88</v>
      </c>
      <c r="P21" s="57" t="s">
        <v>89</v>
      </c>
      <c r="Q21" s="57"/>
      <c r="R21" s="58" t="s">
        <v>103</v>
      </c>
    </row>
    <row r="22" spans="1:18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20"/>
    </row>
    <row r="24" spans="1:18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8" t="s">
        <v>66</v>
      </c>
      <c r="Q24" s="100" t="s">
        <v>67</v>
      </c>
      <c r="R24" s="129" t="s">
        <v>68</v>
      </c>
    </row>
    <row r="25" spans="1:18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00"/>
      <c r="Q25" s="100"/>
      <c r="R25" s="130"/>
    </row>
    <row r="26" spans="1:18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00"/>
      <c r="Q26" s="100"/>
      <c r="R26" s="130"/>
    </row>
    <row r="27" spans="1:18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00"/>
      <c r="Q27" s="100"/>
      <c r="R27" s="131"/>
    </row>
    <row r="28" spans="1:18" s="67" customFormat="1" ht="24.95" customHeight="1">
      <c r="A28" s="35">
        <v>1</v>
      </c>
      <c r="B28" s="36" t="s">
        <v>179</v>
      </c>
      <c r="C28" s="37">
        <v>3624.8085999999944</v>
      </c>
      <c r="D28" s="38">
        <v>204.02</v>
      </c>
      <c r="E28" s="38">
        <v>202.41</v>
      </c>
      <c r="F28" s="38">
        <v>10.5</v>
      </c>
      <c r="G28" s="37">
        <v>407.74</v>
      </c>
      <c r="H28" s="68">
        <f t="shared" ref="H28:H37" si="5">(E28+F28)/D28</f>
        <v>1.0435741593961376</v>
      </c>
      <c r="I28" s="37">
        <v>3624.8085999999944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8.8899999999999864</v>
      </c>
      <c r="N28" s="42">
        <f t="shared" ref="N28:N37" si="9">M28/D28</f>
        <v>4.3574159396137561E-2</v>
      </c>
      <c r="O28" s="44" t="s">
        <v>116</v>
      </c>
      <c r="P28" s="44" t="s">
        <v>120</v>
      </c>
      <c r="Q28" s="82" t="s">
        <v>132</v>
      </c>
      <c r="R28" s="45" t="s">
        <v>180</v>
      </c>
    </row>
    <row r="29" spans="1:18" s="67" customFormat="1" ht="24.95" customHeight="1">
      <c r="A29" s="47">
        <v>2</v>
      </c>
      <c r="B29" s="36" t="s">
        <v>142</v>
      </c>
      <c r="C29" s="37">
        <v>2563.6427999999937</v>
      </c>
      <c r="D29" s="38">
        <v>83.51</v>
      </c>
      <c r="E29" s="38">
        <v>82.6</v>
      </c>
      <c r="F29" s="38">
        <v>4.78</v>
      </c>
      <c r="G29" s="37">
        <v>662.44</v>
      </c>
      <c r="H29" s="68">
        <f t="shared" si="5"/>
        <v>1.0463417554783856</v>
      </c>
      <c r="I29" s="37">
        <v>2563.6427999999937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3.8699999999999903</v>
      </c>
      <c r="N29" s="42">
        <f t="shared" si="9"/>
        <v>4.6341755478385704E-2</v>
      </c>
      <c r="O29" s="44" t="s">
        <v>116</v>
      </c>
      <c r="P29" s="69" t="s">
        <v>118</v>
      </c>
      <c r="Q29" s="82"/>
      <c r="R29" s="45" t="s">
        <v>103</v>
      </c>
    </row>
    <row r="30" spans="1:18" s="67" customFormat="1" ht="24.95" customHeight="1">
      <c r="A30" s="47">
        <v>3</v>
      </c>
      <c r="B30" s="36" t="s">
        <v>117</v>
      </c>
      <c r="C30" s="37">
        <v>2487.6026999999995</v>
      </c>
      <c r="D30" s="38">
        <v>117.69</v>
      </c>
      <c r="E30" s="38">
        <v>123.52</v>
      </c>
      <c r="F30" s="38">
        <v>0</v>
      </c>
      <c r="G30" s="37">
        <v>426.69</v>
      </c>
      <c r="H30" s="68">
        <f t="shared" si="5"/>
        <v>1.049536919024556</v>
      </c>
      <c r="I30" s="37">
        <v>2487.6026999999995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5.8299999999999983</v>
      </c>
      <c r="N30" s="42">
        <f t="shared" si="9"/>
        <v>4.9536919024556023E-2</v>
      </c>
      <c r="O30" s="44" t="s">
        <v>116</v>
      </c>
      <c r="P30" s="69" t="s">
        <v>118</v>
      </c>
      <c r="Q30" s="82"/>
      <c r="R30" s="45" t="s">
        <v>97</v>
      </c>
    </row>
    <row r="31" spans="1:18" s="67" customFormat="1" ht="24.95" customHeight="1">
      <c r="A31" s="35">
        <v>4</v>
      </c>
      <c r="B31" s="36" t="s">
        <v>123</v>
      </c>
      <c r="C31" s="37">
        <v>2126.2513000000004</v>
      </c>
      <c r="D31" s="38">
        <v>48.56</v>
      </c>
      <c r="E31" s="38">
        <v>48.93</v>
      </c>
      <c r="F31" s="38">
        <v>2.7</v>
      </c>
      <c r="G31" s="37">
        <v>692.59</v>
      </c>
      <c r="H31" s="68">
        <f t="shared" si="5"/>
        <v>1.0632207578253707</v>
      </c>
      <c r="I31" s="37">
        <v>2126.2513000000004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3.0700000000000003</v>
      </c>
      <c r="N31" s="42">
        <f t="shared" si="9"/>
        <v>6.3220757825370677E-2</v>
      </c>
      <c r="O31" s="44" t="s">
        <v>116</v>
      </c>
      <c r="P31" s="69" t="s">
        <v>118</v>
      </c>
      <c r="Q31" s="82"/>
      <c r="R31" s="45" t="s">
        <v>124</v>
      </c>
    </row>
    <row r="32" spans="1:18" s="67" customFormat="1" ht="24.95" customHeight="1">
      <c r="A32" s="47">
        <v>5</v>
      </c>
      <c r="B32" s="36" t="s">
        <v>155</v>
      </c>
      <c r="C32" s="37">
        <v>1959.5563000000013</v>
      </c>
      <c r="D32" s="38">
        <v>55.66</v>
      </c>
      <c r="E32" s="38">
        <v>56.01</v>
      </c>
      <c r="F32" s="38">
        <v>2.64</v>
      </c>
      <c r="G32" s="37">
        <v>655.37</v>
      </c>
      <c r="H32" s="68">
        <f t="shared" si="5"/>
        <v>1.0537190082644627</v>
      </c>
      <c r="I32" s="37">
        <v>1959.5563000000013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2.990000000000002</v>
      </c>
      <c r="N32" s="42">
        <f t="shared" si="9"/>
        <v>5.3719008264462846E-2</v>
      </c>
      <c r="O32" s="44" t="s">
        <v>116</v>
      </c>
      <c r="P32" s="69" t="s">
        <v>118</v>
      </c>
      <c r="Q32" s="82"/>
      <c r="R32" s="45" t="s">
        <v>122</v>
      </c>
    </row>
    <row r="33" spans="1:18" s="67" customFormat="1" ht="24.95" customHeight="1">
      <c r="A33" s="35">
        <v>6</v>
      </c>
      <c r="B33" s="36" t="s">
        <v>101</v>
      </c>
      <c r="C33" s="37">
        <v>1885.6296999999947</v>
      </c>
      <c r="D33" s="38">
        <v>704.17</v>
      </c>
      <c r="E33" s="38">
        <v>701.68</v>
      </c>
      <c r="F33" s="38">
        <v>15.28</v>
      </c>
      <c r="G33" s="37">
        <v>147.43</v>
      </c>
      <c r="H33" s="68">
        <f t="shared" si="5"/>
        <v>1.0181632276296917</v>
      </c>
      <c r="I33" s="37">
        <v>1885.6296999999947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12.789999999999964</v>
      </c>
      <c r="N33" s="42">
        <f t="shared" si="9"/>
        <v>1.8163227629691643E-2</v>
      </c>
      <c r="O33" s="44" t="s">
        <v>116</v>
      </c>
      <c r="P33" s="69" t="s">
        <v>48</v>
      </c>
      <c r="Q33" s="82" t="s">
        <v>102</v>
      </c>
      <c r="R33" s="45" t="s">
        <v>103</v>
      </c>
    </row>
    <row r="34" spans="1:18" s="67" customFormat="1" ht="24.95" customHeight="1">
      <c r="A34" s="47">
        <v>7</v>
      </c>
      <c r="B34" s="36" t="s">
        <v>153</v>
      </c>
      <c r="C34" s="37">
        <v>1561.5786000000012</v>
      </c>
      <c r="D34" s="38">
        <v>50.78</v>
      </c>
      <c r="E34" s="38">
        <v>51.35</v>
      </c>
      <c r="F34" s="38">
        <v>1.92</v>
      </c>
      <c r="G34" s="37">
        <v>627.14</v>
      </c>
      <c r="H34" s="68">
        <f t="shared" si="5"/>
        <v>1.0490350531705397</v>
      </c>
      <c r="I34" s="37">
        <v>1561.5786000000012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2.490000000000002</v>
      </c>
      <c r="N34" s="42">
        <f t="shared" si="9"/>
        <v>4.9035053170539619E-2</v>
      </c>
      <c r="O34" s="44" t="s">
        <v>116</v>
      </c>
      <c r="P34" s="69" t="s">
        <v>118</v>
      </c>
      <c r="Q34" s="82"/>
      <c r="R34" s="45" t="s">
        <v>154</v>
      </c>
    </row>
    <row r="35" spans="1:18" s="67" customFormat="1" ht="24.95" customHeight="1">
      <c r="A35" s="35">
        <v>8</v>
      </c>
      <c r="B35" s="36" t="s">
        <v>127</v>
      </c>
      <c r="C35" s="37">
        <v>1500.4836000000016</v>
      </c>
      <c r="D35" s="38">
        <v>315.68</v>
      </c>
      <c r="E35" s="38">
        <v>316.74</v>
      </c>
      <c r="F35" s="38">
        <v>12.8</v>
      </c>
      <c r="G35" s="37">
        <v>108.26</v>
      </c>
      <c r="H35" s="68">
        <f t="shared" si="5"/>
        <v>1.0439052204764319</v>
      </c>
      <c r="I35" s="37">
        <v>1500.4836000000016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13.860000000000014</v>
      </c>
      <c r="N35" s="42">
        <f t="shared" si="9"/>
        <v>4.3905220476431875E-2</v>
      </c>
      <c r="O35" s="44" t="s">
        <v>116</v>
      </c>
      <c r="P35" s="44" t="s">
        <v>120</v>
      </c>
      <c r="Q35" s="82" t="s">
        <v>121</v>
      </c>
      <c r="R35" s="45" t="s">
        <v>128</v>
      </c>
    </row>
    <row r="36" spans="1:18" s="67" customFormat="1" ht="24.95" customHeight="1">
      <c r="A36" s="47">
        <v>9</v>
      </c>
      <c r="B36" s="36" t="s">
        <v>130</v>
      </c>
      <c r="C36" s="37">
        <v>1405.4096000000129</v>
      </c>
      <c r="D36" s="38">
        <v>214.01</v>
      </c>
      <c r="E36" s="38">
        <v>214.18</v>
      </c>
      <c r="F36" s="38">
        <v>2.15</v>
      </c>
      <c r="G36" s="37">
        <v>605.78</v>
      </c>
      <c r="H36" s="68">
        <f t="shared" si="5"/>
        <v>1.0108406149245364</v>
      </c>
      <c r="I36" s="37">
        <v>1405.4096000000129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2.3200000000000216</v>
      </c>
      <c r="N36" s="42">
        <f t="shared" si="9"/>
        <v>1.0840614924536338E-2</v>
      </c>
      <c r="O36" s="44" t="s">
        <v>131</v>
      </c>
      <c r="P36" s="44" t="s">
        <v>120</v>
      </c>
      <c r="Q36" s="82" t="s">
        <v>132</v>
      </c>
      <c r="R36" s="45" t="s">
        <v>133</v>
      </c>
    </row>
    <row r="37" spans="1:18" s="67" customFormat="1" ht="24.95" customHeight="1" thickBot="1">
      <c r="A37" s="48">
        <v>10</v>
      </c>
      <c r="B37" s="49" t="s">
        <v>184</v>
      </c>
      <c r="C37" s="50">
        <v>1289.9897999999998</v>
      </c>
      <c r="D37" s="51">
        <v>38.29</v>
      </c>
      <c r="E37" s="51">
        <v>38.67</v>
      </c>
      <c r="F37" s="51">
        <v>2.0499999999999998</v>
      </c>
      <c r="G37" s="50">
        <v>530.86</v>
      </c>
      <c r="H37" s="70">
        <f t="shared" si="5"/>
        <v>1.0634630451815095</v>
      </c>
      <c r="I37" s="50">
        <v>1289.9897999999998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2.4299999999999997</v>
      </c>
      <c r="N37" s="55">
        <f t="shared" si="9"/>
        <v>6.3463045181509525E-2</v>
      </c>
      <c r="O37" s="57" t="s">
        <v>131</v>
      </c>
      <c r="P37" s="83" t="s">
        <v>118</v>
      </c>
      <c r="Q37" s="84"/>
      <c r="R37" s="58" t="s">
        <v>185</v>
      </c>
    </row>
    <row r="38" spans="1:18" ht="15.75" customHeight="1" thickBot="1"/>
    <row r="39" spans="1:18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8" ht="26.1" customHeight="1">
      <c r="A40" s="96" t="s">
        <v>63</v>
      </c>
      <c r="B40" s="97"/>
      <c r="C40" s="97"/>
      <c r="D40" s="98"/>
      <c r="E40" s="71"/>
      <c r="G40" s="74"/>
    </row>
    <row r="41" spans="1:18" ht="25.5" customHeight="1">
      <c r="A41" s="99" t="s">
        <v>69</v>
      </c>
      <c r="B41" s="100" t="s">
        <v>70</v>
      </c>
      <c r="C41" s="100"/>
      <c r="D41" s="101"/>
      <c r="E41" s="71"/>
    </row>
    <row r="42" spans="1:18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8" ht="20.45" customHeight="1">
      <c r="A43" s="99"/>
      <c r="B43" s="102"/>
      <c r="C43" s="103"/>
      <c r="D43" s="104"/>
      <c r="E43" s="71"/>
    </row>
    <row r="44" spans="1:18" s="78" customFormat="1" ht="24.95" customHeight="1">
      <c r="A44" s="75">
        <v>1</v>
      </c>
      <c r="B44" s="36" t="s">
        <v>168</v>
      </c>
      <c r="C44" s="37">
        <v>260.95</v>
      </c>
      <c r="D44" s="76">
        <f t="shared" ref="D44:D53" si="10">C44/$L$5</f>
        <v>0.10232456151013877</v>
      </c>
      <c r="E44" s="77"/>
    </row>
    <row r="45" spans="1:18" s="78" customFormat="1" ht="24.95" customHeight="1">
      <c r="A45" s="79">
        <v>2</v>
      </c>
      <c r="B45" s="36" t="s">
        <v>106</v>
      </c>
      <c r="C45" s="37">
        <v>236.03700000000001</v>
      </c>
      <c r="D45" s="76">
        <f t="shared" si="10"/>
        <v>9.2555595038009683E-2</v>
      </c>
      <c r="E45" s="77"/>
    </row>
    <row r="46" spans="1:18" s="78" customFormat="1" ht="24.95" customHeight="1">
      <c r="A46" s="79">
        <v>3</v>
      </c>
      <c r="B46" s="36" t="s">
        <v>137</v>
      </c>
      <c r="C46" s="37">
        <v>213.15</v>
      </c>
      <c r="D46" s="76">
        <f t="shared" si="10"/>
        <v>8.3581070265897991E-2</v>
      </c>
      <c r="E46" s="77"/>
    </row>
    <row r="47" spans="1:18" s="78" customFormat="1" ht="24.95" customHeight="1">
      <c r="A47" s="75">
        <v>4</v>
      </c>
      <c r="B47" s="36" t="s">
        <v>138</v>
      </c>
      <c r="C47" s="37">
        <v>207.08999999999997</v>
      </c>
      <c r="D47" s="76">
        <f t="shared" si="10"/>
        <v>8.120480338430594E-2</v>
      </c>
      <c r="E47" s="77"/>
    </row>
    <row r="48" spans="1:18" s="78" customFormat="1" ht="24.95" customHeight="1">
      <c r="A48" s="79">
        <v>5</v>
      </c>
      <c r="B48" s="36" t="s">
        <v>141</v>
      </c>
      <c r="C48" s="37">
        <v>197.7</v>
      </c>
      <c r="D48" s="76">
        <f t="shared" si="10"/>
        <v>7.7522766087581657E-2</v>
      </c>
      <c r="E48" s="77"/>
    </row>
    <row r="49" spans="1:5" s="78" customFormat="1" ht="24.95" customHeight="1">
      <c r="A49" s="75">
        <v>6</v>
      </c>
      <c r="B49" s="36" t="s">
        <v>191</v>
      </c>
      <c r="C49" s="37">
        <v>190.16</v>
      </c>
      <c r="D49" s="76">
        <f t="shared" si="10"/>
        <v>7.4566156799264177E-2</v>
      </c>
      <c r="E49" s="77"/>
    </row>
    <row r="50" spans="1:5" s="78" customFormat="1" ht="24.95" customHeight="1">
      <c r="A50" s="79">
        <v>7</v>
      </c>
      <c r="B50" s="36" t="s">
        <v>158</v>
      </c>
      <c r="C50" s="37">
        <v>189.21509999999998</v>
      </c>
      <c r="D50" s="76">
        <f t="shared" si="10"/>
        <v>7.4195639542429803E-2</v>
      </c>
      <c r="E50" s="77"/>
    </row>
    <row r="51" spans="1:5" s="78" customFormat="1" ht="24.95" customHeight="1">
      <c r="A51" s="75">
        <v>8</v>
      </c>
      <c r="B51" s="36" t="s">
        <v>134</v>
      </c>
      <c r="C51" s="37">
        <v>173.65700000000001</v>
      </c>
      <c r="D51" s="76">
        <f t="shared" si="10"/>
        <v>6.8094946841027668E-2</v>
      </c>
      <c r="E51" s="77"/>
    </row>
    <row r="52" spans="1:5" s="78" customFormat="1" ht="24.95" customHeight="1">
      <c r="A52" s="79">
        <v>9</v>
      </c>
      <c r="B52" s="36" t="s">
        <v>159</v>
      </c>
      <c r="C52" s="37">
        <v>162.21</v>
      </c>
      <c r="D52" s="76">
        <f t="shared" si="10"/>
        <v>6.3606312023604561E-2</v>
      </c>
      <c r="E52" s="77"/>
    </row>
    <row r="53" spans="1:5" s="78" customFormat="1" ht="24.95" customHeight="1" thickBot="1">
      <c r="A53" s="80">
        <v>10</v>
      </c>
      <c r="B53" s="49" t="s">
        <v>192</v>
      </c>
      <c r="C53" s="50">
        <v>155</v>
      </c>
      <c r="D53" s="81">
        <f t="shared" si="10"/>
        <v>6.0779103407056945E-2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883" priority="34" operator="containsText" text="中華">
      <formula>NOT(ISERROR(SEARCH("中華",A12)))</formula>
    </cfRule>
    <cfRule type="containsText" dxfId="882" priority="33" operator="containsText" text="湯凍">
      <formula>NOT(ISERROR(SEARCH("湯凍",A12)))</formula>
    </cfRule>
    <cfRule type="containsText" dxfId="881" priority="32" operator="containsText" text=")川燙小青花菜">
      <formula>NOT(ISERROR(SEARCH(")川燙小青花菜",A12)))</formula>
    </cfRule>
    <cfRule type="containsText" dxfId="880" priority="31" operator="containsText" text="青蔥">
      <formula>NOT(ISERROR(SEARCH("青蔥",A12)))</formula>
    </cfRule>
    <cfRule type="containsText" dxfId="879" priority="30" operator="containsText" text="白醬">
      <formula>NOT(ISERROR(SEARCH("白醬",A12)))</formula>
    </cfRule>
    <cfRule type="containsText" dxfId="878" priority="29" operator="containsText" text="024">
      <formula>NOT(ISERROR(SEARCH("024",A12)))</formula>
    </cfRule>
    <cfRule type="containsText" dxfId="877" priority="28" operator="containsText" text="煮白細麵生(方#12)">
      <formula>NOT(ISERROR(SEARCH("煮白細麵生(方#12)",A12)))</formula>
    </cfRule>
    <cfRule type="containsText" dxfId="876" priority="27" operator="containsText" text="綠豆芽">
      <formula>NOT(ISERROR(SEARCH("綠豆芽",A12)))</formula>
    </cfRule>
  </conditionalFormatting>
  <conditionalFormatting sqref="A28:A37">
    <cfRule type="containsText" dxfId="875" priority="5" operator="containsText" text="綠豆芽">
      <formula>NOT(ISERROR(SEARCH("綠豆芽",A28)))</formula>
    </cfRule>
    <cfRule type="containsText" dxfId="874" priority="6" operator="containsText" text="煮白細麵生(方#12)">
      <formula>NOT(ISERROR(SEARCH("煮白細麵生(方#12)",A28)))</formula>
    </cfRule>
    <cfRule type="containsText" dxfId="873" priority="7" operator="containsText" text="024">
      <formula>NOT(ISERROR(SEARCH("024",A28)))</formula>
    </cfRule>
    <cfRule type="containsText" dxfId="872" priority="8" operator="containsText" text="白醬">
      <formula>NOT(ISERROR(SEARCH("白醬",A28)))</formula>
    </cfRule>
    <cfRule type="containsText" dxfId="871" priority="9" operator="containsText" text="青蔥">
      <formula>NOT(ISERROR(SEARCH("青蔥",A28)))</formula>
    </cfRule>
    <cfRule type="containsText" dxfId="870" priority="10" operator="containsText" text=")川燙小青花菜">
      <formula>NOT(ISERROR(SEARCH(")川燙小青花菜",A28)))</formula>
    </cfRule>
    <cfRule type="containsText" dxfId="869" priority="11" operator="containsText" text="湯凍">
      <formula>NOT(ISERROR(SEARCH("湯凍",A28)))</formula>
    </cfRule>
    <cfRule type="containsText" dxfId="868" priority="12" operator="containsText" text="中華">
      <formula>NOT(ISERROR(SEARCH("中華",A28)))</formula>
    </cfRule>
  </conditionalFormatting>
  <conditionalFormatting sqref="A44:A53">
    <cfRule type="containsText" dxfId="867" priority="17" operator="containsText" text="綠豆芽">
      <formula>NOT(ISERROR(SEARCH("綠豆芽",A44)))</formula>
    </cfRule>
    <cfRule type="containsText" dxfId="866" priority="18" operator="containsText" text="煮白細麵生(方#12)">
      <formula>NOT(ISERROR(SEARCH("煮白細麵生(方#12)",A44)))</formula>
    </cfRule>
    <cfRule type="containsText" dxfId="865" priority="19" operator="containsText" text="024">
      <formula>NOT(ISERROR(SEARCH("024",A44)))</formula>
    </cfRule>
    <cfRule type="containsText" dxfId="864" priority="20" operator="containsText" text="白醬">
      <formula>NOT(ISERROR(SEARCH("白醬",A44)))</formula>
    </cfRule>
    <cfRule type="containsText" dxfId="863" priority="21" operator="containsText" text="青蔥">
      <formula>NOT(ISERROR(SEARCH("青蔥",A44)))</formula>
    </cfRule>
    <cfRule type="containsText" dxfId="862" priority="22" operator="containsText" text=")川燙小青花菜">
      <formula>NOT(ISERROR(SEARCH(")川燙小青花菜",A44)))</formula>
    </cfRule>
    <cfRule type="containsText" dxfId="861" priority="23" operator="containsText" text="湯凍">
      <formula>NOT(ISERROR(SEARCH("湯凍",A44)))</formula>
    </cfRule>
    <cfRule type="containsText" dxfId="860" priority="24" operator="containsText" text="中華">
      <formula>NOT(ISERROR(SEARCH("中華",A44)))</formula>
    </cfRule>
  </conditionalFormatting>
  <conditionalFormatting sqref="D44:D53">
    <cfRule type="cellIs" dxfId="859" priority="16" operator="greaterThan">
      <formula>0.146</formula>
    </cfRule>
  </conditionalFormatting>
  <conditionalFormatting sqref="E5">
    <cfRule type="cellIs" dxfId="858" priority="25" operator="greaterThan">
      <formula>0.072</formula>
    </cfRule>
    <cfRule type="cellIs" dxfId="857" priority="26" operator="greaterThan">
      <formula>7.2</formula>
    </cfRule>
    <cfRule type="cellIs" dxfId="856" priority="14" operator="greaterThan">
      <formula>0.0025</formula>
    </cfRule>
  </conditionalFormatting>
  <conditionalFormatting sqref="G5">
    <cfRule type="cellIs" dxfId="855" priority="3" operator="greaterThan">
      <formula>7.2</formula>
    </cfRule>
    <cfRule type="cellIs" dxfId="854" priority="2" operator="greaterThan">
      <formula>0.072</formula>
    </cfRule>
    <cfRule type="cellIs" dxfId="853" priority="1" operator="greaterThan">
      <formula>0.0025</formula>
    </cfRule>
  </conditionalFormatting>
  <conditionalFormatting sqref="H12:H22">
    <cfRule type="cellIs" dxfId="852" priority="15" operator="greaterThan">
      <formula>1.1</formula>
    </cfRule>
  </conditionalFormatting>
  <conditionalFormatting sqref="H28:H37">
    <cfRule type="cellIs" dxfId="851" priority="4" operator="greaterThan">
      <formula>1.1</formula>
    </cfRule>
  </conditionalFormatting>
  <conditionalFormatting sqref="I5">
    <cfRule type="cellIs" dxfId="85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24E4-E6A0-44A1-833E-F890AF31D4AB}">
  <sheetPr>
    <tabColor rgb="FFFF0000"/>
    <pageSetUpPr fitToPage="1"/>
  </sheetPr>
  <dimension ref="A1:R56"/>
  <sheetViews>
    <sheetView topLeftCell="E13" zoomScale="70" zoomScaleNormal="70" workbookViewId="0">
      <selection activeCell="R28" sqref="R28:R37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24" style="18" bestFit="1" customWidth="1"/>
    <col min="17" max="17" width="55.25" style="18" bestFit="1" customWidth="1"/>
    <col min="18" max="18" width="41.75" style="18" customWidth="1"/>
    <col min="19" max="16384" width="9" style="18"/>
  </cols>
  <sheetData>
    <row r="1" spans="1:18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8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8" s="20" customFormat="1" ht="28.5">
      <c r="A3" s="149">
        <v>45894</v>
      </c>
      <c r="B3" s="150"/>
      <c r="C3" s="151">
        <v>7726391.29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8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8" ht="46.5" customHeight="1" thickBot="1">
      <c r="A5" s="146" t="s">
        <v>61</v>
      </c>
      <c r="B5" s="147"/>
      <c r="C5" s="147"/>
      <c r="D5" s="24">
        <v>18655.30779999998</v>
      </c>
      <c r="E5" s="25">
        <f>D5/C3</f>
        <v>2.4144917206231709E-3</v>
      </c>
      <c r="F5" s="24">
        <v>60538.646100000005</v>
      </c>
      <c r="G5" s="26">
        <f>F5/C3</f>
        <v>7.8353067852456656E-3</v>
      </c>
      <c r="H5" s="27">
        <f>SUM(C12:C21)</f>
        <v>4083.4716000000003</v>
      </c>
      <c r="I5" s="28">
        <f>H5/D5</f>
        <v>0.21889060442090399</v>
      </c>
      <c r="J5" s="27">
        <f>SUM(C28:C37)</f>
        <v>18900.471799999992</v>
      </c>
      <c r="K5" s="29">
        <f>J5/F5</f>
        <v>0.31220506267648412</v>
      </c>
      <c r="L5" s="30">
        <v>2441.0153</v>
      </c>
      <c r="M5" s="31">
        <f>L5/D5</f>
        <v>0.13084829937783191</v>
      </c>
    </row>
    <row r="6" spans="1:18" ht="46.5" customHeight="1" thickBot="1"/>
    <row r="7" spans="1:18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148"/>
      <c r="R7" s="95"/>
    </row>
    <row r="8" spans="1:18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28" t="s">
        <v>66</v>
      </c>
      <c r="Q8" s="100" t="s">
        <v>67</v>
      </c>
      <c r="R8" s="104" t="s">
        <v>68</v>
      </c>
    </row>
    <row r="9" spans="1:18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0"/>
      <c r="R9" s="104"/>
    </row>
    <row r="10" spans="1:18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0"/>
      <c r="R10" s="104"/>
    </row>
    <row r="11" spans="1:18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0"/>
      <c r="R11" s="104"/>
    </row>
    <row r="12" spans="1:18" s="46" customFormat="1" ht="24.95" customHeight="1">
      <c r="A12" s="35">
        <v>1</v>
      </c>
      <c r="B12" s="36" t="s">
        <v>91</v>
      </c>
      <c r="C12" s="37">
        <v>1390.5</v>
      </c>
      <c r="D12" s="38">
        <v>4095</v>
      </c>
      <c r="E12" s="38">
        <v>4205</v>
      </c>
      <c r="F12" s="38">
        <v>0</v>
      </c>
      <c r="G12" s="37">
        <v>15.45</v>
      </c>
      <c r="H12" s="39">
        <f>(E12+F12)/D12</f>
        <v>1.0268620268620268</v>
      </c>
      <c r="I12" s="37">
        <v>1699.5</v>
      </c>
      <c r="J12" s="38">
        <v>90</v>
      </c>
      <c r="K12" s="40">
        <f>J12/D12</f>
        <v>2.197802197802198E-2</v>
      </c>
      <c r="L12" s="41">
        <f>((E12+F12)-D12)-J12</f>
        <v>20</v>
      </c>
      <c r="M12" s="42">
        <f>L12/D12</f>
        <v>4.884004884004884E-3</v>
      </c>
      <c r="N12" s="43">
        <f t="shared" ref="N12:N21" si="0">L12*G12</f>
        <v>309</v>
      </c>
      <c r="O12" s="44" t="s">
        <v>88</v>
      </c>
      <c r="P12" s="44" t="s">
        <v>92</v>
      </c>
      <c r="Q12" s="44" t="s">
        <v>93</v>
      </c>
      <c r="R12" s="45" t="s">
        <v>94</v>
      </c>
    </row>
    <row r="13" spans="1:18" s="46" customFormat="1" ht="24.95" customHeight="1">
      <c r="A13" s="47">
        <v>2</v>
      </c>
      <c r="B13" s="36" t="s">
        <v>173</v>
      </c>
      <c r="C13" s="37">
        <v>392.70000000000005</v>
      </c>
      <c r="D13" s="38">
        <v>2532</v>
      </c>
      <c r="E13" s="38">
        <v>2602</v>
      </c>
      <c r="F13" s="38">
        <v>0</v>
      </c>
      <c r="G13" s="37">
        <v>5.61</v>
      </c>
      <c r="H13" s="39">
        <f t="shared" ref="H13:H21" si="1">(E13+F13)/D13</f>
        <v>1.0276461295418642</v>
      </c>
      <c r="I13" s="37">
        <v>392.70000000000005</v>
      </c>
      <c r="J13" s="38">
        <v>70</v>
      </c>
      <c r="K13" s="40">
        <f>J13/D13</f>
        <v>2.7646129541864139E-2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99</v>
      </c>
      <c r="Q13" s="44"/>
      <c r="R13" s="45" t="s">
        <v>174</v>
      </c>
    </row>
    <row r="14" spans="1:18" s="46" customFormat="1" ht="24.95" customHeight="1">
      <c r="A14" s="47">
        <v>3</v>
      </c>
      <c r="B14" s="36" t="s">
        <v>163</v>
      </c>
      <c r="C14" s="37">
        <v>385.95839999999998</v>
      </c>
      <c r="D14" s="38">
        <v>42.06</v>
      </c>
      <c r="E14" s="38">
        <v>44.72</v>
      </c>
      <c r="F14" s="38">
        <v>0</v>
      </c>
      <c r="G14" s="37">
        <v>253.92</v>
      </c>
      <c r="H14" s="39">
        <f>(E14+F14)/D14</f>
        <v>1.0632429862101758</v>
      </c>
      <c r="I14" s="37">
        <v>675.42719999999906</v>
      </c>
      <c r="J14" s="38">
        <v>1.52</v>
      </c>
      <c r="K14" s="40">
        <f t="shared" ref="K14:K21" si="4">J14/D14</f>
        <v>3.6138849262957677E-2</v>
      </c>
      <c r="L14" s="41">
        <f t="shared" si="2"/>
        <v>1.1399999999999966</v>
      </c>
      <c r="M14" s="42">
        <f t="shared" si="3"/>
        <v>2.7104136947218176E-2</v>
      </c>
      <c r="N14" s="43">
        <f t="shared" si="0"/>
        <v>289.46879999999913</v>
      </c>
      <c r="O14" s="44" t="s">
        <v>88</v>
      </c>
      <c r="P14" s="69" t="s">
        <v>175</v>
      </c>
      <c r="Q14" s="82"/>
      <c r="R14" s="45" t="s">
        <v>162</v>
      </c>
    </row>
    <row r="15" spans="1:18" s="46" customFormat="1" ht="24.95" customHeight="1">
      <c r="A15" s="35">
        <v>4</v>
      </c>
      <c r="B15" s="36" t="s">
        <v>193</v>
      </c>
      <c r="C15" s="37">
        <v>329.05919999999998</v>
      </c>
      <c r="D15" s="38">
        <v>71.06</v>
      </c>
      <c r="E15" s="38">
        <v>74.08</v>
      </c>
      <c r="F15" s="38">
        <v>0</v>
      </c>
      <c r="G15" s="37">
        <v>108.96</v>
      </c>
      <c r="H15" s="39">
        <f>(E15+F15)/D15</f>
        <v>1.0424992963692654</v>
      </c>
      <c r="I15" s="37">
        <v>329.05919999999952</v>
      </c>
      <c r="J15" s="38">
        <v>3.02</v>
      </c>
      <c r="K15" s="40">
        <f t="shared" si="4"/>
        <v>4.2499296369265409E-2</v>
      </c>
      <c r="L15" s="41">
        <f t="shared" si="2"/>
        <v>-3.9968028886505635E-15</v>
      </c>
      <c r="M15" s="42">
        <f t="shared" si="3"/>
        <v>-5.624546705109152E-17</v>
      </c>
      <c r="N15" s="43">
        <f t="shared" si="0"/>
        <v>-4.354916427473654E-13</v>
      </c>
      <c r="O15" s="44" t="s">
        <v>88</v>
      </c>
      <c r="P15" s="69" t="s">
        <v>118</v>
      </c>
      <c r="Q15" s="82"/>
      <c r="R15" s="45" t="s">
        <v>122</v>
      </c>
    </row>
    <row r="16" spans="1:18" s="46" customFormat="1" ht="24.95" customHeight="1">
      <c r="A16" s="47">
        <v>5</v>
      </c>
      <c r="B16" s="36" t="s">
        <v>106</v>
      </c>
      <c r="C16" s="37">
        <v>303.12119999999999</v>
      </c>
      <c r="D16" s="38">
        <v>36.71</v>
      </c>
      <c r="E16" s="38">
        <v>38.53</v>
      </c>
      <c r="F16" s="38">
        <v>0</v>
      </c>
      <c r="G16" s="37">
        <v>248.46</v>
      </c>
      <c r="H16" s="39">
        <f t="shared" si="1"/>
        <v>1.0495777717243258</v>
      </c>
      <c r="I16" s="37">
        <v>452.19720000000007</v>
      </c>
      <c r="J16" s="38">
        <v>1.22</v>
      </c>
      <c r="K16" s="40">
        <f t="shared" si="4"/>
        <v>3.3233451375646962E-2</v>
      </c>
      <c r="L16" s="41">
        <f t="shared" si="2"/>
        <v>0.60000000000000031</v>
      </c>
      <c r="M16" s="42">
        <f t="shared" si="3"/>
        <v>1.6344320348678842E-2</v>
      </c>
      <c r="N16" s="43">
        <f t="shared" si="0"/>
        <v>149.07600000000008</v>
      </c>
      <c r="O16" s="44" t="s">
        <v>88</v>
      </c>
      <c r="P16" s="69" t="s">
        <v>175</v>
      </c>
      <c r="Q16" s="82"/>
      <c r="R16" s="45" t="s">
        <v>103</v>
      </c>
    </row>
    <row r="17" spans="1:18" s="46" customFormat="1" ht="24.95" customHeight="1">
      <c r="A17" s="35">
        <v>6</v>
      </c>
      <c r="B17" s="36" t="s">
        <v>177</v>
      </c>
      <c r="C17" s="37">
        <v>300.428</v>
      </c>
      <c r="D17" s="38">
        <v>2146</v>
      </c>
      <c r="E17" s="38">
        <v>1704.1200000000001</v>
      </c>
      <c r="F17" s="38">
        <v>600</v>
      </c>
      <c r="G17" s="37">
        <v>1.9</v>
      </c>
      <c r="H17" s="39">
        <f t="shared" si="1"/>
        <v>1.073681267474371</v>
      </c>
      <c r="I17" s="37">
        <v>300.42799999999977</v>
      </c>
      <c r="J17" s="38">
        <v>158.12</v>
      </c>
      <c r="K17" s="40">
        <f t="shared" si="4"/>
        <v>7.3681267474370926E-2</v>
      </c>
      <c r="L17" s="41">
        <f t="shared" si="2"/>
        <v>0</v>
      </c>
      <c r="M17" s="42">
        <f t="shared" si="3"/>
        <v>0</v>
      </c>
      <c r="N17" s="43">
        <f t="shared" si="0"/>
        <v>0</v>
      </c>
      <c r="O17" s="44" t="s">
        <v>88</v>
      </c>
      <c r="P17" s="44" t="s">
        <v>175</v>
      </c>
      <c r="Q17" s="44"/>
      <c r="R17" s="45" t="s">
        <v>147</v>
      </c>
    </row>
    <row r="18" spans="1:18" s="46" customFormat="1" ht="24.95" customHeight="1">
      <c r="A18" s="47">
        <v>7</v>
      </c>
      <c r="B18" s="36" t="s">
        <v>98</v>
      </c>
      <c r="C18" s="37">
        <v>260.25</v>
      </c>
      <c r="D18" s="38">
        <v>5046</v>
      </c>
      <c r="E18" s="38">
        <v>5071</v>
      </c>
      <c r="F18" s="38">
        <v>0</v>
      </c>
      <c r="G18" s="37">
        <v>10.41</v>
      </c>
      <c r="H18" s="39">
        <f t="shared" si="1"/>
        <v>1.0049544193420532</v>
      </c>
      <c r="I18" s="37">
        <v>260.25</v>
      </c>
      <c r="J18" s="38">
        <v>25</v>
      </c>
      <c r="K18" s="40">
        <f t="shared" si="4"/>
        <v>4.9544193420531114E-3</v>
      </c>
      <c r="L18" s="41">
        <f>((E18+F18)-D18)-J18</f>
        <v>0</v>
      </c>
      <c r="M18" s="42">
        <f t="shared" si="3"/>
        <v>0</v>
      </c>
      <c r="N18" s="43">
        <f t="shared" si="0"/>
        <v>0</v>
      </c>
      <c r="O18" s="44" t="s">
        <v>88</v>
      </c>
      <c r="P18" s="44" t="s">
        <v>99</v>
      </c>
      <c r="Q18" s="44"/>
      <c r="R18" s="45" t="s">
        <v>100</v>
      </c>
    </row>
    <row r="19" spans="1:18" s="46" customFormat="1" ht="24.95" customHeight="1">
      <c r="A19" s="35">
        <v>8</v>
      </c>
      <c r="B19" s="36" t="s">
        <v>186</v>
      </c>
      <c r="C19" s="37">
        <v>254.46720000000002</v>
      </c>
      <c r="D19" s="38">
        <v>195.44</v>
      </c>
      <c r="E19" s="38">
        <v>200.38</v>
      </c>
      <c r="F19" s="38">
        <v>0</v>
      </c>
      <c r="G19" s="37">
        <v>61.17</v>
      </c>
      <c r="H19" s="39">
        <f t="shared" si="1"/>
        <v>1.0252762996316005</v>
      </c>
      <c r="I19" s="37">
        <v>302.17979999999989</v>
      </c>
      <c r="J19" s="38">
        <v>4.16</v>
      </c>
      <c r="K19" s="40">
        <f t="shared" si="4"/>
        <v>2.1285304952926732E-2</v>
      </c>
      <c r="L19" s="41">
        <f t="shared" si="2"/>
        <v>0.77999999999999758</v>
      </c>
      <c r="M19" s="42">
        <f t="shared" si="3"/>
        <v>3.9909946786737495E-3</v>
      </c>
      <c r="N19" s="43">
        <f t="shared" si="0"/>
        <v>47.712599999999853</v>
      </c>
      <c r="O19" s="44" t="s">
        <v>88</v>
      </c>
      <c r="P19" s="44" t="s">
        <v>187</v>
      </c>
      <c r="Q19" s="44" t="s">
        <v>188</v>
      </c>
      <c r="R19" s="45" t="s">
        <v>189</v>
      </c>
    </row>
    <row r="20" spans="1:18" s="46" customFormat="1" ht="24.95" customHeight="1">
      <c r="A20" s="47">
        <v>9</v>
      </c>
      <c r="B20" s="36" t="s">
        <v>194</v>
      </c>
      <c r="C20" s="37">
        <v>245.13759999999999</v>
      </c>
      <c r="D20" s="38">
        <v>30.03</v>
      </c>
      <c r="E20" s="38">
        <v>36.089999999999996</v>
      </c>
      <c r="F20" s="38">
        <v>0</v>
      </c>
      <c r="G20" s="37">
        <v>70.239999999999995</v>
      </c>
      <c r="H20" s="39">
        <f t="shared" si="1"/>
        <v>1.2017982017982016</v>
      </c>
      <c r="I20" s="37">
        <v>425.65439999999961</v>
      </c>
      <c r="J20" s="38">
        <v>3.49</v>
      </c>
      <c r="K20" s="40">
        <f t="shared" si="4"/>
        <v>0.11621711621711622</v>
      </c>
      <c r="L20" s="41">
        <f t="shared" si="2"/>
        <v>2.569999999999995</v>
      </c>
      <c r="M20" s="42">
        <f t="shared" si="3"/>
        <v>8.5581085581085403E-2</v>
      </c>
      <c r="N20" s="43">
        <f t="shared" si="0"/>
        <v>180.51679999999962</v>
      </c>
      <c r="O20" s="44" t="s">
        <v>88</v>
      </c>
      <c r="P20" s="69" t="s">
        <v>175</v>
      </c>
      <c r="Q20" s="82"/>
      <c r="R20" s="45" t="s">
        <v>195</v>
      </c>
    </row>
    <row r="21" spans="1:18" s="46" customFormat="1" ht="24.95" customHeight="1" thickBot="1">
      <c r="A21" s="48">
        <v>10</v>
      </c>
      <c r="B21" s="49" t="s">
        <v>168</v>
      </c>
      <c r="C21" s="50">
        <v>221.85</v>
      </c>
      <c r="D21" s="51">
        <v>11835</v>
      </c>
      <c r="E21" s="51">
        <v>12096</v>
      </c>
      <c r="F21" s="51">
        <v>0</v>
      </c>
      <c r="G21" s="50">
        <v>0.85</v>
      </c>
      <c r="H21" s="52">
        <f t="shared" si="1"/>
        <v>1.0220532319391635</v>
      </c>
      <c r="I21" s="50">
        <v>221.85</v>
      </c>
      <c r="J21" s="51">
        <v>261</v>
      </c>
      <c r="K21" s="53">
        <f t="shared" si="4"/>
        <v>2.2053231939163497E-2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88</v>
      </c>
      <c r="P21" s="57" t="s">
        <v>183</v>
      </c>
      <c r="Q21" s="57"/>
      <c r="R21" s="58" t="s">
        <v>103</v>
      </c>
    </row>
    <row r="22" spans="1:18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20"/>
    </row>
    <row r="24" spans="1:18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8" t="s">
        <v>66</v>
      </c>
      <c r="Q24" s="100" t="s">
        <v>67</v>
      </c>
      <c r="R24" s="129" t="s">
        <v>68</v>
      </c>
    </row>
    <row r="25" spans="1:18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00"/>
      <c r="Q25" s="100"/>
      <c r="R25" s="130"/>
    </row>
    <row r="26" spans="1:18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00"/>
      <c r="Q26" s="100"/>
      <c r="R26" s="130"/>
    </row>
    <row r="27" spans="1:18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00"/>
      <c r="Q27" s="100"/>
      <c r="R27" s="131"/>
    </row>
    <row r="28" spans="1:18" s="67" customFormat="1" ht="24.95" customHeight="1">
      <c r="A28" s="35">
        <v>1</v>
      </c>
      <c r="B28" s="36" t="s">
        <v>179</v>
      </c>
      <c r="C28" s="37">
        <v>5280.2329999999956</v>
      </c>
      <c r="D28" s="38">
        <v>238.03</v>
      </c>
      <c r="E28" s="38">
        <v>243.98</v>
      </c>
      <c r="F28" s="38">
        <v>7</v>
      </c>
      <c r="G28" s="37">
        <v>407.74</v>
      </c>
      <c r="H28" s="68">
        <f t="shared" ref="H28:H37" si="5">(E28+F28)/D28</f>
        <v>1.0544049069445027</v>
      </c>
      <c r="I28" s="37">
        <v>5280.2329999999956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12.949999999999989</v>
      </c>
      <c r="N28" s="42">
        <f t="shared" ref="N28:N37" si="9">M28/D28</f>
        <v>5.4404906944502743E-2</v>
      </c>
      <c r="O28" s="44" t="s">
        <v>116</v>
      </c>
      <c r="P28" s="44" t="s">
        <v>120</v>
      </c>
      <c r="Q28" s="82" t="s">
        <v>132</v>
      </c>
      <c r="R28" s="45" t="s">
        <v>180</v>
      </c>
    </row>
    <row r="29" spans="1:18" s="67" customFormat="1" ht="24.95" customHeight="1">
      <c r="A29" s="47">
        <v>2</v>
      </c>
      <c r="B29" s="36" t="s">
        <v>155</v>
      </c>
      <c r="C29" s="37">
        <v>2267.5802000000053</v>
      </c>
      <c r="D29" s="38">
        <v>60.91</v>
      </c>
      <c r="E29" s="38">
        <v>61.13</v>
      </c>
      <c r="F29" s="38">
        <v>3.24</v>
      </c>
      <c r="G29" s="37">
        <v>655.37</v>
      </c>
      <c r="H29" s="68">
        <f t="shared" si="5"/>
        <v>1.0568051223116075</v>
      </c>
      <c r="I29" s="37">
        <v>2267.5802000000053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3.460000000000008</v>
      </c>
      <c r="N29" s="42">
        <f t="shared" si="9"/>
        <v>5.680512231160742E-2</v>
      </c>
      <c r="O29" s="44" t="s">
        <v>116</v>
      </c>
      <c r="P29" s="69" t="s">
        <v>118</v>
      </c>
      <c r="Q29" s="82"/>
      <c r="R29" s="45" t="s">
        <v>122</v>
      </c>
    </row>
    <row r="30" spans="1:18" s="67" customFormat="1" ht="24.95" customHeight="1">
      <c r="A30" s="47">
        <v>3</v>
      </c>
      <c r="B30" s="36" t="s">
        <v>101</v>
      </c>
      <c r="C30" s="37">
        <v>1946.07599999999</v>
      </c>
      <c r="D30" s="38">
        <v>710.71</v>
      </c>
      <c r="E30" s="38">
        <v>706.23</v>
      </c>
      <c r="F30" s="38">
        <v>17.68</v>
      </c>
      <c r="G30" s="37">
        <v>147.43</v>
      </c>
      <c r="H30" s="68">
        <f t="shared" si="5"/>
        <v>1.0185729763194551</v>
      </c>
      <c r="I30" s="37">
        <v>1946.07599999999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13.199999999999932</v>
      </c>
      <c r="N30" s="42">
        <f t="shared" si="9"/>
        <v>1.8572976319455096E-2</v>
      </c>
      <c r="O30" s="44" t="s">
        <v>116</v>
      </c>
      <c r="P30" s="44" t="s">
        <v>48</v>
      </c>
      <c r="Q30" s="44" t="s">
        <v>102</v>
      </c>
      <c r="R30" s="45" t="s">
        <v>103</v>
      </c>
    </row>
    <row r="31" spans="1:18" s="67" customFormat="1" ht="24.95" customHeight="1">
      <c r="A31" s="35">
        <v>4</v>
      </c>
      <c r="B31" s="36" t="s">
        <v>125</v>
      </c>
      <c r="C31" s="37">
        <v>1699.7316000000012</v>
      </c>
      <c r="D31" s="38">
        <v>37.11</v>
      </c>
      <c r="E31" s="38">
        <v>39.85</v>
      </c>
      <c r="F31" s="38">
        <v>0</v>
      </c>
      <c r="G31" s="37">
        <v>620.34</v>
      </c>
      <c r="H31" s="68">
        <f t="shared" si="5"/>
        <v>1.0738345459444893</v>
      </c>
      <c r="I31" s="37">
        <v>1699.7316000000012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2.740000000000002</v>
      </c>
      <c r="N31" s="42">
        <f t="shared" si="9"/>
        <v>7.3834545944489405E-2</v>
      </c>
      <c r="O31" s="44" t="s">
        <v>116</v>
      </c>
      <c r="P31" s="69" t="s">
        <v>118</v>
      </c>
      <c r="Q31" s="82"/>
      <c r="R31" s="45" t="s">
        <v>126</v>
      </c>
    </row>
    <row r="32" spans="1:18" s="67" customFormat="1" ht="24.95" customHeight="1">
      <c r="A32" s="47">
        <v>5</v>
      </c>
      <c r="B32" s="36" t="s">
        <v>130</v>
      </c>
      <c r="C32" s="37">
        <v>1435.6986000000027</v>
      </c>
      <c r="D32" s="38">
        <v>210.53</v>
      </c>
      <c r="E32" s="38">
        <v>210.75</v>
      </c>
      <c r="F32" s="38">
        <v>2.15</v>
      </c>
      <c r="G32" s="37">
        <v>605.78</v>
      </c>
      <c r="H32" s="68">
        <f t="shared" si="5"/>
        <v>1.0112573029971976</v>
      </c>
      <c r="I32" s="37">
        <v>1435.6986000000027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2.3700000000000045</v>
      </c>
      <c r="N32" s="42">
        <f t="shared" si="9"/>
        <v>1.1257302997197571E-2</v>
      </c>
      <c r="O32" s="44" t="s">
        <v>116</v>
      </c>
      <c r="P32" s="44" t="s">
        <v>120</v>
      </c>
      <c r="Q32" s="82" t="s">
        <v>132</v>
      </c>
      <c r="R32" s="45" t="s">
        <v>133</v>
      </c>
    </row>
    <row r="33" spans="1:18" s="67" customFormat="1" ht="24.95" customHeight="1">
      <c r="A33" s="35">
        <v>6</v>
      </c>
      <c r="B33" s="36" t="s">
        <v>167</v>
      </c>
      <c r="C33" s="37">
        <v>1432.4040000000005</v>
      </c>
      <c r="D33" s="38">
        <v>16.09</v>
      </c>
      <c r="E33" s="38">
        <v>16.39</v>
      </c>
      <c r="F33" s="38">
        <v>1.5</v>
      </c>
      <c r="G33" s="37">
        <v>795.78</v>
      </c>
      <c r="H33" s="68">
        <f t="shared" si="5"/>
        <v>1.1118707271597266</v>
      </c>
      <c r="I33" s="37">
        <v>1432.4040000000005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1.8000000000000007</v>
      </c>
      <c r="N33" s="42">
        <f t="shared" si="9"/>
        <v>0.11187072715972658</v>
      </c>
      <c r="O33" s="44" t="s">
        <v>116</v>
      </c>
      <c r="P33" s="69" t="s">
        <v>118</v>
      </c>
      <c r="Q33" s="82"/>
      <c r="R33" s="45" t="s">
        <v>147</v>
      </c>
    </row>
    <row r="34" spans="1:18" s="67" customFormat="1" ht="24.95" customHeight="1">
      <c r="A34" s="47">
        <v>7</v>
      </c>
      <c r="B34" s="36" t="s">
        <v>152</v>
      </c>
      <c r="C34" s="37">
        <v>1402.6700000000003</v>
      </c>
      <c r="D34" s="38">
        <v>28.81</v>
      </c>
      <c r="E34" s="38">
        <v>31.04</v>
      </c>
      <c r="F34" s="38">
        <v>0</v>
      </c>
      <c r="G34" s="37">
        <v>629</v>
      </c>
      <c r="H34" s="68">
        <f t="shared" si="5"/>
        <v>1.0774036792780284</v>
      </c>
      <c r="I34" s="37">
        <v>1402.6700000000003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2.2300000000000004</v>
      </c>
      <c r="N34" s="42">
        <f t="shared" si="9"/>
        <v>7.7403679278028478E-2</v>
      </c>
      <c r="O34" s="44" t="s">
        <v>116</v>
      </c>
      <c r="P34" s="69" t="s">
        <v>118</v>
      </c>
      <c r="Q34" s="82"/>
      <c r="R34" s="45" t="s">
        <v>105</v>
      </c>
    </row>
    <row r="35" spans="1:18" s="67" customFormat="1" ht="24.95" customHeight="1">
      <c r="A35" s="35">
        <v>8</v>
      </c>
      <c r="B35" s="36" t="s">
        <v>151</v>
      </c>
      <c r="C35" s="37">
        <v>1251.6336000000003</v>
      </c>
      <c r="D35" s="38">
        <v>33.64</v>
      </c>
      <c r="E35" s="38">
        <v>33.130000000000003</v>
      </c>
      <c r="F35" s="38">
        <v>2.4</v>
      </c>
      <c r="G35" s="37">
        <v>662.24</v>
      </c>
      <c r="H35" s="68">
        <f t="shared" si="5"/>
        <v>1.0561831153388823</v>
      </c>
      <c r="I35" s="37">
        <v>1251.6336000000003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1.8900000000000006</v>
      </c>
      <c r="N35" s="42">
        <f t="shared" si="9"/>
        <v>5.6183115338882296E-2</v>
      </c>
      <c r="O35" s="44" t="s">
        <v>116</v>
      </c>
      <c r="P35" s="69" t="s">
        <v>118</v>
      </c>
      <c r="Q35" s="82"/>
      <c r="R35" s="45" t="s">
        <v>100</v>
      </c>
    </row>
    <row r="36" spans="1:18" s="67" customFormat="1" ht="24.95" customHeight="1">
      <c r="A36" s="47">
        <v>9</v>
      </c>
      <c r="B36" s="36" t="s">
        <v>196</v>
      </c>
      <c r="C36" s="37">
        <v>1182.4447999999973</v>
      </c>
      <c r="D36" s="38">
        <v>64.98</v>
      </c>
      <c r="E36" s="38">
        <v>65.34</v>
      </c>
      <c r="F36" s="38">
        <v>1.52</v>
      </c>
      <c r="G36" s="37">
        <v>628.96</v>
      </c>
      <c r="H36" s="68">
        <f t="shared" si="5"/>
        <v>1.0289319790704832</v>
      </c>
      <c r="I36" s="37">
        <v>1182.4447999999973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1.8799999999999955</v>
      </c>
      <c r="N36" s="42">
        <f t="shared" si="9"/>
        <v>2.8931979070483154E-2</v>
      </c>
      <c r="O36" s="44" t="s">
        <v>131</v>
      </c>
      <c r="P36" s="69" t="s">
        <v>118</v>
      </c>
      <c r="Q36" s="82"/>
      <c r="R36" s="45" t="s">
        <v>110</v>
      </c>
    </row>
    <row r="37" spans="1:18" s="67" customFormat="1" ht="24.95" customHeight="1" thickBot="1">
      <c r="A37" s="48">
        <v>10</v>
      </c>
      <c r="B37" s="49" t="s">
        <v>140</v>
      </c>
      <c r="C37" s="50">
        <v>1001.9999999999993</v>
      </c>
      <c r="D37" s="51">
        <v>145.72999999999999</v>
      </c>
      <c r="E37" s="51">
        <v>148.97</v>
      </c>
      <c r="F37" s="51">
        <v>2.67</v>
      </c>
      <c r="G37" s="50">
        <v>200</v>
      </c>
      <c r="H37" s="70">
        <f t="shared" si="5"/>
        <v>1.040554450010293</v>
      </c>
      <c r="I37" s="50">
        <v>1181.9999999999993</v>
      </c>
      <c r="J37" s="51">
        <v>0.9</v>
      </c>
      <c r="K37" s="53">
        <f t="shared" si="6"/>
        <v>6.1758045700953824E-3</v>
      </c>
      <c r="L37" s="56">
        <f t="shared" si="7"/>
        <v>180</v>
      </c>
      <c r="M37" s="54">
        <f t="shared" si="8"/>
        <v>5.0099999999999962</v>
      </c>
      <c r="N37" s="55">
        <f t="shared" si="9"/>
        <v>3.43786454401976E-2</v>
      </c>
      <c r="O37" s="57" t="s">
        <v>131</v>
      </c>
      <c r="P37" s="83" t="s">
        <v>118</v>
      </c>
      <c r="Q37" s="84"/>
      <c r="R37" s="58" t="s">
        <v>103</v>
      </c>
    </row>
    <row r="38" spans="1:18" ht="15.75" customHeight="1" thickBot="1"/>
    <row r="39" spans="1:18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8" ht="26.1" customHeight="1">
      <c r="A40" s="96" t="s">
        <v>63</v>
      </c>
      <c r="B40" s="97"/>
      <c r="C40" s="97"/>
      <c r="D40" s="98"/>
      <c r="E40" s="71"/>
      <c r="G40" s="74"/>
    </row>
    <row r="41" spans="1:18" ht="25.5" customHeight="1">
      <c r="A41" s="99" t="s">
        <v>69</v>
      </c>
      <c r="B41" s="100" t="s">
        <v>70</v>
      </c>
      <c r="C41" s="100"/>
      <c r="D41" s="101"/>
      <c r="E41" s="71"/>
    </row>
    <row r="42" spans="1:18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8" ht="20.45" customHeight="1">
      <c r="A43" s="99"/>
      <c r="B43" s="102"/>
      <c r="C43" s="103"/>
      <c r="D43" s="104"/>
      <c r="E43" s="71"/>
    </row>
    <row r="44" spans="1:18" s="78" customFormat="1" ht="24.95" customHeight="1">
      <c r="A44" s="75">
        <v>1</v>
      </c>
      <c r="B44" s="36" t="s">
        <v>106</v>
      </c>
      <c r="C44" s="37">
        <v>303.12119999999999</v>
      </c>
      <c r="D44" s="76">
        <f t="shared" ref="D44:D53" si="10">C44/$L$5</f>
        <v>0.1241783285831924</v>
      </c>
      <c r="E44" s="77"/>
    </row>
    <row r="45" spans="1:18" s="78" customFormat="1" ht="24.95" customHeight="1">
      <c r="A45" s="79">
        <v>2</v>
      </c>
      <c r="B45" s="36" t="s">
        <v>168</v>
      </c>
      <c r="C45" s="37">
        <v>221.85</v>
      </c>
      <c r="D45" s="76">
        <f t="shared" si="10"/>
        <v>9.0884313588694018E-2</v>
      </c>
      <c r="E45" s="77"/>
    </row>
    <row r="46" spans="1:18" s="78" customFormat="1" ht="24.95" customHeight="1">
      <c r="A46" s="79">
        <v>3</v>
      </c>
      <c r="B46" s="36" t="s">
        <v>138</v>
      </c>
      <c r="C46" s="37">
        <v>200.07</v>
      </c>
      <c r="D46" s="76">
        <f t="shared" si="10"/>
        <v>8.1961796798242101E-2</v>
      </c>
      <c r="E46" s="77"/>
    </row>
    <row r="47" spans="1:18" s="78" customFormat="1" ht="24.95" customHeight="1">
      <c r="A47" s="75">
        <v>4</v>
      </c>
      <c r="B47" s="36" t="s">
        <v>129</v>
      </c>
      <c r="C47" s="37">
        <v>193.01100000000002</v>
      </c>
      <c r="D47" s="76">
        <f t="shared" si="10"/>
        <v>7.9069967320565343E-2</v>
      </c>
      <c r="E47" s="77"/>
    </row>
    <row r="48" spans="1:18" s="78" customFormat="1" ht="24.95" customHeight="1">
      <c r="A48" s="79">
        <v>5</v>
      </c>
      <c r="B48" s="36" t="s">
        <v>170</v>
      </c>
      <c r="C48" s="37">
        <v>185.57</v>
      </c>
      <c r="D48" s="76">
        <f t="shared" si="10"/>
        <v>7.6021645583294786E-2</v>
      </c>
      <c r="E48" s="77"/>
    </row>
    <row r="49" spans="1:5" s="78" customFormat="1" ht="24.95" customHeight="1">
      <c r="A49" s="75">
        <v>6</v>
      </c>
      <c r="B49" s="36" t="s">
        <v>140</v>
      </c>
      <c r="C49" s="37">
        <v>180</v>
      </c>
      <c r="D49" s="76">
        <f t="shared" si="10"/>
        <v>7.3739808185552952E-2</v>
      </c>
      <c r="E49" s="77"/>
    </row>
    <row r="50" spans="1:5" s="78" customFormat="1" ht="24.95" customHeight="1">
      <c r="A50" s="79">
        <v>7</v>
      </c>
      <c r="B50" s="36" t="s">
        <v>139</v>
      </c>
      <c r="C50" s="37">
        <v>172.584</v>
      </c>
      <c r="D50" s="76">
        <f t="shared" si="10"/>
        <v>7.0701728088308172E-2</v>
      </c>
      <c r="E50" s="77"/>
    </row>
    <row r="51" spans="1:5" s="78" customFormat="1" ht="24.95" customHeight="1">
      <c r="A51" s="75">
        <v>8</v>
      </c>
      <c r="B51" s="36" t="s">
        <v>159</v>
      </c>
      <c r="C51" s="37">
        <v>162.21</v>
      </c>
      <c r="D51" s="76">
        <f t="shared" si="10"/>
        <v>6.6451857143214138E-2</v>
      </c>
      <c r="E51" s="77"/>
    </row>
    <row r="52" spans="1:5" s="78" customFormat="1" ht="24.95" customHeight="1">
      <c r="A52" s="79">
        <v>9</v>
      </c>
      <c r="B52" s="36" t="s">
        <v>160</v>
      </c>
      <c r="C52" s="37">
        <v>135.5248</v>
      </c>
      <c r="D52" s="76">
        <f t="shared" si="10"/>
        <v>5.5519848646585705E-2</v>
      </c>
      <c r="E52" s="77"/>
    </row>
    <row r="53" spans="1:5" s="78" customFormat="1" ht="24.95" customHeight="1" thickBot="1">
      <c r="A53" s="80">
        <v>10</v>
      </c>
      <c r="B53" s="49" t="s">
        <v>142</v>
      </c>
      <c r="C53" s="50">
        <v>132.48800000000003</v>
      </c>
      <c r="D53" s="81">
        <f t="shared" si="10"/>
        <v>5.4275776149375232E-2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849" priority="34" operator="containsText" text="中華">
      <formula>NOT(ISERROR(SEARCH("中華",A12)))</formula>
    </cfRule>
    <cfRule type="containsText" dxfId="848" priority="33" operator="containsText" text="湯凍">
      <formula>NOT(ISERROR(SEARCH("湯凍",A12)))</formula>
    </cfRule>
    <cfRule type="containsText" dxfId="847" priority="32" operator="containsText" text=")川燙小青花菜">
      <formula>NOT(ISERROR(SEARCH(")川燙小青花菜",A12)))</formula>
    </cfRule>
    <cfRule type="containsText" dxfId="846" priority="31" operator="containsText" text="青蔥">
      <formula>NOT(ISERROR(SEARCH("青蔥",A12)))</formula>
    </cfRule>
    <cfRule type="containsText" dxfId="845" priority="30" operator="containsText" text="白醬">
      <formula>NOT(ISERROR(SEARCH("白醬",A12)))</formula>
    </cfRule>
    <cfRule type="containsText" dxfId="844" priority="29" operator="containsText" text="024">
      <formula>NOT(ISERROR(SEARCH("024",A12)))</formula>
    </cfRule>
    <cfRule type="containsText" dxfId="843" priority="28" operator="containsText" text="煮白細麵生(方#12)">
      <formula>NOT(ISERROR(SEARCH("煮白細麵生(方#12)",A12)))</formula>
    </cfRule>
    <cfRule type="containsText" dxfId="842" priority="27" operator="containsText" text="綠豆芽">
      <formula>NOT(ISERROR(SEARCH("綠豆芽",A12)))</formula>
    </cfRule>
  </conditionalFormatting>
  <conditionalFormatting sqref="A28:A37">
    <cfRule type="containsText" dxfId="841" priority="5" operator="containsText" text="綠豆芽">
      <formula>NOT(ISERROR(SEARCH("綠豆芽",A28)))</formula>
    </cfRule>
    <cfRule type="containsText" dxfId="840" priority="6" operator="containsText" text="煮白細麵生(方#12)">
      <formula>NOT(ISERROR(SEARCH("煮白細麵生(方#12)",A28)))</formula>
    </cfRule>
    <cfRule type="containsText" dxfId="839" priority="7" operator="containsText" text="024">
      <formula>NOT(ISERROR(SEARCH("024",A28)))</formula>
    </cfRule>
    <cfRule type="containsText" dxfId="838" priority="8" operator="containsText" text="白醬">
      <formula>NOT(ISERROR(SEARCH("白醬",A28)))</formula>
    </cfRule>
    <cfRule type="containsText" dxfId="837" priority="9" operator="containsText" text="青蔥">
      <formula>NOT(ISERROR(SEARCH("青蔥",A28)))</formula>
    </cfRule>
    <cfRule type="containsText" dxfId="836" priority="10" operator="containsText" text=")川燙小青花菜">
      <formula>NOT(ISERROR(SEARCH(")川燙小青花菜",A28)))</formula>
    </cfRule>
    <cfRule type="containsText" dxfId="835" priority="11" operator="containsText" text="湯凍">
      <formula>NOT(ISERROR(SEARCH("湯凍",A28)))</formula>
    </cfRule>
    <cfRule type="containsText" dxfId="834" priority="12" operator="containsText" text="中華">
      <formula>NOT(ISERROR(SEARCH("中華",A28)))</formula>
    </cfRule>
  </conditionalFormatting>
  <conditionalFormatting sqref="A44:A53">
    <cfRule type="containsText" dxfId="833" priority="17" operator="containsText" text="綠豆芽">
      <formula>NOT(ISERROR(SEARCH("綠豆芽",A44)))</formula>
    </cfRule>
    <cfRule type="containsText" dxfId="832" priority="18" operator="containsText" text="煮白細麵生(方#12)">
      <formula>NOT(ISERROR(SEARCH("煮白細麵生(方#12)",A44)))</formula>
    </cfRule>
    <cfRule type="containsText" dxfId="831" priority="19" operator="containsText" text="024">
      <formula>NOT(ISERROR(SEARCH("024",A44)))</formula>
    </cfRule>
    <cfRule type="containsText" dxfId="830" priority="20" operator="containsText" text="白醬">
      <formula>NOT(ISERROR(SEARCH("白醬",A44)))</formula>
    </cfRule>
    <cfRule type="containsText" dxfId="829" priority="21" operator="containsText" text="青蔥">
      <formula>NOT(ISERROR(SEARCH("青蔥",A44)))</formula>
    </cfRule>
    <cfRule type="containsText" dxfId="828" priority="22" operator="containsText" text=")川燙小青花菜">
      <formula>NOT(ISERROR(SEARCH(")川燙小青花菜",A44)))</formula>
    </cfRule>
    <cfRule type="containsText" dxfId="827" priority="23" operator="containsText" text="湯凍">
      <formula>NOT(ISERROR(SEARCH("湯凍",A44)))</formula>
    </cfRule>
    <cfRule type="containsText" dxfId="826" priority="24" operator="containsText" text="中華">
      <formula>NOT(ISERROR(SEARCH("中華",A44)))</formula>
    </cfRule>
  </conditionalFormatting>
  <conditionalFormatting sqref="D44:D53">
    <cfRule type="cellIs" dxfId="825" priority="16" operator="greaterThan">
      <formula>0.146</formula>
    </cfRule>
  </conditionalFormatting>
  <conditionalFormatting sqref="E5">
    <cfRule type="cellIs" dxfId="824" priority="25" operator="greaterThan">
      <formula>0.072</formula>
    </cfRule>
    <cfRule type="cellIs" dxfId="823" priority="26" operator="greaterThan">
      <formula>7.2</formula>
    </cfRule>
    <cfRule type="cellIs" dxfId="822" priority="14" operator="greaterThan">
      <formula>0.0025</formula>
    </cfRule>
  </conditionalFormatting>
  <conditionalFormatting sqref="G5">
    <cfRule type="cellIs" dxfId="821" priority="3" operator="greaterThan">
      <formula>7.2</formula>
    </cfRule>
    <cfRule type="cellIs" dxfId="820" priority="2" operator="greaterThan">
      <formula>0.072</formula>
    </cfRule>
    <cfRule type="cellIs" dxfId="819" priority="1" operator="greaterThan">
      <formula>0.0025</formula>
    </cfRule>
  </conditionalFormatting>
  <conditionalFormatting sqref="H12:H22">
    <cfRule type="cellIs" dxfId="818" priority="15" operator="greaterThan">
      <formula>1.1</formula>
    </cfRule>
  </conditionalFormatting>
  <conditionalFormatting sqref="H28:H37">
    <cfRule type="cellIs" dxfId="817" priority="4" operator="greaterThan">
      <formula>1.1</formula>
    </cfRule>
  </conditionalFormatting>
  <conditionalFormatting sqref="I5">
    <cfRule type="cellIs" dxfId="81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84CE9-5487-44BF-9722-C8DAC14234A3}">
  <sheetPr>
    <tabColor rgb="FFFF0000"/>
    <pageSetUpPr fitToPage="1"/>
  </sheetPr>
  <dimension ref="A1:R56"/>
  <sheetViews>
    <sheetView topLeftCell="E13" zoomScale="70" zoomScaleNormal="70" workbookViewId="0">
      <selection activeCell="R28" sqref="R28:R37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24" style="18" bestFit="1" customWidth="1"/>
    <col min="17" max="17" width="55.25" style="18" bestFit="1" customWidth="1"/>
    <col min="18" max="18" width="41.75" style="18" customWidth="1"/>
    <col min="19" max="16384" width="9" style="18"/>
  </cols>
  <sheetData>
    <row r="1" spans="1:18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8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8" s="20" customFormat="1" ht="28.5">
      <c r="A3" s="149">
        <v>45893</v>
      </c>
      <c r="B3" s="150"/>
      <c r="C3" s="151">
        <v>7894027.0499999998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8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8" ht="46.5" customHeight="1" thickBot="1">
      <c r="A5" s="146" t="s">
        <v>61</v>
      </c>
      <c r="B5" s="147"/>
      <c r="C5" s="147"/>
      <c r="D5" s="24">
        <v>19089.354199999991</v>
      </c>
      <c r="E5" s="25">
        <f>D5/C3</f>
        <v>2.4182022786455983E-3</v>
      </c>
      <c r="F5" s="24">
        <v>61921.235099999962</v>
      </c>
      <c r="G5" s="26">
        <f>F5/C3</f>
        <v>7.8440616820536439E-3</v>
      </c>
      <c r="H5" s="27">
        <f>SUM(C12:C21)</f>
        <v>4499.0199999999995</v>
      </c>
      <c r="I5" s="28">
        <f>H5/D5</f>
        <v>0.23568214790629227</v>
      </c>
      <c r="J5" s="27">
        <f>SUM(C28:C37)</f>
        <v>16773.528499999997</v>
      </c>
      <c r="K5" s="29">
        <f>J5/F5</f>
        <v>0.27088491489085315</v>
      </c>
      <c r="L5" s="30">
        <v>2496.1020999999996</v>
      </c>
      <c r="M5" s="31">
        <f>L5/D5</f>
        <v>0.13075885511098123</v>
      </c>
    </row>
    <row r="6" spans="1:18" ht="46.5" customHeight="1" thickBot="1"/>
    <row r="7" spans="1:18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148"/>
      <c r="R7" s="95"/>
    </row>
    <row r="8" spans="1:18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28" t="s">
        <v>66</v>
      </c>
      <c r="Q8" s="100" t="s">
        <v>67</v>
      </c>
      <c r="R8" s="104" t="s">
        <v>68</v>
      </c>
    </row>
    <row r="9" spans="1:18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0"/>
      <c r="R9" s="104"/>
    </row>
    <row r="10" spans="1:18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0"/>
      <c r="R10" s="104"/>
    </row>
    <row r="11" spans="1:18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0"/>
      <c r="R11" s="104"/>
    </row>
    <row r="12" spans="1:18" s="46" customFormat="1" ht="24.95" customHeight="1">
      <c r="A12" s="35">
        <v>1</v>
      </c>
      <c r="B12" s="36" t="s">
        <v>91</v>
      </c>
      <c r="C12" s="37">
        <v>927</v>
      </c>
      <c r="D12" s="38">
        <v>4141</v>
      </c>
      <c r="E12" s="38">
        <v>4201</v>
      </c>
      <c r="F12" s="38">
        <v>0</v>
      </c>
      <c r="G12" s="37">
        <v>15.45</v>
      </c>
      <c r="H12" s="39">
        <f>(E12+F12)/D12</f>
        <v>1.0144892538034291</v>
      </c>
      <c r="I12" s="37">
        <v>927</v>
      </c>
      <c r="J12" s="38">
        <v>60</v>
      </c>
      <c r="K12" s="40">
        <f>J12/D12</f>
        <v>1.4489253803429124E-2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92</v>
      </c>
      <c r="Q12" s="44" t="s">
        <v>93</v>
      </c>
      <c r="R12" s="45" t="s">
        <v>94</v>
      </c>
    </row>
    <row r="13" spans="1:18" s="46" customFormat="1" ht="24.95" customHeight="1">
      <c r="A13" s="47">
        <v>2</v>
      </c>
      <c r="B13" s="36" t="s">
        <v>186</v>
      </c>
      <c r="C13" s="37">
        <v>611.70000000000005</v>
      </c>
      <c r="D13" s="38">
        <v>205.24</v>
      </c>
      <c r="E13" s="38">
        <v>215.24</v>
      </c>
      <c r="F13" s="38">
        <v>0</v>
      </c>
      <c r="G13" s="37">
        <v>61.17</v>
      </c>
      <c r="H13" s="39">
        <f t="shared" ref="H13:H21" si="1">(E13+F13)/D13</f>
        <v>1.0487234457220815</v>
      </c>
      <c r="I13" s="37">
        <v>611.70000000000005</v>
      </c>
      <c r="J13" s="38">
        <v>10</v>
      </c>
      <c r="K13" s="40">
        <f>J13/D13</f>
        <v>4.8723445722081461E-2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187</v>
      </c>
      <c r="Q13" s="44" t="s">
        <v>188</v>
      </c>
      <c r="R13" s="45" t="s">
        <v>189</v>
      </c>
    </row>
    <row r="14" spans="1:18" s="46" customFormat="1" ht="24.95" customHeight="1">
      <c r="A14" s="47">
        <v>3</v>
      </c>
      <c r="B14" s="36" t="s">
        <v>161</v>
      </c>
      <c r="C14" s="37">
        <v>550.95000000000005</v>
      </c>
      <c r="D14" s="38">
        <v>53.3</v>
      </c>
      <c r="E14" s="38">
        <v>56.3</v>
      </c>
      <c r="F14" s="38">
        <v>0</v>
      </c>
      <c r="G14" s="37">
        <v>183.65</v>
      </c>
      <c r="H14" s="39">
        <f>(E14+F14)/D14</f>
        <v>1.0562851782363978</v>
      </c>
      <c r="I14" s="37">
        <v>550.95000000000005</v>
      </c>
      <c r="J14" s="38">
        <v>3</v>
      </c>
      <c r="K14" s="40">
        <f t="shared" ref="K14:K21" si="4">J14/D14</f>
        <v>5.6285178236397754E-2</v>
      </c>
      <c r="L14" s="41">
        <f t="shared" si="2"/>
        <v>0</v>
      </c>
      <c r="M14" s="42">
        <f t="shared" si="3"/>
        <v>0</v>
      </c>
      <c r="N14" s="43">
        <f t="shared" si="0"/>
        <v>0</v>
      </c>
      <c r="O14" s="44" t="s">
        <v>88</v>
      </c>
      <c r="P14" s="69" t="s">
        <v>175</v>
      </c>
      <c r="Q14" s="82"/>
      <c r="R14" s="45" t="s">
        <v>162</v>
      </c>
    </row>
    <row r="15" spans="1:18" s="46" customFormat="1" ht="24.95" customHeight="1">
      <c r="A15" s="35">
        <v>4</v>
      </c>
      <c r="B15" s="36" t="s">
        <v>163</v>
      </c>
      <c r="C15" s="37">
        <v>507.84</v>
      </c>
      <c r="D15" s="38">
        <v>43.05</v>
      </c>
      <c r="E15" s="38">
        <v>45.05</v>
      </c>
      <c r="F15" s="38">
        <v>0</v>
      </c>
      <c r="G15" s="37">
        <v>253.92</v>
      </c>
      <c r="H15" s="39">
        <f>(E15+F15)/D15</f>
        <v>1.0464576074332173</v>
      </c>
      <c r="I15" s="37">
        <v>507.84</v>
      </c>
      <c r="J15" s="38">
        <v>2</v>
      </c>
      <c r="K15" s="40">
        <f t="shared" si="4"/>
        <v>4.6457607433217189E-2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88</v>
      </c>
      <c r="P15" s="69" t="s">
        <v>118</v>
      </c>
      <c r="Q15" s="82"/>
      <c r="R15" s="45" t="s">
        <v>162</v>
      </c>
    </row>
    <row r="16" spans="1:18" s="46" customFormat="1" ht="24.95" customHeight="1">
      <c r="A16" s="47">
        <v>5</v>
      </c>
      <c r="B16" s="36" t="s">
        <v>98</v>
      </c>
      <c r="C16" s="37">
        <v>468.45</v>
      </c>
      <c r="D16" s="38">
        <v>5634</v>
      </c>
      <c r="E16" s="38">
        <v>5679</v>
      </c>
      <c r="F16" s="38">
        <v>0</v>
      </c>
      <c r="G16" s="37">
        <v>10.41</v>
      </c>
      <c r="H16" s="39">
        <f t="shared" si="1"/>
        <v>1.0079872204472844</v>
      </c>
      <c r="I16" s="37">
        <v>468.45</v>
      </c>
      <c r="J16" s="38">
        <v>45</v>
      </c>
      <c r="K16" s="40">
        <f t="shared" si="4"/>
        <v>7.9872204472843447E-3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88</v>
      </c>
      <c r="P16" s="69" t="s">
        <v>99</v>
      </c>
      <c r="Q16" s="82"/>
      <c r="R16" s="45" t="s">
        <v>100</v>
      </c>
    </row>
    <row r="17" spans="1:18" s="46" customFormat="1" ht="24.95" customHeight="1">
      <c r="A17" s="35">
        <v>6</v>
      </c>
      <c r="B17" s="36" t="s">
        <v>197</v>
      </c>
      <c r="C17" s="37">
        <v>295.26</v>
      </c>
      <c r="D17" s="38">
        <v>9.58</v>
      </c>
      <c r="E17" s="38">
        <v>10.95</v>
      </c>
      <c r="F17" s="38">
        <v>0</v>
      </c>
      <c r="G17" s="37">
        <v>246.05</v>
      </c>
      <c r="H17" s="39">
        <f t="shared" si="1"/>
        <v>1.1430062630480167</v>
      </c>
      <c r="I17" s="37">
        <v>337.08849999999984</v>
      </c>
      <c r="J17" s="38">
        <v>1.2</v>
      </c>
      <c r="K17" s="40">
        <f t="shared" si="4"/>
        <v>0.12526096033402923</v>
      </c>
      <c r="L17" s="41">
        <f t="shared" si="2"/>
        <v>0.16999999999999926</v>
      </c>
      <c r="M17" s="42">
        <f t="shared" si="3"/>
        <v>1.7745302713987398E-2</v>
      </c>
      <c r="N17" s="43">
        <f t="shared" si="0"/>
        <v>41.828499999999821</v>
      </c>
      <c r="O17" s="44" t="s">
        <v>88</v>
      </c>
      <c r="P17" s="44" t="s">
        <v>175</v>
      </c>
      <c r="Q17" s="44"/>
      <c r="R17" s="45" t="s">
        <v>154</v>
      </c>
    </row>
    <row r="18" spans="1:18" s="46" customFormat="1" ht="24.95" customHeight="1">
      <c r="A18" s="47">
        <v>7</v>
      </c>
      <c r="B18" s="36" t="s">
        <v>198</v>
      </c>
      <c r="C18" s="37">
        <v>294.86</v>
      </c>
      <c r="D18" s="38">
        <v>758.28</v>
      </c>
      <c r="E18" s="38">
        <v>755.35</v>
      </c>
      <c r="F18" s="38">
        <v>9.98</v>
      </c>
      <c r="G18" s="37">
        <v>147.43</v>
      </c>
      <c r="H18" s="39">
        <f t="shared" si="1"/>
        <v>1.0092973571767685</v>
      </c>
      <c r="I18" s="37">
        <v>1039.3815000000102</v>
      </c>
      <c r="J18" s="38">
        <v>2</v>
      </c>
      <c r="K18" s="40">
        <f t="shared" si="4"/>
        <v>2.6375481352534686E-3</v>
      </c>
      <c r="L18" s="41">
        <f>((E18+F18)-D18)-J18</f>
        <v>5.0500000000000682</v>
      </c>
      <c r="M18" s="42">
        <f t="shared" si="3"/>
        <v>6.6598090415150978E-3</v>
      </c>
      <c r="N18" s="43">
        <f t="shared" si="0"/>
        <v>744.52150000001006</v>
      </c>
      <c r="O18" s="44" t="s">
        <v>88</v>
      </c>
      <c r="P18" s="44" t="s">
        <v>48</v>
      </c>
      <c r="Q18" s="44" t="s">
        <v>102</v>
      </c>
      <c r="R18" s="45" t="s">
        <v>103</v>
      </c>
    </row>
    <row r="19" spans="1:18" s="46" customFormat="1" ht="24.95" customHeight="1">
      <c r="A19" s="35">
        <v>8</v>
      </c>
      <c r="B19" s="36" t="s">
        <v>168</v>
      </c>
      <c r="C19" s="37">
        <v>283.89999999999998</v>
      </c>
      <c r="D19" s="38">
        <v>12450</v>
      </c>
      <c r="E19" s="38">
        <v>11804</v>
      </c>
      <c r="F19" s="38">
        <v>980</v>
      </c>
      <c r="G19" s="37">
        <v>0.85</v>
      </c>
      <c r="H19" s="39">
        <f t="shared" si="1"/>
        <v>1.0268273092369478</v>
      </c>
      <c r="I19" s="37">
        <v>283.89999999999998</v>
      </c>
      <c r="J19" s="38">
        <v>334</v>
      </c>
      <c r="K19" s="40">
        <f t="shared" si="4"/>
        <v>2.6827309236947792E-2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88</v>
      </c>
      <c r="P19" s="44" t="s">
        <v>183</v>
      </c>
      <c r="Q19" s="44"/>
      <c r="R19" s="45" t="s">
        <v>103</v>
      </c>
    </row>
    <row r="20" spans="1:18" s="46" customFormat="1" ht="24.95" customHeight="1">
      <c r="A20" s="47">
        <v>9</v>
      </c>
      <c r="B20" s="36" t="s">
        <v>111</v>
      </c>
      <c r="C20" s="37">
        <v>283.20000000000005</v>
      </c>
      <c r="D20" s="38">
        <v>134.84</v>
      </c>
      <c r="E20" s="38">
        <v>139.30000000000001</v>
      </c>
      <c r="F20" s="38">
        <v>0</v>
      </c>
      <c r="G20" s="37">
        <v>96</v>
      </c>
      <c r="H20" s="39">
        <f t="shared" si="1"/>
        <v>1.0330762385048948</v>
      </c>
      <c r="I20" s="37">
        <v>428.16000000000076</v>
      </c>
      <c r="J20" s="38">
        <v>2.95</v>
      </c>
      <c r="K20" s="40">
        <f t="shared" si="4"/>
        <v>2.1877781073865323E-2</v>
      </c>
      <c r="L20" s="41">
        <f t="shared" si="2"/>
        <v>1.5100000000000078</v>
      </c>
      <c r="M20" s="42">
        <f t="shared" si="3"/>
        <v>1.1198457431029426E-2</v>
      </c>
      <c r="N20" s="43">
        <f t="shared" si="0"/>
        <v>144.96000000000075</v>
      </c>
      <c r="O20" s="44" t="s">
        <v>88</v>
      </c>
      <c r="P20" s="44" t="s">
        <v>199</v>
      </c>
      <c r="Q20" s="44"/>
      <c r="R20" s="45" t="s">
        <v>113</v>
      </c>
    </row>
    <row r="21" spans="1:18" s="46" customFormat="1" ht="24.95" customHeight="1" thickBot="1">
      <c r="A21" s="48">
        <v>10</v>
      </c>
      <c r="B21" s="49" t="s">
        <v>190</v>
      </c>
      <c r="C21" s="50">
        <v>275.86</v>
      </c>
      <c r="D21" s="51">
        <v>1466</v>
      </c>
      <c r="E21" s="51">
        <v>1492</v>
      </c>
      <c r="F21" s="51">
        <v>0</v>
      </c>
      <c r="G21" s="50">
        <v>10.61</v>
      </c>
      <c r="H21" s="52">
        <f t="shared" si="1"/>
        <v>1.0177353342428377</v>
      </c>
      <c r="I21" s="50">
        <v>275.86</v>
      </c>
      <c r="J21" s="51">
        <v>26</v>
      </c>
      <c r="K21" s="53">
        <f t="shared" si="4"/>
        <v>1.7735334242837655E-2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88</v>
      </c>
      <c r="P21" s="57" t="s">
        <v>183</v>
      </c>
      <c r="Q21" s="57"/>
      <c r="R21" s="58" t="s">
        <v>189</v>
      </c>
    </row>
    <row r="22" spans="1:18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20"/>
    </row>
    <row r="24" spans="1:18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8" t="s">
        <v>66</v>
      </c>
      <c r="Q24" s="100" t="s">
        <v>67</v>
      </c>
      <c r="R24" s="129" t="s">
        <v>68</v>
      </c>
    </row>
    <row r="25" spans="1:18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00"/>
      <c r="Q25" s="100"/>
      <c r="R25" s="130"/>
    </row>
    <row r="26" spans="1:18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00"/>
      <c r="Q26" s="100"/>
      <c r="R26" s="130"/>
    </row>
    <row r="27" spans="1:18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00"/>
      <c r="Q27" s="100"/>
      <c r="R27" s="131"/>
    </row>
    <row r="28" spans="1:18" s="67" customFormat="1" ht="24.95" customHeight="1">
      <c r="A28" s="35">
        <v>1</v>
      </c>
      <c r="B28" s="36" t="s">
        <v>179</v>
      </c>
      <c r="C28" s="37">
        <v>2903.1088000000018</v>
      </c>
      <c r="D28" s="38">
        <v>249.06</v>
      </c>
      <c r="E28" s="38">
        <v>245.68</v>
      </c>
      <c r="F28" s="38">
        <v>10.5</v>
      </c>
      <c r="G28" s="37">
        <v>407.74</v>
      </c>
      <c r="H28" s="68">
        <f t="shared" ref="H28:H37" si="5">(E28+F28)/D28</f>
        <v>1.0285874889584838</v>
      </c>
      <c r="I28" s="37">
        <v>2903.1088000000018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7.1200000000000045</v>
      </c>
      <c r="N28" s="42">
        <f t="shared" ref="N28:N37" si="9">M28/D28</f>
        <v>2.8587488958483918E-2</v>
      </c>
      <c r="O28" s="44" t="s">
        <v>116</v>
      </c>
      <c r="P28" s="44" t="s">
        <v>120</v>
      </c>
      <c r="Q28" s="82" t="s">
        <v>132</v>
      </c>
      <c r="R28" s="45" t="s">
        <v>180</v>
      </c>
    </row>
    <row r="29" spans="1:18" s="67" customFormat="1" ht="24.95" customHeight="1">
      <c r="A29" s="47">
        <v>2</v>
      </c>
      <c r="B29" s="36" t="s">
        <v>155</v>
      </c>
      <c r="C29" s="37">
        <v>2103.737699999996</v>
      </c>
      <c r="D29" s="38">
        <v>61.56</v>
      </c>
      <c r="E29" s="38">
        <v>61.65</v>
      </c>
      <c r="F29" s="38">
        <v>3.12</v>
      </c>
      <c r="G29" s="37">
        <v>655.37</v>
      </c>
      <c r="H29" s="68">
        <f t="shared" si="5"/>
        <v>1.0521442495126705</v>
      </c>
      <c r="I29" s="37">
        <v>2103.737699999996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3.2099999999999937</v>
      </c>
      <c r="N29" s="42">
        <f t="shared" si="9"/>
        <v>5.2144249512670465E-2</v>
      </c>
      <c r="O29" s="44" t="s">
        <v>116</v>
      </c>
      <c r="P29" s="69" t="s">
        <v>118</v>
      </c>
      <c r="Q29" s="82"/>
      <c r="R29" s="45" t="s">
        <v>122</v>
      </c>
    </row>
    <row r="30" spans="1:18" s="67" customFormat="1" ht="24.95" customHeight="1">
      <c r="A30" s="47">
        <v>3</v>
      </c>
      <c r="B30" s="36" t="s">
        <v>196</v>
      </c>
      <c r="C30" s="37">
        <v>1792.5360000000055</v>
      </c>
      <c r="D30" s="38">
        <v>65.7</v>
      </c>
      <c r="E30" s="38">
        <v>66.650000000000006</v>
      </c>
      <c r="F30" s="38">
        <v>1.9</v>
      </c>
      <c r="G30" s="37">
        <v>628.96</v>
      </c>
      <c r="H30" s="68">
        <f t="shared" si="5"/>
        <v>1.04337899543379</v>
      </c>
      <c r="I30" s="37">
        <v>1792.5360000000055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2.8500000000000085</v>
      </c>
      <c r="N30" s="42">
        <f t="shared" si="9"/>
        <v>4.3378995433790084E-2</v>
      </c>
      <c r="O30" s="44" t="s">
        <v>116</v>
      </c>
      <c r="P30" s="69" t="s">
        <v>118</v>
      </c>
      <c r="Q30" s="82"/>
      <c r="R30" s="45" t="s">
        <v>110</v>
      </c>
    </row>
    <row r="31" spans="1:18" s="67" customFormat="1" ht="24.95" customHeight="1">
      <c r="A31" s="35">
        <v>4</v>
      </c>
      <c r="B31" s="36" t="s">
        <v>152</v>
      </c>
      <c r="C31" s="37">
        <v>1616.5300000000002</v>
      </c>
      <c r="D31" s="38">
        <v>29.23</v>
      </c>
      <c r="E31" s="38">
        <v>31.8</v>
      </c>
      <c r="F31" s="38">
        <v>0</v>
      </c>
      <c r="G31" s="37">
        <v>629</v>
      </c>
      <c r="H31" s="68">
        <f t="shared" si="5"/>
        <v>1.087923366404379</v>
      </c>
      <c r="I31" s="37">
        <v>1616.5300000000002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2.5700000000000003</v>
      </c>
      <c r="N31" s="42">
        <f t="shared" si="9"/>
        <v>8.7923366404379075E-2</v>
      </c>
      <c r="O31" s="44" t="s">
        <v>116</v>
      </c>
      <c r="P31" s="69" t="s">
        <v>118</v>
      </c>
      <c r="Q31" s="82"/>
      <c r="R31" s="45" t="s">
        <v>105</v>
      </c>
    </row>
    <row r="32" spans="1:18" s="67" customFormat="1" ht="24.95" customHeight="1">
      <c r="A32" s="47">
        <v>5</v>
      </c>
      <c r="B32" s="36" t="s">
        <v>140</v>
      </c>
      <c r="C32" s="37">
        <v>1581.9999999999986</v>
      </c>
      <c r="D32" s="38">
        <v>149.43</v>
      </c>
      <c r="E32" s="38">
        <v>155.5</v>
      </c>
      <c r="F32" s="38">
        <v>2.5</v>
      </c>
      <c r="G32" s="37">
        <v>200</v>
      </c>
      <c r="H32" s="68">
        <f t="shared" si="5"/>
        <v>1.0573512681523121</v>
      </c>
      <c r="I32" s="37">
        <v>1713.9999999999986</v>
      </c>
      <c r="J32" s="38">
        <v>0.66</v>
      </c>
      <c r="K32" s="40">
        <f t="shared" si="6"/>
        <v>4.4167837783577598E-3</v>
      </c>
      <c r="L32" s="43">
        <f t="shared" si="7"/>
        <v>132</v>
      </c>
      <c r="M32" s="41">
        <f t="shared" si="8"/>
        <v>7.909999999999993</v>
      </c>
      <c r="N32" s="42">
        <f t="shared" si="9"/>
        <v>5.2934484373954309E-2</v>
      </c>
      <c r="O32" s="44" t="s">
        <v>116</v>
      </c>
      <c r="P32" s="69" t="s">
        <v>118</v>
      </c>
      <c r="Q32" s="82"/>
      <c r="R32" s="45" t="s">
        <v>103</v>
      </c>
    </row>
    <row r="33" spans="1:18" s="67" customFormat="1" ht="24.95" customHeight="1">
      <c r="A33" s="35">
        <v>6</v>
      </c>
      <c r="B33" s="36" t="s">
        <v>200</v>
      </c>
      <c r="C33" s="37">
        <v>1564.2972</v>
      </c>
      <c r="D33" s="38">
        <v>236.28</v>
      </c>
      <c r="E33" s="38">
        <v>230.4</v>
      </c>
      <c r="F33" s="38">
        <v>21.6</v>
      </c>
      <c r="G33" s="37">
        <v>99.51</v>
      </c>
      <c r="H33" s="68">
        <f t="shared" si="5"/>
        <v>1.0665312341289994</v>
      </c>
      <c r="I33" s="37">
        <v>1564.2972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15.719999999999999</v>
      </c>
      <c r="N33" s="42">
        <f t="shared" si="9"/>
        <v>6.6531234128999486E-2</v>
      </c>
      <c r="O33" s="44" t="s">
        <v>116</v>
      </c>
      <c r="P33" s="69" t="s">
        <v>118</v>
      </c>
      <c r="Q33" s="82"/>
      <c r="R33" s="45" t="s">
        <v>201</v>
      </c>
    </row>
    <row r="34" spans="1:18" s="67" customFormat="1" ht="24.95" customHeight="1">
      <c r="A34" s="47">
        <v>7</v>
      </c>
      <c r="B34" s="36" t="s">
        <v>130</v>
      </c>
      <c r="C34" s="37">
        <v>1532.6234000000006</v>
      </c>
      <c r="D34" s="38">
        <v>195.05</v>
      </c>
      <c r="E34" s="38">
        <v>195</v>
      </c>
      <c r="F34" s="38">
        <v>2.58</v>
      </c>
      <c r="G34" s="37">
        <v>605.78</v>
      </c>
      <c r="H34" s="68">
        <f t="shared" si="5"/>
        <v>1.012971033068444</v>
      </c>
      <c r="I34" s="37">
        <v>1532.6234000000006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2.5300000000000011</v>
      </c>
      <c r="N34" s="42">
        <f t="shared" si="9"/>
        <v>1.2971033068443993E-2</v>
      </c>
      <c r="O34" s="44" t="s">
        <v>116</v>
      </c>
      <c r="P34" s="44" t="s">
        <v>120</v>
      </c>
      <c r="Q34" s="82" t="s">
        <v>132</v>
      </c>
      <c r="R34" s="45" t="s">
        <v>133</v>
      </c>
    </row>
    <row r="35" spans="1:18" s="67" customFormat="1" ht="24.95" customHeight="1">
      <c r="A35" s="35">
        <v>8</v>
      </c>
      <c r="B35" s="36" t="s">
        <v>129</v>
      </c>
      <c r="C35" s="37">
        <v>1401.4961999999971</v>
      </c>
      <c r="D35" s="38">
        <v>5072.82</v>
      </c>
      <c r="E35" s="38">
        <v>5048.3999999999996</v>
      </c>
      <c r="F35" s="38">
        <v>60</v>
      </c>
      <c r="G35" s="37">
        <v>39.39</v>
      </c>
      <c r="H35" s="68">
        <f t="shared" si="5"/>
        <v>1.0070138502844572</v>
      </c>
      <c r="I35" s="37">
        <v>1401.4961999999971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35.579999999999927</v>
      </c>
      <c r="N35" s="42">
        <f t="shared" si="9"/>
        <v>7.0138502844571517E-3</v>
      </c>
      <c r="O35" s="44" t="s">
        <v>116</v>
      </c>
      <c r="P35" s="44" t="s">
        <v>120</v>
      </c>
      <c r="Q35" s="82" t="s">
        <v>132</v>
      </c>
      <c r="R35" s="45" t="s">
        <v>103</v>
      </c>
    </row>
    <row r="36" spans="1:18" s="67" customFormat="1" ht="24.95" customHeight="1">
      <c r="A36" s="47">
        <v>9</v>
      </c>
      <c r="B36" s="36" t="s">
        <v>202</v>
      </c>
      <c r="C36" s="37">
        <v>1243.3807999999997</v>
      </c>
      <c r="D36" s="38">
        <v>38.64</v>
      </c>
      <c r="E36" s="38">
        <v>42.86</v>
      </c>
      <c r="F36" s="38">
        <v>0</v>
      </c>
      <c r="G36" s="37">
        <v>294.64</v>
      </c>
      <c r="H36" s="68">
        <f t="shared" si="5"/>
        <v>1.1092132505175982</v>
      </c>
      <c r="I36" s="37">
        <v>1243.3807999999997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4.2199999999999989</v>
      </c>
      <c r="N36" s="42">
        <f t="shared" si="9"/>
        <v>0.10921325051759831</v>
      </c>
      <c r="O36" s="44" t="s">
        <v>131</v>
      </c>
      <c r="P36" s="69" t="s">
        <v>118</v>
      </c>
      <c r="Q36" s="82"/>
      <c r="R36" s="45" t="s">
        <v>203</v>
      </c>
    </row>
    <row r="37" spans="1:18" s="67" customFormat="1" ht="24.95" customHeight="1" thickBot="1">
      <c r="A37" s="48">
        <v>10</v>
      </c>
      <c r="B37" s="49" t="s">
        <v>159</v>
      </c>
      <c r="C37" s="50">
        <v>1033.8183999999972</v>
      </c>
      <c r="D37" s="51">
        <v>94.9</v>
      </c>
      <c r="E37" s="51">
        <v>96.38</v>
      </c>
      <c r="F37" s="51">
        <v>3.3</v>
      </c>
      <c r="G37" s="50">
        <v>216.28</v>
      </c>
      <c r="H37" s="70">
        <f t="shared" si="5"/>
        <v>1.0503688092729186</v>
      </c>
      <c r="I37" s="50">
        <v>1033.8183999999972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4.7799999999999869</v>
      </c>
      <c r="N37" s="55">
        <f t="shared" si="9"/>
        <v>5.0368809272918723E-2</v>
      </c>
      <c r="O37" s="57" t="s">
        <v>131</v>
      </c>
      <c r="P37" s="83" t="s">
        <v>118</v>
      </c>
      <c r="Q37" s="84"/>
      <c r="R37" s="58" t="s">
        <v>103</v>
      </c>
    </row>
    <row r="38" spans="1:18" ht="15.75" customHeight="1" thickBot="1"/>
    <row r="39" spans="1:18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8" ht="26.1" customHeight="1">
      <c r="A40" s="96" t="s">
        <v>63</v>
      </c>
      <c r="B40" s="97"/>
      <c r="C40" s="97"/>
      <c r="D40" s="98"/>
      <c r="E40" s="71"/>
      <c r="G40" s="74"/>
    </row>
    <row r="41" spans="1:18" ht="25.5" customHeight="1">
      <c r="A41" s="99" t="s">
        <v>69</v>
      </c>
      <c r="B41" s="100" t="s">
        <v>70</v>
      </c>
      <c r="C41" s="100"/>
      <c r="D41" s="101"/>
      <c r="E41" s="71"/>
    </row>
    <row r="42" spans="1:18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8" ht="20.45" customHeight="1">
      <c r="A43" s="99"/>
      <c r="B43" s="102"/>
      <c r="C43" s="103"/>
      <c r="D43" s="104"/>
      <c r="E43" s="71"/>
    </row>
    <row r="44" spans="1:18" s="78" customFormat="1" ht="24.95" customHeight="1">
      <c r="A44" s="75">
        <v>1</v>
      </c>
      <c r="B44" s="36" t="s">
        <v>101</v>
      </c>
      <c r="C44" s="37">
        <v>294.86</v>
      </c>
      <c r="D44" s="76">
        <f t="shared" ref="D44:D53" si="10">C44/$L$5</f>
        <v>0.11812818073427367</v>
      </c>
      <c r="E44" s="77"/>
    </row>
    <row r="45" spans="1:18" s="78" customFormat="1" ht="24.95" customHeight="1">
      <c r="A45" s="79">
        <v>2</v>
      </c>
      <c r="B45" s="36" t="s">
        <v>168</v>
      </c>
      <c r="C45" s="37">
        <v>283.89999999999998</v>
      </c>
      <c r="D45" s="76">
        <f t="shared" si="10"/>
        <v>0.11373733470277518</v>
      </c>
      <c r="E45" s="77"/>
    </row>
    <row r="46" spans="1:18" s="78" customFormat="1" ht="24.95" customHeight="1">
      <c r="A46" s="79">
        <v>3</v>
      </c>
      <c r="B46" s="36" t="s">
        <v>141</v>
      </c>
      <c r="C46" s="37">
        <v>270.19</v>
      </c>
      <c r="D46" s="76">
        <f t="shared" si="10"/>
        <v>0.108244770917023</v>
      </c>
      <c r="E46" s="77"/>
    </row>
    <row r="47" spans="1:18" s="78" customFormat="1" ht="24.95" customHeight="1">
      <c r="A47" s="75">
        <v>4</v>
      </c>
      <c r="B47" s="36" t="s">
        <v>137</v>
      </c>
      <c r="C47" s="37">
        <v>242.55</v>
      </c>
      <c r="D47" s="76">
        <f t="shared" si="10"/>
        <v>9.7171505925178314E-2</v>
      </c>
      <c r="E47" s="77"/>
    </row>
    <row r="48" spans="1:18" s="78" customFormat="1" ht="24.95" customHeight="1">
      <c r="A48" s="79">
        <v>5</v>
      </c>
      <c r="B48" s="36" t="s">
        <v>138</v>
      </c>
      <c r="C48" s="37">
        <v>228.14999999999998</v>
      </c>
      <c r="D48" s="76">
        <f t="shared" si="10"/>
        <v>9.1402511139267908E-2</v>
      </c>
      <c r="E48" s="77"/>
    </row>
    <row r="49" spans="1:5" s="78" customFormat="1" ht="24.95" customHeight="1">
      <c r="A49" s="75">
        <v>6</v>
      </c>
      <c r="B49" s="36" t="s">
        <v>106</v>
      </c>
      <c r="C49" s="37">
        <v>173.922</v>
      </c>
      <c r="D49" s="76">
        <f t="shared" si="10"/>
        <v>6.967743827466033E-2</v>
      </c>
      <c r="E49" s="77"/>
    </row>
    <row r="50" spans="1:5" s="78" customFormat="1" ht="24.95" customHeight="1">
      <c r="A50" s="79">
        <v>7</v>
      </c>
      <c r="B50" s="36" t="s">
        <v>139</v>
      </c>
      <c r="C50" s="37">
        <v>172.584</v>
      </c>
      <c r="D50" s="76">
        <f t="shared" si="10"/>
        <v>6.9141402509136154E-2</v>
      </c>
      <c r="E50" s="77"/>
    </row>
    <row r="51" spans="1:5" s="78" customFormat="1" ht="24.95" customHeight="1">
      <c r="A51" s="75">
        <v>8</v>
      </c>
      <c r="B51" s="36" t="s">
        <v>142</v>
      </c>
      <c r="C51" s="37">
        <v>132.48800000000003</v>
      </c>
      <c r="D51" s="76">
        <f t="shared" si="10"/>
        <v>5.3077957027478986E-2</v>
      </c>
      <c r="E51" s="77"/>
    </row>
    <row r="52" spans="1:5" s="78" customFormat="1" ht="24.95" customHeight="1">
      <c r="A52" s="79">
        <v>9</v>
      </c>
      <c r="B52" s="36" t="s">
        <v>140</v>
      </c>
      <c r="C52" s="37">
        <v>132</v>
      </c>
      <c r="D52" s="76">
        <f t="shared" si="10"/>
        <v>5.2882452204178677E-2</v>
      </c>
      <c r="E52" s="77"/>
    </row>
    <row r="53" spans="1:5" s="78" customFormat="1" ht="24.95" customHeight="1" thickBot="1">
      <c r="A53" s="80">
        <v>10</v>
      </c>
      <c r="B53" s="49" t="s">
        <v>144</v>
      </c>
      <c r="C53" s="50">
        <v>115.84000000000002</v>
      </c>
      <c r="D53" s="81">
        <f t="shared" si="10"/>
        <v>4.6408358055545898E-2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815" priority="34" operator="containsText" text="中華">
      <formula>NOT(ISERROR(SEARCH("中華",A12)))</formula>
    </cfRule>
    <cfRule type="containsText" dxfId="814" priority="33" operator="containsText" text="湯凍">
      <formula>NOT(ISERROR(SEARCH("湯凍",A12)))</formula>
    </cfRule>
    <cfRule type="containsText" dxfId="813" priority="32" operator="containsText" text=")川燙小青花菜">
      <formula>NOT(ISERROR(SEARCH(")川燙小青花菜",A12)))</formula>
    </cfRule>
    <cfRule type="containsText" dxfId="812" priority="31" operator="containsText" text="青蔥">
      <formula>NOT(ISERROR(SEARCH("青蔥",A12)))</formula>
    </cfRule>
    <cfRule type="containsText" dxfId="811" priority="30" operator="containsText" text="白醬">
      <formula>NOT(ISERROR(SEARCH("白醬",A12)))</formula>
    </cfRule>
    <cfRule type="containsText" dxfId="810" priority="29" operator="containsText" text="024">
      <formula>NOT(ISERROR(SEARCH("024",A12)))</formula>
    </cfRule>
    <cfRule type="containsText" dxfId="809" priority="28" operator="containsText" text="煮白細麵生(方#12)">
      <formula>NOT(ISERROR(SEARCH("煮白細麵生(方#12)",A12)))</formula>
    </cfRule>
    <cfRule type="containsText" dxfId="808" priority="27" operator="containsText" text="綠豆芽">
      <formula>NOT(ISERROR(SEARCH("綠豆芽",A12)))</formula>
    </cfRule>
  </conditionalFormatting>
  <conditionalFormatting sqref="A28:A37">
    <cfRule type="containsText" dxfId="807" priority="5" operator="containsText" text="綠豆芽">
      <formula>NOT(ISERROR(SEARCH("綠豆芽",A28)))</formula>
    </cfRule>
    <cfRule type="containsText" dxfId="806" priority="6" operator="containsText" text="煮白細麵生(方#12)">
      <formula>NOT(ISERROR(SEARCH("煮白細麵生(方#12)",A28)))</formula>
    </cfRule>
    <cfRule type="containsText" dxfId="805" priority="7" operator="containsText" text="024">
      <formula>NOT(ISERROR(SEARCH("024",A28)))</formula>
    </cfRule>
    <cfRule type="containsText" dxfId="804" priority="8" operator="containsText" text="白醬">
      <formula>NOT(ISERROR(SEARCH("白醬",A28)))</formula>
    </cfRule>
    <cfRule type="containsText" dxfId="803" priority="9" operator="containsText" text="青蔥">
      <formula>NOT(ISERROR(SEARCH("青蔥",A28)))</formula>
    </cfRule>
    <cfRule type="containsText" dxfId="802" priority="10" operator="containsText" text=")川燙小青花菜">
      <formula>NOT(ISERROR(SEARCH(")川燙小青花菜",A28)))</formula>
    </cfRule>
    <cfRule type="containsText" dxfId="801" priority="11" operator="containsText" text="湯凍">
      <formula>NOT(ISERROR(SEARCH("湯凍",A28)))</formula>
    </cfRule>
    <cfRule type="containsText" dxfId="800" priority="12" operator="containsText" text="中華">
      <formula>NOT(ISERROR(SEARCH("中華",A28)))</formula>
    </cfRule>
  </conditionalFormatting>
  <conditionalFormatting sqref="A44:A53">
    <cfRule type="containsText" dxfId="799" priority="17" operator="containsText" text="綠豆芽">
      <formula>NOT(ISERROR(SEARCH("綠豆芽",A44)))</formula>
    </cfRule>
    <cfRule type="containsText" dxfId="798" priority="18" operator="containsText" text="煮白細麵生(方#12)">
      <formula>NOT(ISERROR(SEARCH("煮白細麵生(方#12)",A44)))</formula>
    </cfRule>
    <cfRule type="containsText" dxfId="797" priority="19" operator="containsText" text="024">
      <formula>NOT(ISERROR(SEARCH("024",A44)))</formula>
    </cfRule>
    <cfRule type="containsText" dxfId="796" priority="20" operator="containsText" text="白醬">
      <formula>NOT(ISERROR(SEARCH("白醬",A44)))</formula>
    </cfRule>
    <cfRule type="containsText" dxfId="795" priority="21" operator="containsText" text="青蔥">
      <formula>NOT(ISERROR(SEARCH("青蔥",A44)))</formula>
    </cfRule>
    <cfRule type="containsText" dxfId="794" priority="22" operator="containsText" text=")川燙小青花菜">
      <formula>NOT(ISERROR(SEARCH(")川燙小青花菜",A44)))</formula>
    </cfRule>
    <cfRule type="containsText" dxfId="793" priority="23" operator="containsText" text="湯凍">
      <formula>NOT(ISERROR(SEARCH("湯凍",A44)))</formula>
    </cfRule>
    <cfRule type="containsText" dxfId="792" priority="24" operator="containsText" text="中華">
      <formula>NOT(ISERROR(SEARCH("中華",A44)))</formula>
    </cfRule>
  </conditionalFormatting>
  <conditionalFormatting sqref="D44:D53">
    <cfRule type="cellIs" dxfId="791" priority="16" operator="greaterThan">
      <formula>0.146</formula>
    </cfRule>
  </conditionalFormatting>
  <conditionalFormatting sqref="E5">
    <cfRule type="cellIs" dxfId="790" priority="25" operator="greaterThan">
      <formula>0.072</formula>
    </cfRule>
    <cfRule type="cellIs" dxfId="789" priority="26" operator="greaterThan">
      <formula>7.2</formula>
    </cfRule>
    <cfRule type="cellIs" dxfId="788" priority="14" operator="greaterThan">
      <formula>0.0025</formula>
    </cfRule>
  </conditionalFormatting>
  <conditionalFormatting sqref="G5">
    <cfRule type="cellIs" dxfId="787" priority="3" operator="greaterThan">
      <formula>7.2</formula>
    </cfRule>
    <cfRule type="cellIs" dxfId="786" priority="2" operator="greaterThan">
      <formula>0.072</formula>
    </cfRule>
    <cfRule type="cellIs" dxfId="785" priority="1" operator="greaterThan">
      <formula>0.0025</formula>
    </cfRule>
  </conditionalFormatting>
  <conditionalFormatting sqref="H12:H22">
    <cfRule type="cellIs" dxfId="784" priority="15" operator="greaterThan">
      <formula>1.1</formula>
    </cfRule>
  </conditionalFormatting>
  <conditionalFormatting sqref="H28:H37">
    <cfRule type="cellIs" dxfId="783" priority="4" operator="greaterThan">
      <formula>1.1</formula>
    </cfRule>
  </conditionalFormatting>
  <conditionalFormatting sqref="I5">
    <cfRule type="cellIs" dxfId="78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32BA-AB42-41EF-9B58-3C0CC39409FA}">
  <sheetPr>
    <tabColor rgb="FFFF0000"/>
    <pageSetUpPr fitToPage="1"/>
  </sheetPr>
  <dimension ref="A1:R56"/>
  <sheetViews>
    <sheetView topLeftCell="E19" zoomScale="70" zoomScaleNormal="70" workbookViewId="0">
      <selection activeCell="R28" sqref="R28:R37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24" style="18" bestFit="1" customWidth="1"/>
    <col min="17" max="17" width="55.25" style="18" bestFit="1" customWidth="1"/>
    <col min="18" max="18" width="41.75" style="18" customWidth="1"/>
    <col min="19" max="16384" width="9" style="18"/>
  </cols>
  <sheetData>
    <row r="1" spans="1:18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8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8" s="20" customFormat="1" ht="28.5">
      <c r="A3" s="149">
        <v>45892</v>
      </c>
      <c r="B3" s="150"/>
      <c r="C3" s="151">
        <v>6081229.5300000003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8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8" ht="46.5" customHeight="1" thickBot="1">
      <c r="A5" s="146" t="s">
        <v>61</v>
      </c>
      <c r="B5" s="147"/>
      <c r="C5" s="147"/>
      <c r="D5" s="24">
        <v>14691.886299999993</v>
      </c>
      <c r="E5" s="25">
        <f>D5/C3</f>
        <v>2.4159401034810129E-3</v>
      </c>
      <c r="F5" s="24">
        <v>48212.656200000012</v>
      </c>
      <c r="G5" s="26">
        <f>F5/C3</f>
        <v>7.9281099261517291E-3</v>
      </c>
      <c r="H5" s="27">
        <f>SUM(C12:C21)</f>
        <v>5687.0398999999998</v>
      </c>
      <c r="I5" s="28">
        <f>H5/D5</f>
        <v>0.38708711624047909</v>
      </c>
      <c r="J5" s="27">
        <f>SUM(C28:C37)</f>
        <v>13306.951099999991</v>
      </c>
      <c r="K5" s="29">
        <f>J5/F5</f>
        <v>0.27600535105966612</v>
      </c>
      <c r="L5" s="30">
        <v>1926.7928999999999</v>
      </c>
      <c r="M5" s="31">
        <f>L5/D5</f>
        <v>0.13114673369069027</v>
      </c>
    </row>
    <row r="6" spans="1:18" ht="46.5" customHeight="1" thickBot="1"/>
    <row r="7" spans="1:18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148"/>
      <c r="R7" s="95"/>
    </row>
    <row r="8" spans="1:18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28" t="s">
        <v>66</v>
      </c>
      <c r="Q8" s="100" t="s">
        <v>67</v>
      </c>
      <c r="R8" s="104" t="s">
        <v>68</v>
      </c>
    </row>
    <row r="9" spans="1:18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0"/>
      <c r="R9" s="104"/>
    </row>
    <row r="10" spans="1:18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0"/>
      <c r="R10" s="104"/>
    </row>
    <row r="11" spans="1:18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0"/>
      <c r="R11" s="104"/>
    </row>
    <row r="12" spans="1:18" s="46" customFormat="1" ht="24.95" customHeight="1">
      <c r="A12" s="35">
        <v>1</v>
      </c>
      <c r="B12" s="36" t="s">
        <v>117</v>
      </c>
      <c r="C12" s="37">
        <v>1881.7029</v>
      </c>
      <c r="D12" s="38">
        <v>97.49</v>
      </c>
      <c r="E12" s="38">
        <v>101.9</v>
      </c>
      <c r="F12" s="38">
        <v>0</v>
      </c>
      <c r="G12" s="37">
        <v>426.69</v>
      </c>
      <c r="H12" s="39">
        <f>(E12+F12)/D12</f>
        <v>1.045235408759873</v>
      </c>
      <c r="I12" s="37">
        <v>1881.7029000000045</v>
      </c>
      <c r="J12" s="38">
        <v>4.41</v>
      </c>
      <c r="K12" s="40">
        <f>J12/D12</f>
        <v>4.5235408759872808E-2</v>
      </c>
      <c r="L12" s="41">
        <f>((E12+F12)-D12)-J12</f>
        <v>1.0658141036401503E-14</v>
      </c>
      <c r="M12" s="42">
        <f>L12/D12</f>
        <v>1.0932547990974976E-16</v>
      </c>
      <c r="N12" s="43">
        <f t="shared" ref="N12:N21" si="0">L12*G12</f>
        <v>4.547722198822157E-12</v>
      </c>
      <c r="O12" s="44" t="s">
        <v>88</v>
      </c>
      <c r="P12" s="44" t="s">
        <v>118</v>
      </c>
      <c r="Q12" s="44"/>
      <c r="R12" s="45" t="s">
        <v>97</v>
      </c>
    </row>
    <row r="13" spans="1:18" s="46" customFormat="1" ht="24.95" customHeight="1">
      <c r="A13" s="47">
        <v>2</v>
      </c>
      <c r="B13" s="36" t="s">
        <v>186</v>
      </c>
      <c r="C13" s="37">
        <v>707.12520000000006</v>
      </c>
      <c r="D13" s="38">
        <v>202.72</v>
      </c>
      <c r="E13" s="38">
        <v>216.18</v>
      </c>
      <c r="F13" s="38">
        <v>0</v>
      </c>
      <c r="G13" s="37">
        <v>61.17</v>
      </c>
      <c r="H13" s="39">
        <f t="shared" ref="H13:H21" si="1">(E13+F13)/D13</f>
        <v>1.066397000789266</v>
      </c>
      <c r="I13" s="37">
        <v>823.34820000000047</v>
      </c>
      <c r="J13" s="38">
        <v>11.56</v>
      </c>
      <c r="K13" s="40">
        <f>J13/D13</f>
        <v>5.7024467245461723E-2</v>
      </c>
      <c r="L13" s="41">
        <f t="shared" ref="L13:L21" si="2">((E13+F13)-D13)-J13</f>
        <v>1.9000000000000075</v>
      </c>
      <c r="M13" s="42">
        <f t="shared" ref="M13:M21" si="3">L13/D13</f>
        <v>9.3725335438042991E-3</v>
      </c>
      <c r="N13" s="43">
        <f t="shared" si="0"/>
        <v>116.22300000000045</v>
      </c>
      <c r="O13" s="44" t="s">
        <v>88</v>
      </c>
      <c r="P13" s="44" t="s">
        <v>187</v>
      </c>
      <c r="Q13" s="44" t="s">
        <v>188</v>
      </c>
      <c r="R13" s="45" t="s">
        <v>189</v>
      </c>
    </row>
    <row r="14" spans="1:18" s="46" customFormat="1" ht="24.95" customHeight="1">
      <c r="A14" s="47">
        <v>3</v>
      </c>
      <c r="B14" s="36" t="s">
        <v>101</v>
      </c>
      <c r="C14" s="37">
        <v>589.72</v>
      </c>
      <c r="D14" s="38">
        <v>487.14</v>
      </c>
      <c r="E14" s="38">
        <v>489.84</v>
      </c>
      <c r="F14" s="38">
        <v>10.94</v>
      </c>
      <c r="G14" s="37">
        <v>147.43</v>
      </c>
      <c r="H14" s="39">
        <f>(E14+F14)/D14</f>
        <v>1.028000164223837</v>
      </c>
      <c r="I14" s="37">
        <v>2010.9451999999981</v>
      </c>
      <c r="J14" s="38">
        <v>4</v>
      </c>
      <c r="K14" s="40">
        <f t="shared" ref="K14:K21" si="4">J14/D14</f>
        <v>8.2111918544976806E-3</v>
      </c>
      <c r="L14" s="41">
        <f t="shared" si="2"/>
        <v>9.6399999999999864</v>
      </c>
      <c r="M14" s="42">
        <f t="shared" si="3"/>
        <v>1.9788972369339384E-2</v>
      </c>
      <c r="N14" s="43">
        <f t="shared" si="0"/>
        <v>1421.225199999998</v>
      </c>
      <c r="O14" s="44" t="s">
        <v>88</v>
      </c>
      <c r="P14" s="44" t="s">
        <v>48</v>
      </c>
      <c r="Q14" s="44" t="s">
        <v>102</v>
      </c>
      <c r="R14" s="45" t="s">
        <v>103</v>
      </c>
    </row>
    <row r="15" spans="1:18" s="46" customFormat="1" ht="24.95" customHeight="1">
      <c r="A15" s="35">
        <v>4</v>
      </c>
      <c r="B15" s="36" t="s">
        <v>204</v>
      </c>
      <c r="C15" s="37">
        <v>483.33869999999996</v>
      </c>
      <c r="D15" s="38">
        <v>52.46</v>
      </c>
      <c r="E15" s="38">
        <v>53.63</v>
      </c>
      <c r="F15" s="38">
        <v>0</v>
      </c>
      <c r="G15" s="37">
        <v>413.11</v>
      </c>
      <c r="H15" s="39">
        <f>(E15+F15)/D15</f>
        <v>1.0223027068242472</v>
      </c>
      <c r="I15" s="37">
        <v>483.3387000000007</v>
      </c>
      <c r="J15" s="38">
        <v>1.17</v>
      </c>
      <c r="K15" s="40">
        <f t="shared" si="4"/>
        <v>2.2302706824247044E-2</v>
      </c>
      <c r="L15" s="41">
        <f t="shared" si="2"/>
        <v>1.7763568394002505E-15</v>
      </c>
      <c r="M15" s="42">
        <f t="shared" si="3"/>
        <v>3.3861167354179385E-17</v>
      </c>
      <c r="N15" s="43">
        <f t="shared" si="0"/>
        <v>7.3383077392463749E-13</v>
      </c>
      <c r="O15" s="44" t="s">
        <v>88</v>
      </c>
      <c r="P15" s="44" t="s">
        <v>120</v>
      </c>
      <c r="Q15" s="44" t="s">
        <v>205</v>
      </c>
      <c r="R15" s="45" t="s">
        <v>206</v>
      </c>
    </row>
    <row r="16" spans="1:18" s="46" customFormat="1" ht="24.95" customHeight="1">
      <c r="A16" s="47">
        <v>5</v>
      </c>
      <c r="B16" s="36" t="s">
        <v>207</v>
      </c>
      <c r="C16" s="37">
        <v>417.47550000000001</v>
      </c>
      <c r="D16" s="38">
        <v>2.2599999999999998</v>
      </c>
      <c r="E16" s="38">
        <v>2.9099999999999997</v>
      </c>
      <c r="F16" s="38">
        <v>0</v>
      </c>
      <c r="G16" s="37">
        <v>642.27</v>
      </c>
      <c r="H16" s="39">
        <f t="shared" si="1"/>
        <v>1.2876106194690264</v>
      </c>
      <c r="I16" s="37">
        <v>417.47549999999995</v>
      </c>
      <c r="J16" s="38">
        <v>0.65</v>
      </c>
      <c r="K16" s="40">
        <f t="shared" si="4"/>
        <v>0.28761061946902661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88</v>
      </c>
      <c r="P16" s="44" t="s">
        <v>175</v>
      </c>
      <c r="Q16" s="44"/>
      <c r="R16" s="45" t="s">
        <v>162</v>
      </c>
    </row>
    <row r="17" spans="1:18" s="46" customFormat="1" ht="24.95" customHeight="1">
      <c r="A17" s="35">
        <v>6</v>
      </c>
      <c r="B17" s="36" t="s">
        <v>161</v>
      </c>
      <c r="C17" s="37">
        <v>367.3</v>
      </c>
      <c r="D17" s="38">
        <v>39.229999999999997</v>
      </c>
      <c r="E17" s="38">
        <v>41.26</v>
      </c>
      <c r="F17" s="38">
        <v>2.6</v>
      </c>
      <c r="G17" s="37">
        <v>183.65</v>
      </c>
      <c r="H17" s="39">
        <f t="shared" si="1"/>
        <v>1.1180219219984706</v>
      </c>
      <c r="I17" s="37">
        <v>850.29950000000053</v>
      </c>
      <c r="J17" s="38">
        <v>2</v>
      </c>
      <c r="K17" s="40">
        <f t="shared" si="4"/>
        <v>5.0981391791995928E-2</v>
      </c>
      <c r="L17" s="41">
        <f t="shared" si="2"/>
        <v>2.6300000000000026</v>
      </c>
      <c r="M17" s="42">
        <f t="shared" si="3"/>
        <v>6.7040530206474713E-2</v>
      </c>
      <c r="N17" s="43">
        <f t="shared" si="0"/>
        <v>482.99950000000047</v>
      </c>
      <c r="O17" s="44" t="s">
        <v>88</v>
      </c>
      <c r="P17" s="44" t="s">
        <v>175</v>
      </c>
      <c r="Q17" s="44"/>
      <c r="R17" s="45" t="s">
        <v>162</v>
      </c>
    </row>
    <row r="18" spans="1:18" s="46" customFormat="1" ht="24.95" customHeight="1">
      <c r="A18" s="47">
        <v>7</v>
      </c>
      <c r="B18" s="36" t="s">
        <v>163</v>
      </c>
      <c r="C18" s="37">
        <v>330.096</v>
      </c>
      <c r="D18" s="38">
        <v>31.69</v>
      </c>
      <c r="E18" s="38">
        <v>33</v>
      </c>
      <c r="F18" s="38">
        <v>0</v>
      </c>
      <c r="G18" s="37">
        <v>253.92</v>
      </c>
      <c r="H18" s="39">
        <f t="shared" si="1"/>
        <v>1.041337961502051</v>
      </c>
      <c r="I18" s="37">
        <v>332.63519999999966</v>
      </c>
      <c r="J18" s="38">
        <v>1.3</v>
      </c>
      <c r="K18" s="40">
        <f t="shared" si="4"/>
        <v>4.1022404544020195E-2</v>
      </c>
      <c r="L18" s="41">
        <f>((E18+F18)-D18)-J18</f>
        <v>9.9999999999986766E-3</v>
      </c>
      <c r="M18" s="42">
        <f t="shared" si="3"/>
        <v>3.155569580308828E-4</v>
      </c>
      <c r="N18" s="43">
        <f t="shared" si="0"/>
        <v>2.5391999999996639</v>
      </c>
      <c r="O18" s="44" t="s">
        <v>88</v>
      </c>
      <c r="P18" s="44" t="s">
        <v>118</v>
      </c>
      <c r="Q18" s="44"/>
      <c r="R18" s="45" t="s">
        <v>162</v>
      </c>
    </row>
    <row r="19" spans="1:18" s="46" customFormat="1" ht="24.95" customHeight="1">
      <c r="A19" s="35">
        <v>8</v>
      </c>
      <c r="B19" s="36" t="s">
        <v>148</v>
      </c>
      <c r="C19" s="37">
        <v>314.92560000000003</v>
      </c>
      <c r="D19" s="38">
        <v>29.07</v>
      </c>
      <c r="E19" s="38">
        <v>30.580000000000002</v>
      </c>
      <c r="F19" s="38">
        <v>0</v>
      </c>
      <c r="G19" s="37">
        <v>208.56</v>
      </c>
      <c r="H19" s="39">
        <f t="shared" si="1"/>
        <v>1.0519435844513245</v>
      </c>
      <c r="I19" s="37">
        <v>314.92560000000032</v>
      </c>
      <c r="J19" s="38">
        <v>1.51</v>
      </c>
      <c r="K19" s="40">
        <f t="shared" si="4"/>
        <v>5.1943584451324389E-2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88</v>
      </c>
      <c r="P19" s="44" t="s">
        <v>175</v>
      </c>
      <c r="Q19" s="44"/>
      <c r="R19" s="45" t="s">
        <v>149</v>
      </c>
    </row>
    <row r="20" spans="1:18" s="46" customFormat="1" ht="24.95" customHeight="1">
      <c r="A20" s="47">
        <v>9</v>
      </c>
      <c r="B20" s="36" t="s">
        <v>91</v>
      </c>
      <c r="C20" s="37">
        <v>309</v>
      </c>
      <c r="D20" s="38">
        <v>2890</v>
      </c>
      <c r="E20" s="38">
        <v>2910</v>
      </c>
      <c r="F20" s="38">
        <v>0</v>
      </c>
      <c r="G20" s="37">
        <v>15.45</v>
      </c>
      <c r="H20" s="39">
        <f t="shared" si="1"/>
        <v>1.0069204152249136</v>
      </c>
      <c r="I20" s="37">
        <v>309</v>
      </c>
      <c r="J20" s="38">
        <v>20</v>
      </c>
      <c r="K20" s="40">
        <f t="shared" si="4"/>
        <v>6.920415224913495E-3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88</v>
      </c>
      <c r="P20" s="44" t="s">
        <v>92</v>
      </c>
      <c r="Q20" s="44" t="s">
        <v>93</v>
      </c>
      <c r="R20" s="45" t="s">
        <v>94</v>
      </c>
    </row>
    <row r="21" spans="1:18" s="46" customFormat="1" ht="24.95" customHeight="1" thickBot="1">
      <c r="A21" s="48">
        <v>10</v>
      </c>
      <c r="B21" s="49" t="s">
        <v>165</v>
      </c>
      <c r="C21" s="50">
        <v>286.35599999999999</v>
      </c>
      <c r="D21" s="51">
        <v>30.32</v>
      </c>
      <c r="E21" s="51">
        <v>33.200000000000003</v>
      </c>
      <c r="F21" s="51">
        <v>0</v>
      </c>
      <c r="G21" s="50">
        <v>102.27</v>
      </c>
      <c r="H21" s="52">
        <f t="shared" si="1"/>
        <v>1.0949868073878628</v>
      </c>
      <c r="I21" s="50">
        <v>294.53760000000023</v>
      </c>
      <c r="J21" s="51">
        <v>2.8</v>
      </c>
      <c r="K21" s="53">
        <f t="shared" si="4"/>
        <v>9.2348284960422161E-2</v>
      </c>
      <c r="L21" s="54">
        <f t="shared" si="2"/>
        <v>8.0000000000002736E-2</v>
      </c>
      <c r="M21" s="55">
        <f t="shared" si="3"/>
        <v>2.6385224274407234E-3</v>
      </c>
      <c r="N21" s="56">
        <f t="shared" si="0"/>
        <v>8.1816000000002802</v>
      </c>
      <c r="O21" s="57" t="s">
        <v>88</v>
      </c>
      <c r="P21" s="57" t="s">
        <v>96</v>
      </c>
      <c r="Q21" s="57"/>
      <c r="R21" s="58" t="s">
        <v>166</v>
      </c>
    </row>
    <row r="22" spans="1:18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20"/>
    </row>
    <row r="24" spans="1:18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8" t="s">
        <v>66</v>
      </c>
      <c r="Q24" s="100" t="s">
        <v>67</v>
      </c>
      <c r="R24" s="129" t="s">
        <v>68</v>
      </c>
    </row>
    <row r="25" spans="1:18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00"/>
      <c r="Q25" s="100"/>
      <c r="R25" s="130"/>
    </row>
    <row r="26" spans="1:18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00"/>
      <c r="Q26" s="100"/>
      <c r="R26" s="130"/>
    </row>
    <row r="27" spans="1:18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00"/>
      <c r="Q27" s="100"/>
      <c r="R27" s="131"/>
    </row>
    <row r="28" spans="1:18" s="67" customFormat="1" ht="24.95" customHeight="1">
      <c r="A28" s="35">
        <v>1</v>
      </c>
      <c r="B28" s="36" t="s">
        <v>155</v>
      </c>
      <c r="C28" s="37">
        <v>2464.1912000000034</v>
      </c>
      <c r="D28" s="38">
        <v>49.73</v>
      </c>
      <c r="E28" s="38">
        <v>49.89</v>
      </c>
      <c r="F28" s="38">
        <v>3.6</v>
      </c>
      <c r="G28" s="37">
        <v>655.37</v>
      </c>
      <c r="H28" s="68">
        <f t="shared" ref="H28:H37" si="5">(E28+F28)/D28</f>
        <v>1.075608284737583</v>
      </c>
      <c r="I28" s="37">
        <v>2464.1912000000034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3.7600000000000051</v>
      </c>
      <c r="N28" s="42">
        <f t="shared" ref="N28:N37" si="9">M28/D28</f>
        <v>7.5608284737583062E-2</v>
      </c>
      <c r="O28" s="44" t="s">
        <v>116</v>
      </c>
      <c r="P28" s="69" t="s">
        <v>118</v>
      </c>
      <c r="Q28" s="82"/>
      <c r="R28" s="45" t="s">
        <v>122</v>
      </c>
    </row>
    <row r="29" spans="1:18" s="67" customFormat="1" ht="24.95" customHeight="1">
      <c r="A29" s="47">
        <v>2</v>
      </c>
      <c r="B29" s="36" t="s">
        <v>179</v>
      </c>
      <c r="C29" s="37">
        <v>1667.6566000000014</v>
      </c>
      <c r="D29" s="38">
        <v>147.38</v>
      </c>
      <c r="E29" s="38">
        <v>144.47</v>
      </c>
      <c r="F29" s="38">
        <v>7</v>
      </c>
      <c r="G29" s="37">
        <v>407.74</v>
      </c>
      <c r="H29" s="68">
        <f t="shared" si="5"/>
        <v>1.0277513909621387</v>
      </c>
      <c r="I29" s="37">
        <v>1667.6566000000014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4.0900000000000034</v>
      </c>
      <c r="N29" s="42">
        <f t="shared" si="9"/>
        <v>2.7751390962138713E-2</v>
      </c>
      <c r="O29" s="44" t="s">
        <v>116</v>
      </c>
      <c r="P29" s="44" t="s">
        <v>120</v>
      </c>
      <c r="Q29" s="82" t="s">
        <v>132</v>
      </c>
      <c r="R29" s="45" t="s">
        <v>180</v>
      </c>
    </row>
    <row r="30" spans="1:18" s="67" customFormat="1" ht="24.95" customHeight="1">
      <c r="A30" s="47">
        <v>3</v>
      </c>
      <c r="B30" s="36" t="s">
        <v>101</v>
      </c>
      <c r="C30" s="37">
        <v>1421.225199999998</v>
      </c>
      <c r="D30" s="38">
        <v>487.14</v>
      </c>
      <c r="E30" s="38">
        <v>489.84</v>
      </c>
      <c r="F30" s="38">
        <v>10.94</v>
      </c>
      <c r="G30" s="37">
        <v>147.43</v>
      </c>
      <c r="H30" s="68">
        <f t="shared" si="5"/>
        <v>1.028000164223837</v>
      </c>
      <c r="I30" s="37">
        <v>2010.9451999999981</v>
      </c>
      <c r="J30" s="38">
        <v>4</v>
      </c>
      <c r="K30" s="40">
        <f t="shared" si="6"/>
        <v>8.2111918544976806E-3</v>
      </c>
      <c r="L30" s="43">
        <f t="shared" si="7"/>
        <v>589.72</v>
      </c>
      <c r="M30" s="41">
        <f t="shared" si="8"/>
        <v>9.6399999999999864</v>
      </c>
      <c r="N30" s="42">
        <f t="shared" si="9"/>
        <v>1.9788972369339384E-2</v>
      </c>
      <c r="O30" s="44" t="s">
        <v>116</v>
      </c>
      <c r="P30" s="44" t="s">
        <v>48</v>
      </c>
      <c r="Q30" s="82" t="s">
        <v>102</v>
      </c>
      <c r="R30" s="45" t="s">
        <v>103</v>
      </c>
    </row>
    <row r="31" spans="1:18" s="67" customFormat="1" ht="24.95" customHeight="1">
      <c r="A31" s="35">
        <v>4</v>
      </c>
      <c r="B31" s="36" t="s">
        <v>87</v>
      </c>
      <c r="C31" s="37">
        <v>1281.8526000000004</v>
      </c>
      <c r="D31" s="38">
        <v>21.24</v>
      </c>
      <c r="E31" s="38">
        <v>16.43</v>
      </c>
      <c r="F31" s="38">
        <v>7.2</v>
      </c>
      <c r="G31" s="37">
        <v>536.34</v>
      </c>
      <c r="H31" s="68">
        <f t="shared" si="5"/>
        <v>1.1125235404896423</v>
      </c>
      <c r="I31" s="37">
        <v>1281.8526000000004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2.3900000000000006</v>
      </c>
      <c r="N31" s="42">
        <f t="shared" si="9"/>
        <v>0.11252354048964222</v>
      </c>
      <c r="O31" s="44" t="s">
        <v>116</v>
      </c>
      <c r="P31" s="69" t="s">
        <v>118</v>
      </c>
      <c r="Q31" s="82"/>
      <c r="R31" s="45" t="s">
        <v>90</v>
      </c>
    </row>
    <row r="32" spans="1:18" s="67" customFormat="1" ht="24.95" customHeight="1">
      <c r="A32" s="47">
        <v>5</v>
      </c>
      <c r="B32" s="36" t="s">
        <v>140</v>
      </c>
      <c r="C32" s="37">
        <v>1256.0000000000002</v>
      </c>
      <c r="D32" s="38">
        <v>138.72</v>
      </c>
      <c r="E32" s="38">
        <v>142.30000000000001</v>
      </c>
      <c r="F32" s="38">
        <v>2.7</v>
      </c>
      <c r="G32" s="37">
        <v>200</v>
      </c>
      <c r="H32" s="68">
        <f t="shared" si="5"/>
        <v>1.0452710495963091</v>
      </c>
      <c r="I32" s="37">
        <v>1256.0000000000002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6.2800000000000011</v>
      </c>
      <c r="N32" s="42">
        <f t="shared" si="9"/>
        <v>4.5271049596309121E-2</v>
      </c>
      <c r="O32" s="44" t="s">
        <v>116</v>
      </c>
      <c r="P32" s="69" t="s">
        <v>118</v>
      </c>
      <c r="Q32" s="82"/>
      <c r="R32" s="45" t="s">
        <v>103</v>
      </c>
    </row>
    <row r="33" spans="1:18" s="67" customFormat="1" ht="24.95" customHeight="1">
      <c r="A33" s="35">
        <v>6</v>
      </c>
      <c r="B33" s="36" t="s">
        <v>119</v>
      </c>
      <c r="C33" s="37">
        <v>1102.2111000000002</v>
      </c>
      <c r="D33" s="38">
        <v>528.36</v>
      </c>
      <c r="E33" s="38">
        <v>513.28</v>
      </c>
      <c r="F33" s="38">
        <v>48.45</v>
      </c>
      <c r="G33" s="37">
        <v>33.03</v>
      </c>
      <c r="H33" s="68">
        <f t="shared" si="5"/>
        <v>1.0631576955106368</v>
      </c>
      <c r="I33" s="37">
        <v>1102.2111000000002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33.370000000000005</v>
      </c>
      <c r="N33" s="42">
        <f t="shared" si="9"/>
        <v>6.3157695510636699E-2</v>
      </c>
      <c r="O33" s="44" t="s">
        <v>116</v>
      </c>
      <c r="P33" s="44" t="s">
        <v>120</v>
      </c>
      <c r="Q33" s="82" t="s">
        <v>121</v>
      </c>
      <c r="R33" s="45" t="s">
        <v>122</v>
      </c>
    </row>
    <row r="34" spans="1:18" s="67" customFormat="1" ht="24.95" customHeight="1">
      <c r="A34" s="47">
        <v>7</v>
      </c>
      <c r="B34" s="36" t="s">
        <v>95</v>
      </c>
      <c r="C34" s="37">
        <v>1096.745000000001</v>
      </c>
      <c r="D34" s="38">
        <v>158.41999999999999</v>
      </c>
      <c r="E34" s="38">
        <v>165.6</v>
      </c>
      <c r="F34" s="38">
        <v>0</v>
      </c>
      <c r="G34" s="37">
        <v>152.75</v>
      </c>
      <c r="H34" s="68">
        <f t="shared" si="5"/>
        <v>1.0453225602827927</v>
      </c>
      <c r="I34" s="37">
        <v>1096.745000000001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7.1800000000000068</v>
      </c>
      <c r="N34" s="42">
        <f t="shared" si="9"/>
        <v>4.5322560282792621E-2</v>
      </c>
      <c r="O34" s="44" t="s">
        <v>116</v>
      </c>
      <c r="P34" s="69" t="s">
        <v>118</v>
      </c>
      <c r="Q34" s="82"/>
      <c r="R34" s="45" t="s">
        <v>97</v>
      </c>
    </row>
    <row r="35" spans="1:18" s="67" customFormat="1" ht="24.95" customHeight="1">
      <c r="A35" s="35">
        <v>8</v>
      </c>
      <c r="B35" s="36" t="s">
        <v>151</v>
      </c>
      <c r="C35" s="37">
        <v>1059.584000000001</v>
      </c>
      <c r="D35" s="38">
        <v>32.54</v>
      </c>
      <c r="E35" s="38">
        <v>32.14</v>
      </c>
      <c r="F35" s="38">
        <v>2</v>
      </c>
      <c r="G35" s="37">
        <v>662.24</v>
      </c>
      <c r="H35" s="68">
        <f t="shared" si="5"/>
        <v>1.0491702519975414</v>
      </c>
      <c r="I35" s="37">
        <v>1059.584000000001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1.6000000000000014</v>
      </c>
      <c r="N35" s="42">
        <f t="shared" si="9"/>
        <v>4.9170251997541534E-2</v>
      </c>
      <c r="O35" s="44" t="s">
        <v>116</v>
      </c>
      <c r="P35" s="69" t="s">
        <v>118</v>
      </c>
      <c r="Q35" s="82"/>
      <c r="R35" s="45" t="s">
        <v>100</v>
      </c>
    </row>
    <row r="36" spans="1:18" s="67" customFormat="1" ht="24.95" customHeight="1">
      <c r="A36" s="47">
        <v>9</v>
      </c>
      <c r="B36" s="36" t="s">
        <v>129</v>
      </c>
      <c r="C36" s="37">
        <v>1058.015399999987</v>
      </c>
      <c r="D36" s="38">
        <v>3456.36</v>
      </c>
      <c r="E36" s="38">
        <v>3442.72</v>
      </c>
      <c r="F36" s="38">
        <v>40.5</v>
      </c>
      <c r="G36" s="37">
        <v>39.39</v>
      </c>
      <c r="H36" s="68">
        <f t="shared" si="5"/>
        <v>1.0077711812426946</v>
      </c>
      <c r="I36" s="37">
        <v>1058.015399999987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26.859999999999673</v>
      </c>
      <c r="N36" s="42">
        <f t="shared" si="9"/>
        <v>7.7711812426945314E-3</v>
      </c>
      <c r="O36" s="44" t="s">
        <v>131</v>
      </c>
      <c r="P36" s="44" t="s">
        <v>120</v>
      </c>
      <c r="Q36" s="82" t="s">
        <v>132</v>
      </c>
      <c r="R36" s="45" t="s">
        <v>103</v>
      </c>
    </row>
    <row r="37" spans="1:18" s="67" customFormat="1" ht="24.95" customHeight="1" thickBot="1">
      <c r="A37" s="48">
        <v>10</v>
      </c>
      <c r="B37" s="49" t="s">
        <v>152</v>
      </c>
      <c r="C37" s="50">
        <v>899.4699999999998</v>
      </c>
      <c r="D37" s="51">
        <v>24.25</v>
      </c>
      <c r="E37" s="51">
        <v>25.68</v>
      </c>
      <c r="F37" s="51">
        <v>0</v>
      </c>
      <c r="G37" s="50">
        <v>629</v>
      </c>
      <c r="H37" s="70">
        <f t="shared" si="5"/>
        <v>1.0589690721649485</v>
      </c>
      <c r="I37" s="50">
        <v>899.4699999999998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1.4299999999999997</v>
      </c>
      <c r="N37" s="55">
        <f t="shared" si="9"/>
        <v>5.8969072164948441E-2</v>
      </c>
      <c r="O37" s="57" t="s">
        <v>131</v>
      </c>
      <c r="P37" s="83" t="s">
        <v>118</v>
      </c>
      <c r="Q37" s="84"/>
      <c r="R37" s="58" t="s">
        <v>105</v>
      </c>
    </row>
    <row r="38" spans="1:18" ht="15.75" customHeight="1" thickBot="1"/>
    <row r="39" spans="1:18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8" ht="26.1" customHeight="1">
      <c r="A40" s="96" t="s">
        <v>63</v>
      </c>
      <c r="B40" s="97"/>
      <c r="C40" s="97"/>
      <c r="D40" s="98"/>
      <c r="E40" s="71"/>
      <c r="G40" s="74"/>
    </row>
    <row r="41" spans="1:18" ht="25.5" customHeight="1">
      <c r="A41" s="99" t="s">
        <v>69</v>
      </c>
      <c r="B41" s="100" t="s">
        <v>70</v>
      </c>
      <c r="C41" s="100"/>
      <c r="D41" s="101"/>
      <c r="E41" s="71"/>
    </row>
    <row r="42" spans="1:18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8" ht="20.45" customHeight="1">
      <c r="A43" s="99"/>
      <c r="B43" s="102"/>
      <c r="C43" s="103"/>
      <c r="D43" s="104"/>
      <c r="E43" s="71"/>
    </row>
    <row r="44" spans="1:18" s="78" customFormat="1" ht="24.95" customHeight="1">
      <c r="A44" s="75">
        <v>1</v>
      </c>
      <c r="B44" s="36" t="s">
        <v>101</v>
      </c>
      <c r="C44" s="37">
        <v>589.72</v>
      </c>
      <c r="D44" s="76">
        <f t="shared" ref="D44:D53" si="10">C44/$L$5</f>
        <v>0.30606299203199266</v>
      </c>
      <c r="E44" s="77"/>
    </row>
    <row r="45" spans="1:18" s="78" customFormat="1" ht="24.95" customHeight="1">
      <c r="A45" s="79">
        <v>2</v>
      </c>
      <c r="B45" s="36" t="s">
        <v>137</v>
      </c>
      <c r="C45" s="37">
        <v>237.65</v>
      </c>
      <c r="D45" s="76">
        <f t="shared" si="10"/>
        <v>0.12333966976938726</v>
      </c>
      <c r="E45" s="77"/>
    </row>
    <row r="46" spans="1:18" s="78" customFormat="1" ht="24.95" customHeight="1">
      <c r="A46" s="79">
        <v>3</v>
      </c>
      <c r="B46" s="36" t="s">
        <v>138</v>
      </c>
      <c r="C46" s="37">
        <v>224.64</v>
      </c>
      <c r="D46" s="76">
        <f t="shared" si="10"/>
        <v>0.11658751700818494</v>
      </c>
      <c r="E46" s="77"/>
    </row>
    <row r="47" spans="1:18" s="78" customFormat="1" ht="24.95" customHeight="1">
      <c r="A47" s="75">
        <v>4</v>
      </c>
      <c r="B47" s="36" t="s">
        <v>159</v>
      </c>
      <c r="C47" s="37">
        <v>183.83799999999999</v>
      </c>
      <c r="D47" s="76">
        <f t="shared" si="10"/>
        <v>9.5411395796611037E-2</v>
      </c>
      <c r="E47" s="77"/>
    </row>
    <row r="48" spans="1:18" s="78" customFormat="1" ht="24.95" customHeight="1">
      <c r="A48" s="79">
        <v>5</v>
      </c>
      <c r="B48" s="36" t="s">
        <v>143</v>
      </c>
      <c r="C48" s="37">
        <v>151.8048</v>
      </c>
      <c r="D48" s="76">
        <f t="shared" si="10"/>
        <v>7.8786256685915754E-2</v>
      </c>
      <c r="E48" s="77"/>
    </row>
    <row r="49" spans="1:5" s="78" customFormat="1" ht="24.95" customHeight="1">
      <c r="A49" s="75">
        <v>6</v>
      </c>
      <c r="B49" s="36" t="s">
        <v>139</v>
      </c>
      <c r="C49" s="37">
        <v>136.78880000000001</v>
      </c>
      <c r="D49" s="76">
        <f t="shared" si="10"/>
        <v>7.0992995666529612E-2</v>
      </c>
      <c r="E49" s="77"/>
    </row>
    <row r="50" spans="1:5" s="78" customFormat="1" ht="24.95" customHeight="1">
      <c r="A50" s="79">
        <v>7</v>
      </c>
      <c r="B50" s="36" t="s">
        <v>106</v>
      </c>
      <c r="C50" s="37">
        <v>136.65300000000002</v>
      </c>
      <c r="D50" s="76">
        <f t="shared" si="10"/>
        <v>7.0922515855232821E-2</v>
      </c>
      <c r="E50" s="77"/>
    </row>
    <row r="51" spans="1:5" s="78" customFormat="1" ht="24.95" customHeight="1">
      <c r="A51" s="75">
        <v>8</v>
      </c>
      <c r="B51" s="36" t="s">
        <v>168</v>
      </c>
      <c r="C51" s="37">
        <v>102</v>
      </c>
      <c r="D51" s="76">
        <f t="shared" si="10"/>
        <v>5.2937708043246372E-2</v>
      </c>
      <c r="E51" s="77"/>
    </row>
    <row r="52" spans="1:5" s="78" customFormat="1" ht="24.95" customHeight="1">
      <c r="A52" s="79">
        <v>9</v>
      </c>
      <c r="B52" s="36" t="s">
        <v>134</v>
      </c>
      <c r="C52" s="37">
        <v>78.935000000000002</v>
      </c>
      <c r="D52" s="76">
        <f t="shared" si="10"/>
        <v>4.096703906268287E-2</v>
      </c>
      <c r="E52" s="77"/>
    </row>
    <row r="53" spans="1:5" s="78" customFormat="1" ht="24.95" customHeight="1" thickBot="1">
      <c r="A53" s="80">
        <v>10</v>
      </c>
      <c r="B53" s="49" t="s">
        <v>191</v>
      </c>
      <c r="C53" s="50">
        <v>57.998799999999996</v>
      </c>
      <c r="D53" s="81">
        <f t="shared" si="10"/>
        <v>3.0101211188810172E-2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781" priority="34" operator="containsText" text="中華">
      <formula>NOT(ISERROR(SEARCH("中華",A12)))</formula>
    </cfRule>
    <cfRule type="containsText" dxfId="780" priority="33" operator="containsText" text="湯凍">
      <formula>NOT(ISERROR(SEARCH("湯凍",A12)))</formula>
    </cfRule>
    <cfRule type="containsText" dxfId="779" priority="32" operator="containsText" text=")川燙小青花菜">
      <formula>NOT(ISERROR(SEARCH(")川燙小青花菜",A12)))</formula>
    </cfRule>
    <cfRule type="containsText" dxfId="778" priority="31" operator="containsText" text="青蔥">
      <formula>NOT(ISERROR(SEARCH("青蔥",A12)))</formula>
    </cfRule>
    <cfRule type="containsText" dxfId="777" priority="30" operator="containsText" text="白醬">
      <formula>NOT(ISERROR(SEARCH("白醬",A12)))</formula>
    </cfRule>
    <cfRule type="containsText" dxfId="776" priority="29" operator="containsText" text="024">
      <formula>NOT(ISERROR(SEARCH("024",A12)))</formula>
    </cfRule>
    <cfRule type="containsText" dxfId="775" priority="28" operator="containsText" text="煮白細麵生(方#12)">
      <formula>NOT(ISERROR(SEARCH("煮白細麵生(方#12)",A12)))</formula>
    </cfRule>
    <cfRule type="containsText" dxfId="774" priority="27" operator="containsText" text="綠豆芽">
      <formula>NOT(ISERROR(SEARCH("綠豆芽",A12)))</formula>
    </cfRule>
  </conditionalFormatting>
  <conditionalFormatting sqref="A28:A37">
    <cfRule type="containsText" dxfId="773" priority="5" operator="containsText" text="綠豆芽">
      <formula>NOT(ISERROR(SEARCH("綠豆芽",A28)))</formula>
    </cfRule>
    <cfRule type="containsText" dxfId="772" priority="6" operator="containsText" text="煮白細麵生(方#12)">
      <formula>NOT(ISERROR(SEARCH("煮白細麵生(方#12)",A28)))</formula>
    </cfRule>
    <cfRule type="containsText" dxfId="771" priority="7" operator="containsText" text="024">
      <formula>NOT(ISERROR(SEARCH("024",A28)))</formula>
    </cfRule>
    <cfRule type="containsText" dxfId="770" priority="8" operator="containsText" text="白醬">
      <formula>NOT(ISERROR(SEARCH("白醬",A28)))</formula>
    </cfRule>
    <cfRule type="containsText" dxfId="769" priority="9" operator="containsText" text="青蔥">
      <formula>NOT(ISERROR(SEARCH("青蔥",A28)))</formula>
    </cfRule>
    <cfRule type="containsText" dxfId="768" priority="10" operator="containsText" text=")川燙小青花菜">
      <formula>NOT(ISERROR(SEARCH(")川燙小青花菜",A28)))</formula>
    </cfRule>
    <cfRule type="containsText" dxfId="767" priority="11" operator="containsText" text="湯凍">
      <formula>NOT(ISERROR(SEARCH("湯凍",A28)))</formula>
    </cfRule>
    <cfRule type="containsText" dxfId="766" priority="12" operator="containsText" text="中華">
      <formula>NOT(ISERROR(SEARCH("中華",A28)))</formula>
    </cfRule>
  </conditionalFormatting>
  <conditionalFormatting sqref="A44:A53">
    <cfRule type="containsText" dxfId="765" priority="17" operator="containsText" text="綠豆芽">
      <formula>NOT(ISERROR(SEARCH("綠豆芽",A44)))</formula>
    </cfRule>
    <cfRule type="containsText" dxfId="764" priority="18" operator="containsText" text="煮白細麵生(方#12)">
      <formula>NOT(ISERROR(SEARCH("煮白細麵生(方#12)",A44)))</formula>
    </cfRule>
    <cfRule type="containsText" dxfId="763" priority="19" operator="containsText" text="024">
      <formula>NOT(ISERROR(SEARCH("024",A44)))</formula>
    </cfRule>
    <cfRule type="containsText" dxfId="762" priority="20" operator="containsText" text="白醬">
      <formula>NOT(ISERROR(SEARCH("白醬",A44)))</formula>
    </cfRule>
    <cfRule type="containsText" dxfId="761" priority="21" operator="containsText" text="青蔥">
      <formula>NOT(ISERROR(SEARCH("青蔥",A44)))</formula>
    </cfRule>
    <cfRule type="containsText" dxfId="760" priority="22" operator="containsText" text=")川燙小青花菜">
      <formula>NOT(ISERROR(SEARCH(")川燙小青花菜",A44)))</formula>
    </cfRule>
    <cfRule type="containsText" dxfId="759" priority="23" operator="containsText" text="湯凍">
      <formula>NOT(ISERROR(SEARCH("湯凍",A44)))</formula>
    </cfRule>
    <cfRule type="containsText" dxfId="758" priority="24" operator="containsText" text="中華">
      <formula>NOT(ISERROR(SEARCH("中華",A44)))</formula>
    </cfRule>
  </conditionalFormatting>
  <conditionalFormatting sqref="D44:D53">
    <cfRule type="cellIs" dxfId="757" priority="16" operator="greaterThan">
      <formula>0.146</formula>
    </cfRule>
  </conditionalFormatting>
  <conditionalFormatting sqref="E5">
    <cfRule type="cellIs" dxfId="756" priority="25" operator="greaterThan">
      <formula>0.072</formula>
    </cfRule>
    <cfRule type="cellIs" dxfId="755" priority="26" operator="greaterThan">
      <formula>7.2</formula>
    </cfRule>
    <cfRule type="cellIs" dxfId="754" priority="14" operator="greaterThan">
      <formula>0.0025</formula>
    </cfRule>
  </conditionalFormatting>
  <conditionalFormatting sqref="G5">
    <cfRule type="cellIs" dxfId="753" priority="3" operator="greaterThan">
      <formula>7.2</formula>
    </cfRule>
    <cfRule type="cellIs" dxfId="752" priority="2" operator="greaterThan">
      <formula>0.072</formula>
    </cfRule>
    <cfRule type="cellIs" dxfId="751" priority="1" operator="greaterThan">
      <formula>0.0025</formula>
    </cfRule>
  </conditionalFormatting>
  <conditionalFormatting sqref="H12:H22">
    <cfRule type="cellIs" dxfId="750" priority="15" operator="greaterThan">
      <formula>1.1</formula>
    </cfRule>
  </conditionalFormatting>
  <conditionalFormatting sqref="H28:H37">
    <cfRule type="cellIs" dxfId="749" priority="4" operator="greaterThan">
      <formula>1.1</formula>
    </cfRule>
  </conditionalFormatting>
  <conditionalFormatting sqref="I5">
    <cfRule type="cellIs" dxfId="74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2F73-4C1E-40E6-9743-F16261AF8F0B}">
  <sheetPr>
    <tabColor rgb="FFFF0000"/>
    <pageSetUpPr fitToPage="1"/>
  </sheetPr>
  <dimension ref="A1:R56"/>
  <sheetViews>
    <sheetView topLeftCell="G16" zoomScale="70" zoomScaleNormal="70" workbookViewId="0">
      <selection activeCell="R28" sqref="R28:R37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24" style="18" bestFit="1" customWidth="1"/>
    <col min="17" max="17" width="55.25" style="18" bestFit="1" customWidth="1"/>
    <col min="18" max="18" width="41.75" style="18" customWidth="1"/>
    <col min="19" max="16384" width="9" style="18"/>
  </cols>
  <sheetData>
    <row r="1" spans="1:18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8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8" s="20" customFormat="1" ht="28.5">
      <c r="A3" s="149">
        <v>45891</v>
      </c>
      <c r="B3" s="150"/>
      <c r="C3" s="151">
        <v>5933586.3499999996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8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8" ht="46.5" customHeight="1" thickBot="1">
      <c r="A5" s="146" t="s">
        <v>61</v>
      </c>
      <c r="B5" s="147"/>
      <c r="C5" s="147"/>
      <c r="D5" s="24">
        <v>14356.7605</v>
      </c>
      <c r="E5" s="25">
        <f>D5/C3</f>
        <v>2.4195755573692798E-3</v>
      </c>
      <c r="F5" s="24">
        <v>47139.285500000027</v>
      </c>
      <c r="G5" s="26">
        <f>F5/C3</f>
        <v>7.9444846201656826E-3</v>
      </c>
      <c r="H5" s="27">
        <f>SUM(C12:C21)</f>
        <v>6190.3314</v>
      </c>
      <c r="I5" s="28">
        <f>H5/D5</f>
        <v>0.43117884428036535</v>
      </c>
      <c r="J5" s="27">
        <f>SUM(C28:C37)</f>
        <v>10886.709600000038</v>
      </c>
      <c r="K5" s="29">
        <f>J5/F5</f>
        <v>0.23094770072406023</v>
      </c>
      <c r="L5" s="30">
        <v>2994.4933999999998</v>
      </c>
      <c r="M5" s="31">
        <f>L5/D5</f>
        <v>0.20857723439769019</v>
      </c>
    </row>
    <row r="6" spans="1:18" ht="46.5" customHeight="1" thickBot="1"/>
    <row r="7" spans="1:18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148"/>
      <c r="R7" s="95"/>
    </row>
    <row r="8" spans="1:18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28" t="s">
        <v>66</v>
      </c>
      <c r="Q8" s="100" t="s">
        <v>67</v>
      </c>
      <c r="R8" s="104" t="s">
        <v>68</v>
      </c>
    </row>
    <row r="9" spans="1:18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0"/>
      <c r="R9" s="104"/>
    </row>
    <row r="10" spans="1:18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0"/>
      <c r="R10" s="104"/>
    </row>
    <row r="11" spans="1:18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0"/>
      <c r="R11" s="104"/>
    </row>
    <row r="12" spans="1:18" s="46" customFormat="1" ht="24.95" customHeight="1">
      <c r="A12" s="35">
        <v>1</v>
      </c>
      <c r="B12" s="36" t="s">
        <v>208</v>
      </c>
      <c r="C12" s="37">
        <v>1749.1083999999998</v>
      </c>
      <c r="D12" s="38">
        <v>39.130000000000003</v>
      </c>
      <c r="E12" s="38">
        <v>46.190000000000005</v>
      </c>
      <c r="F12" s="38">
        <v>0</v>
      </c>
      <c r="G12" s="37">
        <v>363.64</v>
      </c>
      <c r="H12" s="39">
        <f>(E12+F12)/D12</f>
        <v>1.1804242269358549</v>
      </c>
      <c r="I12" s="37">
        <v>2567.2984000000001</v>
      </c>
      <c r="J12" s="38">
        <v>4.8099999999999996</v>
      </c>
      <c r="K12" s="40">
        <f>J12/D12</f>
        <v>0.1229235880398671</v>
      </c>
      <c r="L12" s="41">
        <f>((E12+F12)-D12)-J12</f>
        <v>2.2500000000000027</v>
      </c>
      <c r="M12" s="42">
        <f>L12/D12</f>
        <v>5.7500638895987798E-2</v>
      </c>
      <c r="N12" s="43">
        <f t="shared" ref="N12:N21" si="0">L12*G12</f>
        <v>818.19000000000096</v>
      </c>
      <c r="O12" s="44" t="s">
        <v>88</v>
      </c>
      <c r="P12" s="44" t="s">
        <v>96</v>
      </c>
      <c r="Q12" s="44"/>
      <c r="R12" s="45" t="s">
        <v>209</v>
      </c>
    </row>
    <row r="13" spans="1:18" s="46" customFormat="1" ht="24.95" customHeight="1">
      <c r="A13" s="47">
        <v>2</v>
      </c>
      <c r="B13" s="36" t="s">
        <v>91</v>
      </c>
      <c r="C13" s="37">
        <v>1313.25</v>
      </c>
      <c r="D13" s="38">
        <v>2972</v>
      </c>
      <c r="E13" s="38">
        <v>3057</v>
      </c>
      <c r="F13" s="38">
        <v>0</v>
      </c>
      <c r="G13" s="37">
        <v>15.45</v>
      </c>
      <c r="H13" s="39">
        <f t="shared" ref="H13:H21" si="1">(E13+F13)/D13</f>
        <v>1.0286002691790039</v>
      </c>
      <c r="I13" s="37">
        <v>1313.25</v>
      </c>
      <c r="J13" s="38">
        <v>85</v>
      </c>
      <c r="K13" s="40">
        <f>J13/D13</f>
        <v>2.8600269179004038E-2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92</v>
      </c>
      <c r="Q13" s="44" t="s">
        <v>93</v>
      </c>
      <c r="R13" s="45" t="s">
        <v>94</v>
      </c>
    </row>
    <row r="14" spans="1:18" s="46" customFormat="1" ht="24.95" customHeight="1">
      <c r="A14" s="47">
        <v>3</v>
      </c>
      <c r="B14" s="36" t="s">
        <v>101</v>
      </c>
      <c r="C14" s="37">
        <v>629.52609999999993</v>
      </c>
      <c r="D14" s="38">
        <v>439.82</v>
      </c>
      <c r="E14" s="38">
        <v>439.1</v>
      </c>
      <c r="F14" s="38">
        <v>13.72</v>
      </c>
      <c r="G14" s="37">
        <v>147.43</v>
      </c>
      <c r="H14" s="39">
        <f>(E14+F14)/D14</f>
        <v>1.0295575462689284</v>
      </c>
      <c r="I14" s="37">
        <v>1916.5900000000086</v>
      </c>
      <c r="J14" s="38">
        <v>4.2699999999999996</v>
      </c>
      <c r="K14" s="40">
        <f t="shared" ref="K14:K21" si="4">J14/D14</f>
        <v>9.7085171206402615E-3</v>
      </c>
      <c r="L14" s="41">
        <f t="shared" si="2"/>
        <v>8.7300000000000573</v>
      </c>
      <c r="M14" s="42">
        <f t="shared" si="3"/>
        <v>1.9849029148288067E-2</v>
      </c>
      <c r="N14" s="43">
        <f t="shared" si="0"/>
        <v>1287.0639000000085</v>
      </c>
      <c r="O14" s="44" t="s">
        <v>88</v>
      </c>
      <c r="P14" s="44" t="s">
        <v>48</v>
      </c>
      <c r="Q14" s="44" t="s">
        <v>102</v>
      </c>
      <c r="R14" s="45" t="s">
        <v>103</v>
      </c>
    </row>
    <row r="15" spans="1:18" s="46" customFormat="1" ht="24.95" customHeight="1">
      <c r="A15" s="35">
        <v>4</v>
      </c>
      <c r="B15" s="36" t="s">
        <v>106</v>
      </c>
      <c r="C15" s="37">
        <v>467.10480000000001</v>
      </c>
      <c r="D15" s="38">
        <v>26.01</v>
      </c>
      <c r="E15" s="38">
        <v>28.31</v>
      </c>
      <c r="F15" s="38">
        <v>0</v>
      </c>
      <c r="G15" s="37">
        <v>248.46</v>
      </c>
      <c r="H15" s="39">
        <f>(E15+F15)/D15</f>
        <v>1.0884275278738946</v>
      </c>
      <c r="I15" s="37">
        <v>571.45799999999929</v>
      </c>
      <c r="J15" s="38">
        <v>1.88</v>
      </c>
      <c r="K15" s="40">
        <f t="shared" si="4"/>
        <v>7.2279892349096486E-2</v>
      </c>
      <c r="L15" s="41">
        <f t="shared" si="2"/>
        <v>0.41999999999999726</v>
      </c>
      <c r="M15" s="42">
        <f t="shared" si="3"/>
        <v>1.6147635524798049E-2</v>
      </c>
      <c r="N15" s="43">
        <f t="shared" si="0"/>
        <v>104.35319999999932</v>
      </c>
      <c r="O15" s="44" t="s">
        <v>88</v>
      </c>
      <c r="P15" s="44" t="s">
        <v>175</v>
      </c>
      <c r="Q15" s="44"/>
      <c r="R15" s="45" t="s">
        <v>103</v>
      </c>
    </row>
    <row r="16" spans="1:18" s="46" customFormat="1" ht="24.95" customHeight="1">
      <c r="A16" s="47">
        <v>5</v>
      </c>
      <c r="B16" s="36" t="s">
        <v>210</v>
      </c>
      <c r="C16" s="37">
        <v>453.40020000000004</v>
      </c>
      <c r="D16" s="38">
        <v>34.53</v>
      </c>
      <c r="E16" s="38">
        <v>36.21</v>
      </c>
      <c r="F16" s="38">
        <v>2.4</v>
      </c>
      <c r="G16" s="37">
        <v>242.46</v>
      </c>
      <c r="H16" s="39">
        <f t="shared" si="1"/>
        <v>1.1181581233709816</v>
      </c>
      <c r="I16" s="37">
        <v>989.23679999999968</v>
      </c>
      <c r="J16" s="38">
        <v>1.87</v>
      </c>
      <c r="K16" s="40">
        <f t="shared" si="4"/>
        <v>5.4155806545033304E-2</v>
      </c>
      <c r="L16" s="41">
        <f t="shared" si="2"/>
        <v>2.2099999999999982</v>
      </c>
      <c r="M16" s="42">
        <f t="shared" si="3"/>
        <v>6.4002316825948397E-2</v>
      </c>
      <c r="N16" s="43">
        <f t="shared" si="0"/>
        <v>535.83659999999963</v>
      </c>
      <c r="O16" s="44" t="s">
        <v>88</v>
      </c>
      <c r="P16" s="44" t="s">
        <v>175</v>
      </c>
      <c r="Q16" s="44"/>
      <c r="R16" s="45" t="s">
        <v>211</v>
      </c>
    </row>
    <row r="17" spans="1:18" s="46" customFormat="1" ht="24.95" customHeight="1">
      <c r="A17" s="35">
        <v>6</v>
      </c>
      <c r="B17" s="36" t="s">
        <v>150</v>
      </c>
      <c r="C17" s="37">
        <v>335.75790000000001</v>
      </c>
      <c r="D17" s="38">
        <v>96.14</v>
      </c>
      <c r="E17" s="38">
        <v>99.72</v>
      </c>
      <c r="F17" s="38">
        <v>0</v>
      </c>
      <c r="G17" s="37">
        <v>141.66999999999999</v>
      </c>
      <c r="H17" s="39">
        <f t="shared" si="1"/>
        <v>1.0372373621801538</v>
      </c>
      <c r="I17" s="37">
        <v>507.17859999999973</v>
      </c>
      <c r="J17" s="38">
        <v>2.37</v>
      </c>
      <c r="K17" s="40">
        <f t="shared" si="4"/>
        <v>2.4651549823174537E-2</v>
      </c>
      <c r="L17" s="41">
        <f t="shared" si="2"/>
        <v>1.2099999999999982</v>
      </c>
      <c r="M17" s="42">
        <f t="shared" si="3"/>
        <v>1.2585812356979385E-2</v>
      </c>
      <c r="N17" s="43">
        <f t="shared" si="0"/>
        <v>171.42069999999973</v>
      </c>
      <c r="O17" s="44" t="s">
        <v>88</v>
      </c>
      <c r="P17" s="44" t="s">
        <v>118</v>
      </c>
      <c r="Q17" s="44"/>
      <c r="R17" s="45" t="s">
        <v>133</v>
      </c>
    </row>
    <row r="18" spans="1:18" s="46" customFormat="1" ht="24.95" customHeight="1">
      <c r="A18" s="47">
        <v>7</v>
      </c>
      <c r="B18" s="36" t="s">
        <v>212</v>
      </c>
      <c r="C18" s="37">
        <v>325.38960000000003</v>
      </c>
      <c r="D18" s="38">
        <v>56.5</v>
      </c>
      <c r="E18" s="38">
        <v>58.84</v>
      </c>
      <c r="F18" s="38">
        <v>0</v>
      </c>
      <c r="G18" s="37">
        <v>189.18</v>
      </c>
      <c r="H18" s="39">
        <f t="shared" si="1"/>
        <v>1.0414159292035399</v>
      </c>
      <c r="I18" s="37">
        <v>442.68120000000067</v>
      </c>
      <c r="J18" s="38">
        <v>1.72</v>
      </c>
      <c r="K18" s="40">
        <f t="shared" si="4"/>
        <v>3.0442477876106194E-2</v>
      </c>
      <c r="L18" s="41">
        <f>((E18+F18)-D18)-J18</f>
        <v>0.62000000000000344</v>
      </c>
      <c r="M18" s="42">
        <f t="shared" si="3"/>
        <v>1.097345132743369E-2</v>
      </c>
      <c r="N18" s="43">
        <f t="shared" si="0"/>
        <v>117.29160000000066</v>
      </c>
      <c r="O18" s="44" t="s">
        <v>88</v>
      </c>
      <c r="P18" s="44" t="s">
        <v>118</v>
      </c>
      <c r="Q18" s="44"/>
      <c r="R18" s="45" t="s">
        <v>213</v>
      </c>
    </row>
    <row r="19" spans="1:18" s="46" customFormat="1" ht="24.95" customHeight="1">
      <c r="A19" s="35">
        <v>8</v>
      </c>
      <c r="B19" s="36" t="s">
        <v>148</v>
      </c>
      <c r="C19" s="37">
        <v>310.75439999999998</v>
      </c>
      <c r="D19" s="38">
        <v>27.36</v>
      </c>
      <c r="E19" s="38">
        <v>29.74</v>
      </c>
      <c r="F19" s="38">
        <v>0</v>
      </c>
      <c r="G19" s="37">
        <v>208.56</v>
      </c>
      <c r="H19" s="39">
        <f t="shared" si="1"/>
        <v>1.0869883040935673</v>
      </c>
      <c r="I19" s="37">
        <v>496.37279999999981</v>
      </c>
      <c r="J19" s="38">
        <v>1.49</v>
      </c>
      <c r="K19" s="40">
        <f t="shared" si="4"/>
        <v>5.4459064327485381E-2</v>
      </c>
      <c r="L19" s="41">
        <f t="shared" si="2"/>
        <v>0.88999999999999901</v>
      </c>
      <c r="M19" s="42">
        <f t="shared" si="3"/>
        <v>3.2529239766081838E-2</v>
      </c>
      <c r="N19" s="43">
        <f t="shared" si="0"/>
        <v>185.61839999999981</v>
      </c>
      <c r="O19" s="44" t="s">
        <v>88</v>
      </c>
      <c r="P19" s="44" t="s">
        <v>175</v>
      </c>
      <c r="Q19" s="44"/>
      <c r="R19" s="45" t="s">
        <v>149</v>
      </c>
    </row>
    <row r="20" spans="1:18" s="46" customFormat="1" ht="24.95" customHeight="1">
      <c r="A20" s="47">
        <v>9</v>
      </c>
      <c r="B20" s="36" t="s">
        <v>190</v>
      </c>
      <c r="C20" s="37">
        <v>307.69</v>
      </c>
      <c r="D20" s="38">
        <v>1140</v>
      </c>
      <c r="E20" s="38">
        <v>1169</v>
      </c>
      <c r="F20" s="38">
        <v>0</v>
      </c>
      <c r="G20" s="37">
        <v>10.61</v>
      </c>
      <c r="H20" s="39">
        <f t="shared" si="1"/>
        <v>1.025438596491228</v>
      </c>
      <c r="I20" s="37">
        <v>307.69</v>
      </c>
      <c r="J20" s="38">
        <v>29</v>
      </c>
      <c r="K20" s="40">
        <f t="shared" si="4"/>
        <v>2.5438596491228069E-2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88</v>
      </c>
      <c r="P20" s="44" t="s">
        <v>183</v>
      </c>
      <c r="Q20" s="44"/>
      <c r="R20" s="45" t="s">
        <v>189</v>
      </c>
    </row>
    <row r="21" spans="1:18" s="46" customFormat="1" ht="24.95" customHeight="1" thickBot="1">
      <c r="A21" s="48">
        <v>10</v>
      </c>
      <c r="B21" s="49" t="s">
        <v>168</v>
      </c>
      <c r="C21" s="50">
        <v>298.34999999999997</v>
      </c>
      <c r="D21" s="51">
        <v>10491</v>
      </c>
      <c r="E21" s="51">
        <v>10842</v>
      </c>
      <c r="F21" s="51">
        <v>0</v>
      </c>
      <c r="G21" s="50">
        <v>0.85</v>
      </c>
      <c r="H21" s="52">
        <f t="shared" si="1"/>
        <v>1.033457249070632</v>
      </c>
      <c r="I21" s="50">
        <v>298.34999999999997</v>
      </c>
      <c r="J21" s="51">
        <v>351</v>
      </c>
      <c r="K21" s="53">
        <f t="shared" si="4"/>
        <v>3.3457249070631967E-2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88</v>
      </c>
      <c r="P21" s="57" t="s">
        <v>183</v>
      </c>
      <c r="Q21" s="57"/>
      <c r="R21" s="58" t="s">
        <v>103</v>
      </c>
    </row>
    <row r="22" spans="1:18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20"/>
    </row>
    <row r="24" spans="1:18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8" t="s">
        <v>66</v>
      </c>
      <c r="Q24" s="100" t="s">
        <v>67</v>
      </c>
      <c r="R24" s="129" t="s">
        <v>68</v>
      </c>
    </row>
    <row r="25" spans="1:18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00"/>
      <c r="Q25" s="100"/>
      <c r="R25" s="130"/>
    </row>
    <row r="26" spans="1:18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00"/>
      <c r="Q26" s="100"/>
      <c r="R26" s="130"/>
    </row>
    <row r="27" spans="1:18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00"/>
      <c r="Q27" s="100"/>
      <c r="R27" s="131"/>
    </row>
    <row r="28" spans="1:18" s="67" customFormat="1" ht="24.95" customHeight="1">
      <c r="A28" s="35">
        <v>1</v>
      </c>
      <c r="B28" s="36" t="s">
        <v>130</v>
      </c>
      <c r="C28" s="37">
        <v>1478.1032000000157</v>
      </c>
      <c r="D28" s="38">
        <v>172.26</v>
      </c>
      <c r="E28" s="38">
        <v>169.11</v>
      </c>
      <c r="F28" s="38">
        <v>5.59</v>
      </c>
      <c r="G28" s="37">
        <v>605.78</v>
      </c>
      <c r="H28" s="68">
        <f t="shared" ref="H28:H37" si="5">(E28+F28)/D28</f>
        <v>1.0141646348542901</v>
      </c>
      <c r="I28" s="37">
        <v>1478.1032000000157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2.4400000000000261</v>
      </c>
      <c r="N28" s="42">
        <f t="shared" ref="N28:N37" si="9">M28/D28</f>
        <v>1.4164634854290179E-2</v>
      </c>
      <c r="O28" s="44" t="s">
        <v>116</v>
      </c>
      <c r="P28" s="44" t="s">
        <v>120</v>
      </c>
      <c r="Q28" s="82" t="s">
        <v>132</v>
      </c>
      <c r="R28" s="45" t="s">
        <v>133</v>
      </c>
    </row>
    <row r="29" spans="1:18" s="67" customFormat="1" ht="24.95" customHeight="1">
      <c r="A29" s="47">
        <v>2</v>
      </c>
      <c r="B29" s="36" t="s">
        <v>101</v>
      </c>
      <c r="C29" s="37">
        <v>1287.0639000000087</v>
      </c>
      <c r="D29" s="38">
        <v>439.82</v>
      </c>
      <c r="E29" s="38">
        <v>439.1</v>
      </c>
      <c r="F29" s="38">
        <v>13.72</v>
      </c>
      <c r="G29" s="37">
        <v>147.43</v>
      </c>
      <c r="H29" s="68">
        <f t="shared" si="5"/>
        <v>1.0295575462689284</v>
      </c>
      <c r="I29" s="37">
        <v>1916.5900000000086</v>
      </c>
      <c r="J29" s="38">
        <v>4.2699999999999996</v>
      </c>
      <c r="K29" s="40">
        <f t="shared" si="6"/>
        <v>9.7085171206402615E-3</v>
      </c>
      <c r="L29" s="43">
        <f t="shared" si="7"/>
        <v>629.52609999999993</v>
      </c>
      <c r="M29" s="41">
        <f t="shared" si="8"/>
        <v>8.7300000000000573</v>
      </c>
      <c r="N29" s="42">
        <f t="shared" si="9"/>
        <v>1.9849029148288067E-2</v>
      </c>
      <c r="O29" s="44" t="s">
        <v>116</v>
      </c>
      <c r="P29" s="44" t="s">
        <v>48</v>
      </c>
      <c r="Q29" s="82" t="s">
        <v>102</v>
      </c>
      <c r="R29" s="45" t="s">
        <v>103</v>
      </c>
    </row>
    <row r="30" spans="1:18" s="67" customFormat="1" ht="24.95" customHeight="1">
      <c r="A30" s="47">
        <v>3</v>
      </c>
      <c r="B30" s="36" t="s">
        <v>129</v>
      </c>
      <c r="C30" s="37">
        <v>1260.0861000000093</v>
      </c>
      <c r="D30" s="38">
        <v>3559.41</v>
      </c>
      <c r="E30" s="38">
        <v>3541.84</v>
      </c>
      <c r="F30" s="38">
        <v>49.56</v>
      </c>
      <c r="G30" s="37">
        <v>39.39</v>
      </c>
      <c r="H30" s="68">
        <f t="shared" si="5"/>
        <v>1.0089874445483944</v>
      </c>
      <c r="I30" s="37">
        <v>1260.0861000000093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31.990000000000236</v>
      </c>
      <c r="N30" s="42">
        <f t="shared" si="9"/>
        <v>8.9874445483943237E-3</v>
      </c>
      <c r="O30" s="44" t="s">
        <v>116</v>
      </c>
      <c r="P30" s="44" t="s">
        <v>120</v>
      </c>
      <c r="Q30" s="82" t="s">
        <v>132</v>
      </c>
      <c r="R30" s="45" t="s">
        <v>103</v>
      </c>
    </row>
    <row r="31" spans="1:18" s="67" customFormat="1" ht="24.95" customHeight="1">
      <c r="A31" s="35">
        <v>4</v>
      </c>
      <c r="B31" s="36" t="s">
        <v>119</v>
      </c>
      <c r="C31" s="37">
        <v>1128.9654000000003</v>
      </c>
      <c r="D31" s="38">
        <v>486.29</v>
      </c>
      <c r="E31" s="38">
        <v>479.67</v>
      </c>
      <c r="F31" s="38">
        <v>40.799999999999997</v>
      </c>
      <c r="G31" s="37">
        <v>33.03</v>
      </c>
      <c r="H31" s="68">
        <f t="shared" si="5"/>
        <v>1.0702872771391556</v>
      </c>
      <c r="I31" s="37">
        <v>1128.9654000000003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34.180000000000007</v>
      </c>
      <c r="N31" s="42">
        <f t="shared" si="9"/>
        <v>7.0287277139155654E-2</v>
      </c>
      <c r="O31" s="44" t="s">
        <v>116</v>
      </c>
      <c r="P31" s="44" t="s">
        <v>120</v>
      </c>
      <c r="Q31" s="82" t="s">
        <v>121</v>
      </c>
      <c r="R31" s="45" t="s">
        <v>122</v>
      </c>
    </row>
    <row r="32" spans="1:18" s="67" customFormat="1" ht="24.95" customHeight="1">
      <c r="A32" s="47">
        <v>5</v>
      </c>
      <c r="B32" s="36" t="s">
        <v>200</v>
      </c>
      <c r="C32" s="37">
        <v>1092.6198000000018</v>
      </c>
      <c r="D32" s="38">
        <v>184.92</v>
      </c>
      <c r="E32" s="38">
        <v>186.3</v>
      </c>
      <c r="F32" s="38">
        <v>9.6</v>
      </c>
      <c r="G32" s="37">
        <v>99.51</v>
      </c>
      <c r="H32" s="68">
        <f t="shared" si="5"/>
        <v>1.0593770279039585</v>
      </c>
      <c r="I32" s="37">
        <v>1092.6198000000018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10.980000000000018</v>
      </c>
      <c r="N32" s="42">
        <f t="shared" si="9"/>
        <v>5.9377027903958574E-2</v>
      </c>
      <c r="O32" s="44" t="s">
        <v>116</v>
      </c>
      <c r="P32" s="69" t="s">
        <v>118</v>
      </c>
      <c r="Q32" s="82"/>
      <c r="R32" s="45" t="s">
        <v>201</v>
      </c>
    </row>
    <row r="33" spans="1:18" s="67" customFormat="1" ht="24.95" customHeight="1">
      <c r="A33" s="35">
        <v>6</v>
      </c>
      <c r="B33" s="36" t="s">
        <v>179</v>
      </c>
      <c r="C33" s="37">
        <v>1080.5110000000022</v>
      </c>
      <c r="D33" s="38">
        <v>138.28</v>
      </c>
      <c r="E33" s="38">
        <v>132.18</v>
      </c>
      <c r="F33" s="38">
        <v>8.75</v>
      </c>
      <c r="G33" s="37">
        <v>407.74</v>
      </c>
      <c r="H33" s="68">
        <f t="shared" si="5"/>
        <v>1.0191640150419439</v>
      </c>
      <c r="I33" s="37">
        <v>1080.5110000000022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2.6500000000000057</v>
      </c>
      <c r="N33" s="42">
        <f t="shared" si="9"/>
        <v>1.9164015041943924E-2</v>
      </c>
      <c r="O33" s="44" t="s">
        <v>116</v>
      </c>
      <c r="P33" s="44" t="s">
        <v>120</v>
      </c>
      <c r="Q33" s="82" t="s">
        <v>132</v>
      </c>
      <c r="R33" s="45" t="s">
        <v>180</v>
      </c>
    </row>
    <row r="34" spans="1:18" s="67" customFormat="1" ht="24.95" customHeight="1">
      <c r="A34" s="47">
        <v>7</v>
      </c>
      <c r="B34" s="36" t="s">
        <v>125</v>
      </c>
      <c r="C34" s="37">
        <v>1011.1541999999972</v>
      </c>
      <c r="D34" s="38">
        <v>29.17</v>
      </c>
      <c r="E34" s="38">
        <v>27.72</v>
      </c>
      <c r="F34" s="38">
        <v>3.08</v>
      </c>
      <c r="G34" s="37">
        <v>620.34</v>
      </c>
      <c r="H34" s="68">
        <f t="shared" si="5"/>
        <v>1.0558793280767911</v>
      </c>
      <c r="I34" s="37">
        <v>1011.1541999999972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1.6299999999999955</v>
      </c>
      <c r="N34" s="42">
        <f t="shared" si="9"/>
        <v>5.5879328076791066E-2</v>
      </c>
      <c r="O34" s="44" t="s">
        <v>116</v>
      </c>
      <c r="P34" s="69" t="s">
        <v>118</v>
      </c>
      <c r="Q34" s="82"/>
      <c r="R34" s="45" t="s">
        <v>126</v>
      </c>
    </row>
    <row r="35" spans="1:18" s="67" customFormat="1" ht="24.95" customHeight="1">
      <c r="A35" s="35">
        <v>8</v>
      </c>
      <c r="B35" s="36" t="s">
        <v>152</v>
      </c>
      <c r="C35" s="37">
        <v>880.60000000000139</v>
      </c>
      <c r="D35" s="38">
        <v>23.08</v>
      </c>
      <c r="E35" s="38">
        <v>24.48</v>
      </c>
      <c r="F35" s="38">
        <v>0</v>
      </c>
      <c r="G35" s="37">
        <v>629</v>
      </c>
      <c r="H35" s="68">
        <f t="shared" si="5"/>
        <v>1.0606585788561527</v>
      </c>
      <c r="I35" s="37">
        <v>880.60000000000139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1.4000000000000021</v>
      </c>
      <c r="N35" s="42">
        <f t="shared" si="9"/>
        <v>6.0658578856152612E-2</v>
      </c>
      <c r="O35" s="44" t="s">
        <v>116</v>
      </c>
      <c r="P35" s="69" t="s">
        <v>118</v>
      </c>
      <c r="Q35" s="82"/>
      <c r="R35" s="45" t="s">
        <v>105</v>
      </c>
    </row>
    <row r="36" spans="1:18" s="67" customFormat="1" ht="24.95" customHeight="1">
      <c r="A36" s="47">
        <v>9</v>
      </c>
      <c r="B36" s="36" t="s">
        <v>160</v>
      </c>
      <c r="C36" s="37">
        <v>849.41600000000153</v>
      </c>
      <c r="D36" s="38">
        <v>227.07</v>
      </c>
      <c r="E36" s="38">
        <v>227.24</v>
      </c>
      <c r="F36" s="38">
        <v>9.75</v>
      </c>
      <c r="G36" s="37">
        <v>95.44</v>
      </c>
      <c r="H36" s="68">
        <f t="shared" si="5"/>
        <v>1.0436869687761483</v>
      </c>
      <c r="I36" s="37">
        <v>946.76480000000151</v>
      </c>
      <c r="J36" s="38">
        <v>1.02</v>
      </c>
      <c r="K36" s="40">
        <f t="shared" si="6"/>
        <v>4.4920068701281542E-3</v>
      </c>
      <c r="L36" s="43">
        <f t="shared" si="7"/>
        <v>97.348799999999997</v>
      </c>
      <c r="M36" s="41">
        <f t="shared" si="8"/>
        <v>8.9000000000000163</v>
      </c>
      <c r="N36" s="42">
        <f t="shared" si="9"/>
        <v>3.9194961906020245E-2</v>
      </c>
      <c r="O36" s="44" t="s">
        <v>131</v>
      </c>
      <c r="P36" s="69" t="s">
        <v>118</v>
      </c>
      <c r="Q36" s="82"/>
      <c r="R36" s="45" t="s">
        <v>103</v>
      </c>
    </row>
    <row r="37" spans="1:18" s="67" customFormat="1" ht="24.95" customHeight="1" thickBot="1">
      <c r="A37" s="48">
        <v>10</v>
      </c>
      <c r="B37" s="49" t="s">
        <v>208</v>
      </c>
      <c r="C37" s="50">
        <v>818.19000000000074</v>
      </c>
      <c r="D37" s="51">
        <v>39.130000000000003</v>
      </c>
      <c r="E37" s="51">
        <v>46.190000000000005</v>
      </c>
      <c r="F37" s="51">
        <v>0</v>
      </c>
      <c r="G37" s="50">
        <v>363.64</v>
      </c>
      <c r="H37" s="70">
        <f t="shared" si="5"/>
        <v>1.1804242269358549</v>
      </c>
      <c r="I37" s="50">
        <v>2567.2984000000006</v>
      </c>
      <c r="J37" s="51">
        <v>4.8099999999999996</v>
      </c>
      <c r="K37" s="53">
        <f t="shared" si="6"/>
        <v>0.1229235880398671</v>
      </c>
      <c r="L37" s="56">
        <f t="shared" si="7"/>
        <v>1749.1083999999998</v>
      </c>
      <c r="M37" s="54">
        <f t="shared" si="8"/>
        <v>2.2500000000000027</v>
      </c>
      <c r="N37" s="55">
        <f t="shared" si="9"/>
        <v>5.7500638895987798E-2</v>
      </c>
      <c r="O37" s="57" t="s">
        <v>131</v>
      </c>
      <c r="P37" s="83" t="s">
        <v>118</v>
      </c>
      <c r="Q37" s="84"/>
      <c r="R37" s="58" t="s">
        <v>211</v>
      </c>
    </row>
    <row r="38" spans="1:18" ht="15.75" customHeight="1" thickBot="1"/>
    <row r="39" spans="1:18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8" ht="26.1" customHeight="1">
      <c r="A40" s="96" t="s">
        <v>63</v>
      </c>
      <c r="B40" s="97"/>
      <c r="C40" s="97"/>
      <c r="D40" s="98"/>
      <c r="E40" s="71"/>
      <c r="G40" s="74"/>
    </row>
    <row r="41" spans="1:18" ht="25.5" customHeight="1">
      <c r="A41" s="99" t="s">
        <v>69</v>
      </c>
      <c r="B41" s="100" t="s">
        <v>70</v>
      </c>
      <c r="C41" s="100"/>
      <c r="D41" s="101"/>
      <c r="E41" s="71"/>
    </row>
    <row r="42" spans="1:18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8" ht="20.45" customHeight="1">
      <c r="A43" s="99"/>
      <c r="B43" s="102"/>
      <c r="C43" s="103"/>
      <c r="D43" s="104"/>
      <c r="E43" s="71"/>
    </row>
    <row r="44" spans="1:18" s="78" customFormat="1" ht="24.95" customHeight="1">
      <c r="A44" s="75">
        <v>1</v>
      </c>
      <c r="B44" s="36" t="s">
        <v>101</v>
      </c>
      <c r="C44" s="37">
        <v>629.52609999999993</v>
      </c>
      <c r="D44" s="76">
        <f t="shared" ref="D44:D53" si="10">C44/$L$5</f>
        <v>0.21022791367648364</v>
      </c>
      <c r="E44" s="77"/>
    </row>
    <row r="45" spans="1:18" s="78" customFormat="1" ht="24.95" customHeight="1">
      <c r="A45" s="79">
        <v>2</v>
      </c>
      <c r="B45" s="36" t="s">
        <v>106</v>
      </c>
      <c r="C45" s="37">
        <v>467.10480000000001</v>
      </c>
      <c r="D45" s="76">
        <f t="shared" si="10"/>
        <v>0.15598792102864545</v>
      </c>
      <c r="E45" s="77"/>
    </row>
    <row r="46" spans="1:18" s="78" customFormat="1" ht="24.95" customHeight="1">
      <c r="A46" s="79">
        <v>3</v>
      </c>
      <c r="B46" s="36" t="s">
        <v>168</v>
      </c>
      <c r="C46" s="37">
        <v>298.34999999999997</v>
      </c>
      <c r="D46" s="76">
        <f t="shared" si="10"/>
        <v>9.9632879471365662E-2</v>
      </c>
      <c r="E46" s="77"/>
    </row>
    <row r="47" spans="1:18" s="78" customFormat="1" ht="24.95" customHeight="1">
      <c r="A47" s="75">
        <v>4</v>
      </c>
      <c r="B47" s="36" t="s">
        <v>137</v>
      </c>
      <c r="C47" s="37">
        <v>296.45000000000005</v>
      </c>
      <c r="D47" s="76">
        <f t="shared" si="10"/>
        <v>9.8998381495848373E-2</v>
      </c>
      <c r="E47" s="77"/>
    </row>
    <row r="48" spans="1:18" s="78" customFormat="1" ht="24.95" customHeight="1">
      <c r="A48" s="79">
        <v>5</v>
      </c>
      <c r="B48" s="36" t="s">
        <v>138</v>
      </c>
      <c r="C48" s="37">
        <v>273.77999999999997</v>
      </c>
      <c r="D48" s="76">
        <f t="shared" si="10"/>
        <v>9.1427818809017902E-2</v>
      </c>
      <c r="E48" s="77"/>
    </row>
    <row r="49" spans="1:5" s="78" customFormat="1" ht="24.95" customHeight="1">
      <c r="A49" s="75">
        <v>6</v>
      </c>
      <c r="B49" s="36" t="s">
        <v>141</v>
      </c>
      <c r="C49" s="37">
        <v>210.88</v>
      </c>
      <c r="D49" s="76">
        <f t="shared" si="10"/>
        <v>7.0422596356365316E-2</v>
      </c>
      <c r="E49" s="77"/>
    </row>
    <row r="50" spans="1:5" s="78" customFormat="1" ht="24.95" customHeight="1">
      <c r="A50" s="79">
        <v>7</v>
      </c>
      <c r="B50" s="36" t="s">
        <v>140</v>
      </c>
      <c r="C50" s="37">
        <v>200</v>
      </c>
      <c r="D50" s="76">
        <f t="shared" si="10"/>
        <v>6.6789260580771365E-2</v>
      </c>
      <c r="E50" s="77"/>
    </row>
    <row r="51" spans="1:5" s="78" customFormat="1" ht="24.95" customHeight="1">
      <c r="A51" s="75">
        <v>8</v>
      </c>
      <c r="B51" s="36" t="s">
        <v>139</v>
      </c>
      <c r="C51" s="37">
        <v>136.78880000000001</v>
      </c>
      <c r="D51" s="76">
        <f t="shared" si="10"/>
        <v>4.5680114038655094E-2</v>
      </c>
      <c r="E51" s="77"/>
    </row>
    <row r="52" spans="1:5" s="78" customFormat="1" ht="24.95" customHeight="1">
      <c r="A52" s="79">
        <v>9</v>
      </c>
      <c r="B52" s="36" t="s">
        <v>143</v>
      </c>
      <c r="C52" s="37">
        <v>100.2996</v>
      </c>
      <c r="D52" s="76">
        <f t="shared" si="10"/>
        <v>3.3494680602735673E-2</v>
      </c>
      <c r="E52" s="77"/>
    </row>
    <row r="53" spans="1:5" s="78" customFormat="1" ht="24.95" customHeight="1" thickBot="1">
      <c r="A53" s="80">
        <v>10</v>
      </c>
      <c r="B53" s="49" t="s">
        <v>160</v>
      </c>
      <c r="C53" s="50">
        <v>97.348799999999997</v>
      </c>
      <c r="D53" s="81">
        <f t="shared" si="10"/>
        <v>3.2509271852126972E-2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747" priority="34" operator="containsText" text="中華">
      <formula>NOT(ISERROR(SEARCH("中華",A12)))</formula>
    </cfRule>
    <cfRule type="containsText" dxfId="746" priority="33" operator="containsText" text="湯凍">
      <formula>NOT(ISERROR(SEARCH("湯凍",A12)))</formula>
    </cfRule>
    <cfRule type="containsText" dxfId="745" priority="32" operator="containsText" text=")川燙小青花菜">
      <formula>NOT(ISERROR(SEARCH(")川燙小青花菜",A12)))</formula>
    </cfRule>
    <cfRule type="containsText" dxfId="744" priority="31" operator="containsText" text="青蔥">
      <formula>NOT(ISERROR(SEARCH("青蔥",A12)))</formula>
    </cfRule>
    <cfRule type="containsText" dxfId="743" priority="30" operator="containsText" text="白醬">
      <formula>NOT(ISERROR(SEARCH("白醬",A12)))</formula>
    </cfRule>
    <cfRule type="containsText" dxfId="742" priority="29" operator="containsText" text="024">
      <formula>NOT(ISERROR(SEARCH("024",A12)))</formula>
    </cfRule>
    <cfRule type="containsText" dxfId="741" priority="28" operator="containsText" text="煮白細麵生(方#12)">
      <formula>NOT(ISERROR(SEARCH("煮白細麵生(方#12)",A12)))</formula>
    </cfRule>
    <cfRule type="containsText" dxfId="740" priority="27" operator="containsText" text="綠豆芽">
      <formula>NOT(ISERROR(SEARCH("綠豆芽",A12)))</formula>
    </cfRule>
  </conditionalFormatting>
  <conditionalFormatting sqref="A28:A37">
    <cfRule type="containsText" dxfId="739" priority="5" operator="containsText" text="綠豆芽">
      <formula>NOT(ISERROR(SEARCH("綠豆芽",A28)))</formula>
    </cfRule>
    <cfRule type="containsText" dxfId="738" priority="6" operator="containsText" text="煮白細麵生(方#12)">
      <formula>NOT(ISERROR(SEARCH("煮白細麵生(方#12)",A28)))</formula>
    </cfRule>
    <cfRule type="containsText" dxfId="737" priority="7" operator="containsText" text="024">
      <formula>NOT(ISERROR(SEARCH("024",A28)))</formula>
    </cfRule>
    <cfRule type="containsText" dxfId="736" priority="8" operator="containsText" text="白醬">
      <formula>NOT(ISERROR(SEARCH("白醬",A28)))</formula>
    </cfRule>
    <cfRule type="containsText" dxfId="735" priority="9" operator="containsText" text="青蔥">
      <formula>NOT(ISERROR(SEARCH("青蔥",A28)))</formula>
    </cfRule>
    <cfRule type="containsText" dxfId="734" priority="10" operator="containsText" text=")川燙小青花菜">
      <formula>NOT(ISERROR(SEARCH(")川燙小青花菜",A28)))</formula>
    </cfRule>
    <cfRule type="containsText" dxfId="733" priority="11" operator="containsText" text="湯凍">
      <formula>NOT(ISERROR(SEARCH("湯凍",A28)))</formula>
    </cfRule>
    <cfRule type="containsText" dxfId="732" priority="12" operator="containsText" text="中華">
      <formula>NOT(ISERROR(SEARCH("中華",A28)))</formula>
    </cfRule>
  </conditionalFormatting>
  <conditionalFormatting sqref="A44:A53">
    <cfRule type="containsText" dxfId="731" priority="17" operator="containsText" text="綠豆芽">
      <formula>NOT(ISERROR(SEARCH("綠豆芽",A44)))</formula>
    </cfRule>
    <cfRule type="containsText" dxfId="730" priority="18" operator="containsText" text="煮白細麵生(方#12)">
      <formula>NOT(ISERROR(SEARCH("煮白細麵生(方#12)",A44)))</formula>
    </cfRule>
    <cfRule type="containsText" dxfId="729" priority="19" operator="containsText" text="024">
      <formula>NOT(ISERROR(SEARCH("024",A44)))</formula>
    </cfRule>
    <cfRule type="containsText" dxfId="728" priority="20" operator="containsText" text="白醬">
      <formula>NOT(ISERROR(SEARCH("白醬",A44)))</formula>
    </cfRule>
    <cfRule type="containsText" dxfId="727" priority="21" operator="containsText" text="青蔥">
      <formula>NOT(ISERROR(SEARCH("青蔥",A44)))</formula>
    </cfRule>
    <cfRule type="containsText" dxfId="726" priority="22" operator="containsText" text=")川燙小青花菜">
      <formula>NOT(ISERROR(SEARCH(")川燙小青花菜",A44)))</formula>
    </cfRule>
    <cfRule type="containsText" dxfId="725" priority="23" operator="containsText" text="湯凍">
      <formula>NOT(ISERROR(SEARCH("湯凍",A44)))</formula>
    </cfRule>
    <cfRule type="containsText" dxfId="724" priority="24" operator="containsText" text="中華">
      <formula>NOT(ISERROR(SEARCH("中華",A44)))</formula>
    </cfRule>
  </conditionalFormatting>
  <conditionalFormatting sqref="D44:D53">
    <cfRule type="cellIs" dxfId="723" priority="16" operator="greaterThan">
      <formula>0.146</formula>
    </cfRule>
  </conditionalFormatting>
  <conditionalFormatting sqref="E5">
    <cfRule type="cellIs" dxfId="722" priority="25" operator="greaterThan">
      <formula>0.072</formula>
    </cfRule>
    <cfRule type="cellIs" dxfId="721" priority="26" operator="greaterThan">
      <formula>7.2</formula>
    </cfRule>
    <cfRule type="cellIs" dxfId="720" priority="14" operator="greaterThan">
      <formula>0.0025</formula>
    </cfRule>
  </conditionalFormatting>
  <conditionalFormatting sqref="G5">
    <cfRule type="cellIs" dxfId="719" priority="3" operator="greaterThan">
      <formula>7.2</formula>
    </cfRule>
    <cfRule type="cellIs" dxfId="718" priority="2" operator="greaterThan">
      <formula>0.072</formula>
    </cfRule>
    <cfRule type="cellIs" dxfId="717" priority="1" operator="greaterThan">
      <formula>0.0025</formula>
    </cfRule>
  </conditionalFormatting>
  <conditionalFormatting sqref="H12:H22">
    <cfRule type="cellIs" dxfId="716" priority="15" operator="greaterThan">
      <formula>1.1</formula>
    </cfRule>
  </conditionalFormatting>
  <conditionalFormatting sqref="H28:H37">
    <cfRule type="cellIs" dxfId="715" priority="4" operator="greaterThan">
      <formula>1.1</formula>
    </cfRule>
  </conditionalFormatting>
  <conditionalFormatting sqref="I5">
    <cfRule type="cellIs" dxfId="71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63BF-1CE8-4D67-AF15-8294061748DD}">
  <sheetPr>
    <tabColor rgb="FFFF0000"/>
    <pageSetUpPr fitToPage="1"/>
  </sheetPr>
  <dimension ref="A1:R56"/>
  <sheetViews>
    <sheetView topLeftCell="J1" zoomScale="70" zoomScaleNormal="70" workbookViewId="0">
      <selection activeCell="P12" sqref="P12:Q21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24" style="18" bestFit="1" customWidth="1"/>
    <col min="17" max="17" width="55.25" style="18" bestFit="1" customWidth="1"/>
    <col min="18" max="18" width="41.75" style="18" customWidth="1"/>
    <col min="19" max="16384" width="9" style="18"/>
  </cols>
  <sheetData>
    <row r="1" spans="1:18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8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8" s="20" customFormat="1" ht="28.5">
      <c r="A3" s="149">
        <v>45890</v>
      </c>
      <c r="B3" s="150"/>
      <c r="C3" s="151">
        <v>7246465.3200000003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8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8" ht="46.5" customHeight="1" thickBot="1">
      <c r="A5" s="146" t="s">
        <v>61</v>
      </c>
      <c r="B5" s="147"/>
      <c r="C5" s="147"/>
      <c r="D5" s="24">
        <v>17467.345399999987</v>
      </c>
      <c r="E5" s="25">
        <f>D5/C3</f>
        <v>2.4104642234042991E-3</v>
      </c>
      <c r="F5" s="24">
        <v>57573.538400000019</v>
      </c>
      <c r="G5" s="26">
        <f>F5/C3</f>
        <v>7.9450512570727397E-3</v>
      </c>
      <c r="H5" s="27">
        <f>SUM(C12:C21)</f>
        <v>3942.5740999999998</v>
      </c>
      <c r="I5" s="28">
        <f>H5/D5</f>
        <v>0.2257111203629146</v>
      </c>
      <c r="J5" s="27">
        <f>SUM(C28:C37)</f>
        <v>17476.456300000009</v>
      </c>
      <c r="K5" s="29">
        <f>J5/F5</f>
        <v>0.3035501514355422</v>
      </c>
      <c r="L5" s="30">
        <v>3001.2626999999998</v>
      </c>
      <c r="M5" s="31">
        <f>L5/D5</f>
        <v>0.17182134040814248</v>
      </c>
    </row>
    <row r="6" spans="1:18" ht="46.5" customHeight="1" thickBot="1"/>
    <row r="7" spans="1:18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148"/>
      <c r="R7" s="95"/>
    </row>
    <row r="8" spans="1:18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28" t="s">
        <v>66</v>
      </c>
      <c r="Q8" s="100" t="s">
        <v>67</v>
      </c>
      <c r="R8" s="104" t="s">
        <v>68</v>
      </c>
    </row>
    <row r="9" spans="1:18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0"/>
      <c r="R9" s="104"/>
    </row>
    <row r="10" spans="1:18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0"/>
      <c r="R10" s="104"/>
    </row>
    <row r="11" spans="1:18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0"/>
      <c r="R11" s="104"/>
    </row>
    <row r="12" spans="1:18" s="46" customFormat="1" ht="24.95" customHeight="1">
      <c r="A12" s="35">
        <v>1</v>
      </c>
      <c r="B12" s="36" t="s">
        <v>173</v>
      </c>
      <c r="C12" s="37">
        <v>561</v>
      </c>
      <c r="D12" s="38">
        <v>2574</v>
      </c>
      <c r="E12" s="38">
        <v>2674</v>
      </c>
      <c r="F12" s="38">
        <v>0</v>
      </c>
      <c r="G12" s="37">
        <v>5.61</v>
      </c>
      <c r="H12" s="39">
        <f>(E12+F12)/D12</f>
        <v>1.0388500388500388</v>
      </c>
      <c r="I12" s="37">
        <v>561</v>
      </c>
      <c r="J12" s="38">
        <v>100</v>
      </c>
      <c r="K12" s="40">
        <f>J12/D12</f>
        <v>3.8850038850038848E-2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183</v>
      </c>
      <c r="Q12" s="44"/>
      <c r="R12" s="45" t="s">
        <v>174</v>
      </c>
    </row>
    <row r="13" spans="1:18" s="46" customFormat="1" ht="24.95" customHeight="1">
      <c r="A13" s="47">
        <v>2</v>
      </c>
      <c r="B13" s="36" t="s">
        <v>91</v>
      </c>
      <c r="C13" s="37">
        <v>556.19999999999993</v>
      </c>
      <c r="D13" s="38">
        <v>4007</v>
      </c>
      <c r="E13" s="38">
        <v>4043</v>
      </c>
      <c r="F13" s="38">
        <v>0</v>
      </c>
      <c r="G13" s="37">
        <v>15.45</v>
      </c>
      <c r="H13" s="39">
        <f t="shared" ref="H13:H21" si="1">(E13+F13)/D13</f>
        <v>1.0089842775143498</v>
      </c>
      <c r="I13" s="37">
        <v>556.19999999999993</v>
      </c>
      <c r="J13" s="38">
        <v>36</v>
      </c>
      <c r="K13" s="40">
        <f>J13/D13</f>
        <v>8.9842775143498879E-3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92</v>
      </c>
      <c r="Q13" s="44" t="s">
        <v>93</v>
      </c>
      <c r="R13" s="45" t="s">
        <v>94</v>
      </c>
    </row>
    <row r="14" spans="1:18" s="46" customFormat="1" ht="24.95" customHeight="1">
      <c r="A14" s="47">
        <v>3</v>
      </c>
      <c r="B14" s="36" t="s">
        <v>214</v>
      </c>
      <c r="C14" s="37">
        <v>493.36119999999994</v>
      </c>
      <c r="D14" s="38">
        <v>20.14</v>
      </c>
      <c r="E14" s="38">
        <v>21.78</v>
      </c>
      <c r="F14" s="38">
        <v>0</v>
      </c>
      <c r="G14" s="37">
        <v>300.83</v>
      </c>
      <c r="H14" s="39">
        <f>(E14+F14)/D14</f>
        <v>1.0814299900695135</v>
      </c>
      <c r="I14" s="37">
        <v>493.36120000000017</v>
      </c>
      <c r="J14" s="38">
        <v>1.64</v>
      </c>
      <c r="K14" s="40">
        <f t="shared" ref="K14:K21" si="4">J14/D14</f>
        <v>8.1429990069513403E-2</v>
      </c>
      <c r="L14" s="41">
        <f t="shared" si="2"/>
        <v>0</v>
      </c>
      <c r="M14" s="42">
        <f t="shared" si="3"/>
        <v>0</v>
      </c>
      <c r="N14" s="43">
        <f t="shared" si="0"/>
        <v>0</v>
      </c>
      <c r="O14" s="44" t="s">
        <v>88</v>
      </c>
      <c r="P14" s="44" t="s">
        <v>183</v>
      </c>
      <c r="Q14" s="44"/>
      <c r="R14" s="45" t="s">
        <v>162</v>
      </c>
    </row>
    <row r="15" spans="1:18" s="46" customFormat="1" ht="24.95" customHeight="1">
      <c r="A15" s="35">
        <v>4</v>
      </c>
      <c r="B15" s="36" t="s">
        <v>101</v>
      </c>
      <c r="C15" s="37">
        <v>440.81570000000005</v>
      </c>
      <c r="D15" s="38">
        <v>637.6</v>
      </c>
      <c r="E15" s="38">
        <v>641.1</v>
      </c>
      <c r="F15" s="38">
        <v>9.08</v>
      </c>
      <c r="G15" s="37">
        <v>147.43</v>
      </c>
      <c r="H15" s="39">
        <f>(E15+F15)/D15</f>
        <v>1.0197302383939775</v>
      </c>
      <c r="I15" s="37">
        <v>1854.6694000000061</v>
      </c>
      <c r="J15" s="38">
        <v>2.99</v>
      </c>
      <c r="K15" s="40">
        <f t="shared" si="4"/>
        <v>4.6894604767879549E-3</v>
      </c>
      <c r="L15" s="41">
        <f t="shared" si="2"/>
        <v>9.5900000000000407</v>
      </c>
      <c r="M15" s="42">
        <f t="shared" si="3"/>
        <v>1.5040777917189524E-2</v>
      </c>
      <c r="N15" s="43">
        <f t="shared" si="0"/>
        <v>1413.853700000006</v>
      </c>
      <c r="O15" s="44" t="s">
        <v>88</v>
      </c>
      <c r="P15" s="44" t="s">
        <v>48</v>
      </c>
      <c r="Q15" s="44" t="s">
        <v>102</v>
      </c>
      <c r="R15" s="45" t="s">
        <v>103</v>
      </c>
    </row>
    <row r="16" spans="1:18" s="46" customFormat="1" ht="24.95" customHeight="1">
      <c r="A16" s="47">
        <v>5</v>
      </c>
      <c r="B16" s="36" t="s">
        <v>106</v>
      </c>
      <c r="C16" s="37">
        <v>427.35120000000001</v>
      </c>
      <c r="D16" s="38">
        <v>32.33</v>
      </c>
      <c r="E16" s="38">
        <v>34.58</v>
      </c>
      <c r="F16" s="38">
        <v>0</v>
      </c>
      <c r="G16" s="37">
        <v>248.46</v>
      </c>
      <c r="H16" s="39">
        <f t="shared" si="1"/>
        <v>1.0695948035879987</v>
      </c>
      <c r="I16" s="37">
        <v>559.03499999999997</v>
      </c>
      <c r="J16" s="38">
        <v>1.72</v>
      </c>
      <c r="K16" s="40">
        <f t="shared" si="4"/>
        <v>5.3201360965047947E-2</v>
      </c>
      <c r="L16" s="41">
        <f t="shared" si="2"/>
        <v>0.53</v>
      </c>
      <c r="M16" s="42">
        <f t="shared" si="3"/>
        <v>1.6393442622950821E-2</v>
      </c>
      <c r="N16" s="43">
        <f t="shared" si="0"/>
        <v>131.68380000000002</v>
      </c>
      <c r="O16" s="44" t="s">
        <v>88</v>
      </c>
      <c r="P16" s="44" t="s">
        <v>96</v>
      </c>
      <c r="Q16" s="44"/>
      <c r="R16" s="45" t="s">
        <v>103</v>
      </c>
    </row>
    <row r="17" spans="1:18" s="46" customFormat="1" ht="24.95" customHeight="1">
      <c r="A17" s="35">
        <v>6</v>
      </c>
      <c r="B17" s="36" t="s">
        <v>150</v>
      </c>
      <c r="C17" s="37">
        <v>376.84219999999999</v>
      </c>
      <c r="D17" s="38">
        <v>120.98</v>
      </c>
      <c r="E17" s="38">
        <v>125.04</v>
      </c>
      <c r="F17" s="38">
        <v>0</v>
      </c>
      <c r="G17" s="37">
        <v>141.66999999999999</v>
      </c>
      <c r="H17" s="39">
        <f t="shared" si="1"/>
        <v>1.0335592659943793</v>
      </c>
      <c r="I17" s="37">
        <v>575.18020000000024</v>
      </c>
      <c r="J17" s="38">
        <v>2.66</v>
      </c>
      <c r="K17" s="40">
        <f t="shared" si="4"/>
        <v>2.1987105306662258E-2</v>
      </c>
      <c r="L17" s="41">
        <f t="shared" si="2"/>
        <v>1.4000000000000021</v>
      </c>
      <c r="M17" s="42">
        <f t="shared" si="3"/>
        <v>1.1572160687716996E-2</v>
      </c>
      <c r="N17" s="43">
        <f t="shared" si="0"/>
        <v>198.33800000000028</v>
      </c>
      <c r="O17" s="44" t="s">
        <v>88</v>
      </c>
      <c r="P17" s="44" t="s">
        <v>118</v>
      </c>
      <c r="Q17" s="44"/>
      <c r="R17" s="45" t="s">
        <v>133</v>
      </c>
    </row>
    <row r="18" spans="1:18" s="46" customFormat="1" ht="24.95" customHeight="1">
      <c r="A18" s="47">
        <v>7</v>
      </c>
      <c r="B18" s="36" t="s">
        <v>109</v>
      </c>
      <c r="C18" s="37">
        <v>327.85610000000003</v>
      </c>
      <c r="D18" s="38">
        <v>25.21</v>
      </c>
      <c r="E18" s="38">
        <v>28.029999999999998</v>
      </c>
      <c r="F18" s="38">
        <v>0</v>
      </c>
      <c r="G18" s="37">
        <v>144.43</v>
      </c>
      <c r="H18" s="39">
        <f t="shared" si="1"/>
        <v>1.1118603728679095</v>
      </c>
      <c r="I18" s="37">
        <v>407.29259999999954</v>
      </c>
      <c r="J18" s="38">
        <v>2.27</v>
      </c>
      <c r="K18" s="40">
        <f t="shared" si="4"/>
        <v>9.0043633478778265E-2</v>
      </c>
      <c r="L18" s="41">
        <f>((E18+F18)-D18)-J18</f>
        <v>0.54999999999999671</v>
      </c>
      <c r="M18" s="42">
        <f t="shared" si="3"/>
        <v>2.1816739389131166E-2</v>
      </c>
      <c r="N18" s="43">
        <f t="shared" si="0"/>
        <v>79.436499999999526</v>
      </c>
      <c r="O18" s="44" t="s">
        <v>88</v>
      </c>
      <c r="P18" s="44" t="s">
        <v>96</v>
      </c>
      <c r="Q18" s="44"/>
      <c r="R18" s="45" t="s">
        <v>110</v>
      </c>
    </row>
    <row r="19" spans="1:18" s="46" customFormat="1" ht="24.95" customHeight="1">
      <c r="A19" s="35">
        <v>8</v>
      </c>
      <c r="B19" s="36" t="s">
        <v>134</v>
      </c>
      <c r="C19" s="37">
        <v>269.95769999999999</v>
      </c>
      <c r="D19" s="38">
        <v>315.62</v>
      </c>
      <c r="E19" s="38">
        <v>319.49</v>
      </c>
      <c r="F19" s="38">
        <v>0</v>
      </c>
      <c r="G19" s="37">
        <v>157.87</v>
      </c>
      <c r="H19" s="39">
        <f t="shared" si="1"/>
        <v>1.0122615803814714</v>
      </c>
      <c r="I19" s="37">
        <v>610.9569000000007</v>
      </c>
      <c r="J19" s="38">
        <v>1.71</v>
      </c>
      <c r="K19" s="40">
        <f t="shared" si="4"/>
        <v>5.4179076104175902E-3</v>
      </c>
      <c r="L19" s="41">
        <f t="shared" si="2"/>
        <v>2.1600000000000046</v>
      </c>
      <c r="M19" s="42">
        <f t="shared" si="3"/>
        <v>6.8436727710538131E-3</v>
      </c>
      <c r="N19" s="43">
        <f t="shared" si="0"/>
        <v>340.99920000000071</v>
      </c>
      <c r="O19" s="44" t="s">
        <v>88</v>
      </c>
      <c r="P19" s="44" t="s">
        <v>118</v>
      </c>
      <c r="Q19" s="44"/>
      <c r="R19" s="45" t="s">
        <v>103</v>
      </c>
    </row>
    <row r="20" spans="1:18" s="46" customFormat="1" ht="24.95" customHeight="1">
      <c r="A20" s="47">
        <v>9</v>
      </c>
      <c r="B20" s="36" t="s">
        <v>193</v>
      </c>
      <c r="C20" s="37">
        <v>245.16</v>
      </c>
      <c r="D20" s="38">
        <v>65.599999999999994</v>
      </c>
      <c r="E20" s="38">
        <v>65.579999999999984</v>
      </c>
      <c r="F20" s="38">
        <v>2.27</v>
      </c>
      <c r="G20" s="37">
        <v>108.96</v>
      </c>
      <c r="H20" s="39">
        <f t="shared" si="1"/>
        <v>1.0342987804878048</v>
      </c>
      <c r="I20" s="37">
        <v>245.15999999999843</v>
      </c>
      <c r="J20" s="38">
        <v>2.25</v>
      </c>
      <c r="K20" s="40">
        <f t="shared" si="4"/>
        <v>3.4298780487804881E-2</v>
      </c>
      <c r="L20" s="41">
        <f t="shared" si="2"/>
        <v>-1.4210854715202004E-14</v>
      </c>
      <c r="M20" s="42">
        <f t="shared" si="3"/>
        <v>-2.166288828536891E-16</v>
      </c>
      <c r="N20" s="43">
        <f t="shared" si="0"/>
        <v>-1.5484147297684102E-12</v>
      </c>
      <c r="O20" s="44" t="s">
        <v>88</v>
      </c>
      <c r="P20" s="44" t="s">
        <v>118</v>
      </c>
      <c r="Q20" s="44"/>
      <c r="R20" s="45" t="s">
        <v>122</v>
      </c>
    </row>
    <row r="21" spans="1:18" s="46" customFormat="1" ht="24.95" customHeight="1" thickBot="1">
      <c r="A21" s="48">
        <v>10</v>
      </c>
      <c r="B21" s="49" t="s">
        <v>190</v>
      </c>
      <c r="C21" s="50">
        <v>244.02999999999997</v>
      </c>
      <c r="D21" s="51">
        <v>1122</v>
      </c>
      <c r="E21" s="51">
        <v>1145</v>
      </c>
      <c r="F21" s="51">
        <v>0</v>
      </c>
      <c r="G21" s="50">
        <v>10.61</v>
      </c>
      <c r="H21" s="52">
        <f t="shared" si="1"/>
        <v>1.0204991087344029</v>
      </c>
      <c r="I21" s="50">
        <v>244.02999999999997</v>
      </c>
      <c r="J21" s="51">
        <v>23</v>
      </c>
      <c r="K21" s="53">
        <f t="shared" si="4"/>
        <v>2.0499108734402853E-2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88</v>
      </c>
      <c r="P21" s="57" t="s">
        <v>183</v>
      </c>
      <c r="Q21" s="57"/>
      <c r="R21" s="58" t="s">
        <v>189</v>
      </c>
    </row>
    <row r="22" spans="1:18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20"/>
    </row>
    <row r="24" spans="1:18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8" t="s">
        <v>66</v>
      </c>
      <c r="Q24" s="100" t="s">
        <v>67</v>
      </c>
      <c r="R24" s="129" t="s">
        <v>68</v>
      </c>
    </row>
    <row r="25" spans="1:18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00"/>
      <c r="Q25" s="100"/>
      <c r="R25" s="130"/>
    </row>
    <row r="26" spans="1:18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00"/>
      <c r="Q26" s="100"/>
      <c r="R26" s="130"/>
    </row>
    <row r="27" spans="1:18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00"/>
      <c r="Q27" s="100"/>
      <c r="R27" s="131"/>
    </row>
    <row r="28" spans="1:18" s="67" customFormat="1" ht="24.95" customHeight="1">
      <c r="A28" s="35">
        <v>1</v>
      </c>
      <c r="B28" s="36" t="s">
        <v>151</v>
      </c>
      <c r="C28" s="37">
        <v>2807.8976000000011</v>
      </c>
      <c r="D28" s="38">
        <v>32.04</v>
      </c>
      <c r="E28" s="38">
        <v>30.28</v>
      </c>
      <c r="F28" s="38">
        <v>6</v>
      </c>
      <c r="G28" s="37">
        <v>662.24</v>
      </c>
      <c r="H28" s="68">
        <f t="shared" ref="H28:H37" si="5">(E28+F28)/D28</f>
        <v>1.1323345817727841</v>
      </c>
      <c r="I28" s="37">
        <v>2807.8976000000011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4.240000000000002</v>
      </c>
      <c r="N28" s="42">
        <f t="shared" ref="N28:N37" si="9">M28/D28</f>
        <v>0.13233458177278409</v>
      </c>
      <c r="O28" s="44" t="s">
        <v>116</v>
      </c>
      <c r="P28" s="69" t="s">
        <v>118</v>
      </c>
      <c r="Q28" s="82"/>
      <c r="R28" s="45" t="s">
        <v>100</v>
      </c>
    </row>
    <row r="29" spans="1:18" s="67" customFormat="1" ht="24.95" customHeight="1">
      <c r="A29" s="47">
        <v>2</v>
      </c>
      <c r="B29" s="36" t="s">
        <v>130</v>
      </c>
      <c r="C29" s="37">
        <v>2041.4786000000026</v>
      </c>
      <c r="D29" s="38">
        <v>216.76</v>
      </c>
      <c r="E29" s="38">
        <v>217.12</v>
      </c>
      <c r="F29" s="38">
        <v>3.01</v>
      </c>
      <c r="G29" s="37">
        <v>605.78</v>
      </c>
      <c r="H29" s="68">
        <f t="shared" si="5"/>
        <v>1.015547148920465</v>
      </c>
      <c r="I29" s="37">
        <v>2041.4786000000026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3.3700000000000045</v>
      </c>
      <c r="N29" s="42">
        <f t="shared" si="9"/>
        <v>1.5547148920465052E-2</v>
      </c>
      <c r="O29" s="44" t="s">
        <v>116</v>
      </c>
      <c r="P29" s="44" t="s">
        <v>120</v>
      </c>
      <c r="Q29" s="82" t="s">
        <v>132</v>
      </c>
      <c r="R29" s="45" t="s">
        <v>133</v>
      </c>
    </row>
    <row r="30" spans="1:18" s="67" customFormat="1" ht="24.95" customHeight="1">
      <c r="A30" s="47">
        <v>3</v>
      </c>
      <c r="B30" s="36" t="s">
        <v>170</v>
      </c>
      <c r="C30" s="37">
        <v>1978.1762000000047</v>
      </c>
      <c r="D30" s="38">
        <v>97</v>
      </c>
      <c r="E30" s="38">
        <v>97.29</v>
      </c>
      <c r="F30" s="38">
        <v>5.04</v>
      </c>
      <c r="G30" s="37">
        <v>371.14</v>
      </c>
      <c r="H30" s="68">
        <f t="shared" si="5"/>
        <v>1.0549484536082476</v>
      </c>
      <c r="I30" s="37">
        <v>1978.1762000000047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5.3300000000000125</v>
      </c>
      <c r="N30" s="42">
        <f t="shared" si="9"/>
        <v>5.4948453608247551E-2</v>
      </c>
      <c r="O30" s="44" t="s">
        <v>116</v>
      </c>
      <c r="P30" s="69" t="s">
        <v>118</v>
      </c>
      <c r="Q30" s="82"/>
      <c r="R30" s="45" t="s">
        <v>103</v>
      </c>
    </row>
    <row r="31" spans="1:18" s="67" customFormat="1" ht="24.95" customHeight="1">
      <c r="A31" s="35">
        <v>4</v>
      </c>
      <c r="B31" s="36" t="s">
        <v>179</v>
      </c>
      <c r="C31" s="37">
        <v>1944.9197999999926</v>
      </c>
      <c r="D31" s="38">
        <v>199.96</v>
      </c>
      <c r="E31" s="38">
        <v>194.23</v>
      </c>
      <c r="F31" s="38">
        <v>10.5</v>
      </c>
      <c r="G31" s="37">
        <v>407.74</v>
      </c>
      <c r="H31" s="68">
        <f t="shared" si="5"/>
        <v>1.0238547709541908</v>
      </c>
      <c r="I31" s="37">
        <v>1944.9197999999926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4.7699999999999818</v>
      </c>
      <c r="N31" s="42">
        <f t="shared" si="9"/>
        <v>2.3854770954190745E-2</v>
      </c>
      <c r="O31" s="44" t="s">
        <v>116</v>
      </c>
      <c r="P31" s="44" t="s">
        <v>120</v>
      </c>
      <c r="Q31" s="82" t="s">
        <v>132</v>
      </c>
      <c r="R31" s="45" t="s">
        <v>180</v>
      </c>
    </row>
    <row r="32" spans="1:18" s="67" customFormat="1" ht="24.95" customHeight="1">
      <c r="A32" s="47">
        <v>5</v>
      </c>
      <c r="B32" s="36" t="s">
        <v>142</v>
      </c>
      <c r="C32" s="37">
        <v>1907.8271999999972</v>
      </c>
      <c r="D32" s="38">
        <v>88.11</v>
      </c>
      <c r="E32" s="38">
        <v>87.08</v>
      </c>
      <c r="F32" s="38">
        <v>3.91</v>
      </c>
      <c r="G32" s="37">
        <v>662.44</v>
      </c>
      <c r="H32" s="68">
        <f t="shared" si="5"/>
        <v>1.0326864147088866</v>
      </c>
      <c r="I32" s="37">
        <v>1907.8271999999972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2.8799999999999955</v>
      </c>
      <c r="N32" s="42">
        <f t="shared" si="9"/>
        <v>3.2686414708886564E-2</v>
      </c>
      <c r="O32" s="44" t="s">
        <v>116</v>
      </c>
      <c r="P32" s="69" t="s">
        <v>118</v>
      </c>
      <c r="Q32" s="82"/>
      <c r="R32" s="45" t="s">
        <v>103</v>
      </c>
    </row>
    <row r="33" spans="1:18" s="67" customFormat="1" ht="24.95" customHeight="1">
      <c r="A33" s="35">
        <v>6</v>
      </c>
      <c r="B33" s="36" t="s">
        <v>152</v>
      </c>
      <c r="C33" s="37">
        <v>1698.3000000000018</v>
      </c>
      <c r="D33" s="38">
        <v>27.33</v>
      </c>
      <c r="E33" s="38">
        <v>30.03</v>
      </c>
      <c r="F33" s="38">
        <v>0</v>
      </c>
      <c r="G33" s="37">
        <v>629</v>
      </c>
      <c r="H33" s="68">
        <f t="shared" si="5"/>
        <v>1.0987925356750825</v>
      </c>
      <c r="I33" s="37">
        <v>1698.3000000000018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2.7000000000000028</v>
      </c>
      <c r="N33" s="42">
        <f t="shared" si="9"/>
        <v>9.8792535675082435E-2</v>
      </c>
      <c r="O33" s="44" t="s">
        <v>116</v>
      </c>
      <c r="P33" s="69" t="s">
        <v>118</v>
      </c>
      <c r="Q33" s="82"/>
      <c r="R33" s="45" t="s">
        <v>105</v>
      </c>
    </row>
    <row r="34" spans="1:18" s="67" customFormat="1" ht="24.95" customHeight="1">
      <c r="A34" s="47">
        <v>7</v>
      </c>
      <c r="B34" s="36" t="s">
        <v>101</v>
      </c>
      <c r="C34" s="37">
        <v>1413.853700000006</v>
      </c>
      <c r="D34" s="38">
        <v>637.6</v>
      </c>
      <c r="E34" s="38">
        <v>641.1</v>
      </c>
      <c r="F34" s="38">
        <v>9.08</v>
      </c>
      <c r="G34" s="37">
        <v>147.43</v>
      </c>
      <c r="H34" s="68">
        <f t="shared" si="5"/>
        <v>1.0197302383939775</v>
      </c>
      <c r="I34" s="37">
        <v>1854.6694000000061</v>
      </c>
      <c r="J34" s="38">
        <v>2.99</v>
      </c>
      <c r="K34" s="40">
        <f t="shared" si="6"/>
        <v>4.6894604767879549E-3</v>
      </c>
      <c r="L34" s="43">
        <f t="shared" si="7"/>
        <v>440.81570000000005</v>
      </c>
      <c r="M34" s="41">
        <f t="shared" si="8"/>
        <v>9.5900000000000407</v>
      </c>
      <c r="N34" s="42">
        <f t="shared" si="9"/>
        <v>1.5040777917189524E-2</v>
      </c>
      <c r="O34" s="44" t="s">
        <v>116</v>
      </c>
      <c r="P34" s="44" t="s">
        <v>48</v>
      </c>
      <c r="Q34" s="82" t="s">
        <v>102</v>
      </c>
      <c r="R34" s="45" t="s">
        <v>103</v>
      </c>
    </row>
    <row r="35" spans="1:18" s="67" customFormat="1" ht="24.95" customHeight="1">
      <c r="A35" s="35">
        <v>8</v>
      </c>
      <c r="B35" s="36" t="s">
        <v>196</v>
      </c>
      <c r="C35" s="37">
        <v>1333.3951999999986</v>
      </c>
      <c r="D35" s="38">
        <v>63.88</v>
      </c>
      <c r="E35" s="38">
        <v>64.099999999999994</v>
      </c>
      <c r="F35" s="38">
        <v>1.9</v>
      </c>
      <c r="G35" s="37">
        <v>628.96</v>
      </c>
      <c r="H35" s="68">
        <f t="shared" si="5"/>
        <v>1.0331872260488415</v>
      </c>
      <c r="I35" s="37">
        <v>1333.3951999999986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2.1199999999999974</v>
      </c>
      <c r="N35" s="42">
        <f t="shared" si="9"/>
        <v>3.3187226048841535E-2</v>
      </c>
      <c r="O35" s="44" t="s">
        <v>116</v>
      </c>
      <c r="P35" s="69" t="s">
        <v>118</v>
      </c>
      <c r="Q35" s="82"/>
      <c r="R35" s="45" t="s">
        <v>110</v>
      </c>
    </row>
    <row r="36" spans="1:18" s="67" customFormat="1" ht="24.95" customHeight="1">
      <c r="A36" s="47">
        <v>9</v>
      </c>
      <c r="B36" s="36" t="s">
        <v>140</v>
      </c>
      <c r="C36" s="37">
        <v>1198.0000000000009</v>
      </c>
      <c r="D36" s="38">
        <v>120.27</v>
      </c>
      <c r="E36" s="38">
        <v>123.05</v>
      </c>
      <c r="F36" s="38">
        <v>3.95</v>
      </c>
      <c r="G36" s="37">
        <v>200</v>
      </c>
      <c r="H36" s="68">
        <f t="shared" si="5"/>
        <v>1.0559574291178182</v>
      </c>
      <c r="I36" s="37">
        <v>1346.0000000000009</v>
      </c>
      <c r="J36" s="38">
        <v>0.74</v>
      </c>
      <c r="K36" s="40">
        <f t="shared" si="6"/>
        <v>6.1528228153321695E-3</v>
      </c>
      <c r="L36" s="43">
        <f t="shared" si="7"/>
        <v>148</v>
      </c>
      <c r="M36" s="41">
        <f t="shared" si="8"/>
        <v>5.9900000000000038</v>
      </c>
      <c r="N36" s="42">
        <f t="shared" si="9"/>
        <v>4.9804606302486107E-2</v>
      </c>
      <c r="O36" s="44" t="s">
        <v>131</v>
      </c>
      <c r="P36" s="69" t="s">
        <v>118</v>
      </c>
      <c r="Q36" s="82"/>
      <c r="R36" s="45" t="s">
        <v>103</v>
      </c>
    </row>
    <row r="37" spans="1:18" s="67" customFormat="1" ht="24.95" customHeight="1" thickBot="1">
      <c r="A37" s="48">
        <v>10</v>
      </c>
      <c r="B37" s="49" t="s">
        <v>144</v>
      </c>
      <c r="C37" s="50">
        <v>1152.6080000000054</v>
      </c>
      <c r="D37" s="51">
        <v>303.20999999999998</v>
      </c>
      <c r="E37" s="51">
        <v>301.37</v>
      </c>
      <c r="F37" s="51">
        <v>9.8000000000000007</v>
      </c>
      <c r="G37" s="50">
        <v>144.80000000000001</v>
      </c>
      <c r="H37" s="70">
        <f t="shared" si="5"/>
        <v>1.0262524323076416</v>
      </c>
      <c r="I37" s="50">
        <v>1152.6080000000054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7.9600000000000364</v>
      </c>
      <c r="N37" s="55">
        <f t="shared" si="9"/>
        <v>2.6252432307641689E-2</v>
      </c>
      <c r="O37" s="57" t="s">
        <v>131</v>
      </c>
      <c r="P37" s="83" t="s">
        <v>118</v>
      </c>
      <c r="Q37" s="84"/>
      <c r="R37" s="58" t="s">
        <v>103</v>
      </c>
    </row>
    <row r="38" spans="1:18" ht="15.75" customHeight="1" thickBot="1"/>
    <row r="39" spans="1:18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8" ht="26.1" customHeight="1">
      <c r="A40" s="96" t="s">
        <v>63</v>
      </c>
      <c r="B40" s="97"/>
      <c r="C40" s="97"/>
      <c r="D40" s="98"/>
      <c r="E40" s="71"/>
      <c r="G40" s="74"/>
    </row>
    <row r="41" spans="1:18" ht="25.5" customHeight="1">
      <c r="A41" s="99" t="s">
        <v>69</v>
      </c>
      <c r="B41" s="100" t="s">
        <v>70</v>
      </c>
      <c r="C41" s="100"/>
      <c r="D41" s="101"/>
      <c r="E41" s="71"/>
    </row>
    <row r="42" spans="1:18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8" ht="20.45" customHeight="1">
      <c r="A43" s="99"/>
      <c r="B43" s="102"/>
      <c r="C43" s="103"/>
      <c r="D43" s="104"/>
      <c r="E43" s="71"/>
    </row>
    <row r="44" spans="1:18" s="78" customFormat="1" ht="24.95" customHeight="1">
      <c r="A44" s="75">
        <v>1</v>
      </c>
      <c r="B44" s="36" t="s">
        <v>101</v>
      </c>
      <c r="C44" s="37">
        <v>440.81570000000005</v>
      </c>
      <c r="D44" s="76">
        <f t="shared" ref="D44:D53" si="10">C44/$L$5</f>
        <v>0.14687674624417252</v>
      </c>
      <c r="E44" s="77"/>
    </row>
    <row r="45" spans="1:18" s="78" customFormat="1" ht="24.95" customHeight="1">
      <c r="A45" s="79">
        <v>2</v>
      </c>
      <c r="B45" s="36" t="s">
        <v>106</v>
      </c>
      <c r="C45" s="37">
        <v>427.35120000000001</v>
      </c>
      <c r="D45" s="76">
        <f t="shared" si="10"/>
        <v>0.14239046785208107</v>
      </c>
      <c r="E45" s="77"/>
    </row>
    <row r="46" spans="1:18" s="78" customFormat="1" ht="24.95" customHeight="1">
      <c r="A46" s="79">
        <v>3</v>
      </c>
      <c r="B46" s="36" t="s">
        <v>134</v>
      </c>
      <c r="C46" s="37">
        <v>269.95769999999999</v>
      </c>
      <c r="D46" s="76">
        <f t="shared" si="10"/>
        <v>8.9948040869597984E-2</v>
      </c>
      <c r="E46" s="77"/>
    </row>
    <row r="47" spans="1:18" s="78" customFormat="1" ht="24.95" customHeight="1">
      <c r="A47" s="75">
        <v>4</v>
      </c>
      <c r="B47" s="36" t="s">
        <v>137</v>
      </c>
      <c r="C47" s="37">
        <v>213.15</v>
      </c>
      <c r="D47" s="76">
        <f t="shared" si="10"/>
        <v>7.1020107636695723E-2</v>
      </c>
      <c r="E47" s="77"/>
    </row>
    <row r="48" spans="1:18" s="78" customFormat="1" ht="24.95" customHeight="1">
      <c r="A48" s="79">
        <v>5</v>
      </c>
      <c r="B48" s="36" t="s">
        <v>168</v>
      </c>
      <c r="C48" s="37">
        <v>209.1</v>
      </c>
      <c r="D48" s="76">
        <f t="shared" si="10"/>
        <v>6.9670675612634639E-2</v>
      </c>
      <c r="E48" s="77"/>
    </row>
    <row r="49" spans="1:5" s="78" customFormat="1" ht="24.95" customHeight="1">
      <c r="A49" s="75">
        <v>6</v>
      </c>
      <c r="B49" s="36" t="s">
        <v>138</v>
      </c>
      <c r="C49" s="37">
        <v>193.04999999999998</v>
      </c>
      <c r="D49" s="76">
        <f t="shared" si="10"/>
        <v>6.4322926480244458E-2</v>
      </c>
      <c r="E49" s="77"/>
    </row>
    <row r="50" spans="1:5" s="78" customFormat="1" ht="24.95" customHeight="1">
      <c r="A50" s="79">
        <v>7</v>
      </c>
      <c r="B50" s="36" t="s">
        <v>141</v>
      </c>
      <c r="C50" s="37">
        <v>191.10999999999999</v>
      </c>
      <c r="D50" s="76">
        <f t="shared" si="10"/>
        <v>6.3676531881064591E-2</v>
      </c>
      <c r="E50" s="77"/>
    </row>
    <row r="51" spans="1:5" s="78" customFormat="1" ht="24.95" customHeight="1">
      <c r="A51" s="75">
        <v>8</v>
      </c>
      <c r="B51" s="36" t="s">
        <v>139</v>
      </c>
      <c r="C51" s="37">
        <v>172.584</v>
      </c>
      <c r="D51" s="76">
        <f t="shared" si="10"/>
        <v>5.7503796651989181E-2</v>
      </c>
      <c r="E51" s="77"/>
    </row>
    <row r="52" spans="1:5" s="78" customFormat="1" ht="24.95" customHeight="1">
      <c r="A52" s="79">
        <v>9</v>
      </c>
      <c r="B52" s="36" t="s">
        <v>159</v>
      </c>
      <c r="C52" s="37">
        <v>162.21</v>
      </c>
      <c r="D52" s="76">
        <f t="shared" si="10"/>
        <v>5.4047251511838673E-2</v>
      </c>
      <c r="E52" s="77"/>
    </row>
    <row r="53" spans="1:5" s="78" customFormat="1" ht="24.95" customHeight="1" thickBot="1">
      <c r="A53" s="80">
        <v>10</v>
      </c>
      <c r="B53" s="49" t="s">
        <v>140</v>
      </c>
      <c r="C53" s="50">
        <v>148</v>
      </c>
      <c r="D53" s="81">
        <f t="shared" si="10"/>
        <v>4.9312577669392288E-2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713" priority="34" operator="containsText" text="中華">
      <formula>NOT(ISERROR(SEARCH("中華",A12)))</formula>
    </cfRule>
    <cfRule type="containsText" dxfId="712" priority="33" operator="containsText" text="湯凍">
      <formula>NOT(ISERROR(SEARCH("湯凍",A12)))</formula>
    </cfRule>
    <cfRule type="containsText" dxfId="711" priority="32" operator="containsText" text=")川燙小青花菜">
      <formula>NOT(ISERROR(SEARCH(")川燙小青花菜",A12)))</formula>
    </cfRule>
    <cfRule type="containsText" dxfId="710" priority="31" operator="containsText" text="青蔥">
      <formula>NOT(ISERROR(SEARCH("青蔥",A12)))</formula>
    </cfRule>
    <cfRule type="containsText" dxfId="709" priority="30" operator="containsText" text="白醬">
      <formula>NOT(ISERROR(SEARCH("白醬",A12)))</formula>
    </cfRule>
    <cfRule type="containsText" dxfId="708" priority="29" operator="containsText" text="024">
      <formula>NOT(ISERROR(SEARCH("024",A12)))</formula>
    </cfRule>
    <cfRule type="containsText" dxfId="707" priority="28" operator="containsText" text="煮白細麵生(方#12)">
      <formula>NOT(ISERROR(SEARCH("煮白細麵生(方#12)",A12)))</formula>
    </cfRule>
    <cfRule type="containsText" dxfId="706" priority="27" operator="containsText" text="綠豆芽">
      <formula>NOT(ISERROR(SEARCH("綠豆芽",A12)))</formula>
    </cfRule>
  </conditionalFormatting>
  <conditionalFormatting sqref="A28:A37">
    <cfRule type="containsText" dxfId="705" priority="5" operator="containsText" text="綠豆芽">
      <formula>NOT(ISERROR(SEARCH("綠豆芽",A28)))</formula>
    </cfRule>
    <cfRule type="containsText" dxfId="704" priority="6" operator="containsText" text="煮白細麵生(方#12)">
      <formula>NOT(ISERROR(SEARCH("煮白細麵生(方#12)",A28)))</formula>
    </cfRule>
    <cfRule type="containsText" dxfId="703" priority="7" operator="containsText" text="024">
      <formula>NOT(ISERROR(SEARCH("024",A28)))</formula>
    </cfRule>
    <cfRule type="containsText" dxfId="702" priority="8" operator="containsText" text="白醬">
      <formula>NOT(ISERROR(SEARCH("白醬",A28)))</formula>
    </cfRule>
    <cfRule type="containsText" dxfId="701" priority="9" operator="containsText" text="青蔥">
      <formula>NOT(ISERROR(SEARCH("青蔥",A28)))</formula>
    </cfRule>
    <cfRule type="containsText" dxfId="700" priority="10" operator="containsText" text=")川燙小青花菜">
      <formula>NOT(ISERROR(SEARCH(")川燙小青花菜",A28)))</formula>
    </cfRule>
    <cfRule type="containsText" dxfId="699" priority="11" operator="containsText" text="湯凍">
      <formula>NOT(ISERROR(SEARCH("湯凍",A28)))</formula>
    </cfRule>
    <cfRule type="containsText" dxfId="698" priority="12" operator="containsText" text="中華">
      <formula>NOT(ISERROR(SEARCH("中華",A28)))</formula>
    </cfRule>
  </conditionalFormatting>
  <conditionalFormatting sqref="A44:A53">
    <cfRule type="containsText" dxfId="697" priority="17" operator="containsText" text="綠豆芽">
      <formula>NOT(ISERROR(SEARCH("綠豆芽",A44)))</formula>
    </cfRule>
    <cfRule type="containsText" dxfId="696" priority="18" operator="containsText" text="煮白細麵生(方#12)">
      <formula>NOT(ISERROR(SEARCH("煮白細麵生(方#12)",A44)))</formula>
    </cfRule>
    <cfRule type="containsText" dxfId="695" priority="19" operator="containsText" text="024">
      <formula>NOT(ISERROR(SEARCH("024",A44)))</formula>
    </cfRule>
    <cfRule type="containsText" dxfId="694" priority="20" operator="containsText" text="白醬">
      <formula>NOT(ISERROR(SEARCH("白醬",A44)))</formula>
    </cfRule>
    <cfRule type="containsText" dxfId="693" priority="21" operator="containsText" text="青蔥">
      <formula>NOT(ISERROR(SEARCH("青蔥",A44)))</formula>
    </cfRule>
    <cfRule type="containsText" dxfId="692" priority="22" operator="containsText" text=")川燙小青花菜">
      <formula>NOT(ISERROR(SEARCH(")川燙小青花菜",A44)))</formula>
    </cfRule>
    <cfRule type="containsText" dxfId="691" priority="23" operator="containsText" text="湯凍">
      <formula>NOT(ISERROR(SEARCH("湯凍",A44)))</formula>
    </cfRule>
    <cfRule type="containsText" dxfId="690" priority="24" operator="containsText" text="中華">
      <formula>NOT(ISERROR(SEARCH("中華",A44)))</formula>
    </cfRule>
  </conditionalFormatting>
  <conditionalFormatting sqref="D44:D53">
    <cfRule type="cellIs" dxfId="689" priority="16" operator="greaterThan">
      <formula>0.146</formula>
    </cfRule>
  </conditionalFormatting>
  <conditionalFormatting sqref="E5">
    <cfRule type="cellIs" dxfId="688" priority="25" operator="greaterThan">
      <formula>0.072</formula>
    </cfRule>
    <cfRule type="cellIs" dxfId="687" priority="26" operator="greaterThan">
      <formula>7.2</formula>
    </cfRule>
    <cfRule type="cellIs" dxfId="686" priority="14" operator="greaterThan">
      <formula>0.0025</formula>
    </cfRule>
  </conditionalFormatting>
  <conditionalFormatting sqref="G5">
    <cfRule type="cellIs" dxfId="685" priority="3" operator="greaterThan">
      <formula>7.2</formula>
    </cfRule>
    <cfRule type="cellIs" dxfId="684" priority="2" operator="greaterThan">
      <formula>0.072</formula>
    </cfRule>
    <cfRule type="cellIs" dxfId="683" priority="1" operator="greaterThan">
      <formula>0.0025</formula>
    </cfRule>
  </conditionalFormatting>
  <conditionalFormatting sqref="H12:H22">
    <cfRule type="cellIs" dxfId="682" priority="15" operator="greaterThan">
      <formula>1.1</formula>
    </cfRule>
  </conditionalFormatting>
  <conditionalFormatting sqref="H28:H37">
    <cfRule type="cellIs" dxfId="681" priority="4" operator="greaterThan">
      <formula>1.1</formula>
    </cfRule>
  </conditionalFormatting>
  <conditionalFormatting sqref="I5">
    <cfRule type="cellIs" dxfId="68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C19B6-1BBB-4F33-A7FC-C079D4A7FA57}">
  <sheetPr>
    <tabColor rgb="FFFF0000"/>
    <pageSetUpPr fitToPage="1"/>
  </sheetPr>
  <dimension ref="A1:R56"/>
  <sheetViews>
    <sheetView topLeftCell="E16" zoomScale="70" zoomScaleNormal="70" workbookViewId="0">
      <selection activeCell="R28" sqref="R28:R37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24" style="18" bestFit="1" customWidth="1"/>
    <col min="17" max="17" width="55.25" style="18" bestFit="1" customWidth="1"/>
    <col min="18" max="18" width="41.75" style="18" customWidth="1"/>
    <col min="19" max="16384" width="9" style="18"/>
  </cols>
  <sheetData>
    <row r="1" spans="1:18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8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8" s="20" customFormat="1" ht="28.5">
      <c r="A3" s="149">
        <v>45889</v>
      </c>
      <c r="B3" s="150"/>
      <c r="C3" s="151">
        <v>7775987.7599999998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8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8" ht="46.5" customHeight="1" thickBot="1">
      <c r="A5" s="146" t="s">
        <v>61</v>
      </c>
      <c r="B5" s="147"/>
      <c r="C5" s="147"/>
      <c r="D5" s="24">
        <v>18753.285699999986</v>
      </c>
      <c r="E5" s="25">
        <f>D5/C3</f>
        <v>2.4116917720045363E-3</v>
      </c>
      <c r="F5" s="24">
        <v>61899.048500000026</v>
      </c>
      <c r="G5" s="26">
        <f>F5/C3</f>
        <v>7.9602811128910555E-3</v>
      </c>
      <c r="H5" s="27">
        <f>SUM(C12:C21)</f>
        <v>4932.1410999999998</v>
      </c>
      <c r="I5" s="28">
        <f>H5/D5</f>
        <v>0.26300143766273465</v>
      </c>
      <c r="J5" s="27">
        <f>SUM(C28:C37)</f>
        <v>15165.34260000004</v>
      </c>
      <c r="K5" s="29">
        <f>J5/F5</f>
        <v>0.24500122324174392</v>
      </c>
      <c r="L5" s="30">
        <v>3175.0388000000003</v>
      </c>
      <c r="M5" s="31">
        <f>L5/D5</f>
        <v>0.16930573398132587</v>
      </c>
    </row>
    <row r="6" spans="1:18" ht="46.5" customHeight="1" thickBot="1"/>
    <row r="7" spans="1:18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148"/>
      <c r="R7" s="95"/>
    </row>
    <row r="8" spans="1:18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28" t="s">
        <v>66</v>
      </c>
      <c r="Q8" s="100" t="s">
        <v>67</v>
      </c>
      <c r="R8" s="104" t="s">
        <v>68</v>
      </c>
    </row>
    <row r="9" spans="1:18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0"/>
      <c r="R9" s="104"/>
    </row>
    <row r="10" spans="1:18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0"/>
      <c r="R10" s="104"/>
    </row>
    <row r="11" spans="1:18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0"/>
      <c r="R11" s="104"/>
    </row>
    <row r="12" spans="1:18" s="46" customFormat="1" ht="24.95" customHeight="1">
      <c r="A12" s="35">
        <v>1</v>
      </c>
      <c r="B12" s="36" t="s">
        <v>91</v>
      </c>
      <c r="C12" s="37">
        <v>1019.6999999999999</v>
      </c>
      <c r="D12" s="38">
        <v>4113</v>
      </c>
      <c r="E12" s="38">
        <v>4179</v>
      </c>
      <c r="F12" s="38">
        <v>0</v>
      </c>
      <c r="G12" s="37">
        <v>15.45</v>
      </c>
      <c r="H12" s="39">
        <f>(E12+F12)/D12</f>
        <v>1.0160466812545588</v>
      </c>
      <c r="I12" s="37">
        <v>1019.6999999999999</v>
      </c>
      <c r="J12" s="38">
        <v>66</v>
      </c>
      <c r="K12" s="40">
        <f>J12/D12</f>
        <v>1.6046681254558718E-2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92</v>
      </c>
      <c r="Q12" s="44" t="s">
        <v>93</v>
      </c>
      <c r="R12" s="45" t="s">
        <v>94</v>
      </c>
    </row>
    <row r="13" spans="1:18" s="46" customFormat="1" ht="24.95" customHeight="1">
      <c r="A13" s="47">
        <v>2</v>
      </c>
      <c r="B13" s="36" t="s">
        <v>117</v>
      </c>
      <c r="C13" s="37">
        <v>896.04899999999998</v>
      </c>
      <c r="D13" s="38">
        <v>116.41</v>
      </c>
      <c r="E13" s="38">
        <v>118.50999999999999</v>
      </c>
      <c r="F13" s="38">
        <v>0</v>
      </c>
      <c r="G13" s="37">
        <v>426.69</v>
      </c>
      <c r="H13" s="39">
        <f t="shared" ref="H13:H21" si="1">(E13+F13)/D13</f>
        <v>1.0180396873120865</v>
      </c>
      <c r="I13" s="37">
        <v>896.04899999999759</v>
      </c>
      <c r="J13" s="38">
        <v>2.1</v>
      </c>
      <c r="K13" s="40">
        <f>J13/D13</f>
        <v>1.8039687312086591E-2</v>
      </c>
      <c r="L13" s="41">
        <f t="shared" ref="L13:L21" si="2">((E13+F13)-D13)-J13</f>
        <v>-5.773159728050814E-15</v>
      </c>
      <c r="M13" s="42">
        <f t="shared" ref="M13:M21" si="3">L13/D13</f>
        <v>-4.9593331569889309E-17</v>
      </c>
      <c r="N13" s="43">
        <f t="shared" si="0"/>
        <v>-2.4633495243620019E-12</v>
      </c>
      <c r="O13" s="44" t="s">
        <v>88</v>
      </c>
      <c r="P13" s="44" t="s">
        <v>118</v>
      </c>
      <c r="Q13" s="44"/>
      <c r="R13" s="45" t="s">
        <v>97</v>
      </c>
    </row>
    <row r="14" spans="1:18" s="46" customFormat="1" ht="24.95" customHeight="1">
      <c r="A14" s="47">
        <v>3</v>
      </c>
      <c r="B14" s="36" t="s">
        <v>101</v>
      </c>
      <c r="C14" s="37">
        <v>496.83910000000003</v>
      </c>
      <c r="D14" s="38">
        <v>692.41</v>
      </c>
      <c r="E14" s="38">
        <v>691.82</v>
      </c>
      <c r="F14" s="38">
        <v>15.2</v>
      </c>
      <c r="G14" s="37">
        <v>147.43</v>
      </c>
      <c r="H14" s="39">
        <f>(E14+F14)/D14</f>
        <v>1.021100215190422</v>
      </c>
      <c r="I14" s="37">
        <v>2153.952300000019</v>
      </c>
      <c r="J14" s="38">
        <v>3.37</v>
      </c>
      <c r="K14" s="40">
        <f t="shared" ref="K14:K21" si="4">J14/D14</f>
        <v>4.8670585346832079E-3</v>
      </c>
      <c r="L14" s="41">
        <f t="shared" si="2"/>
        <v>11.240000000000126</v>
      </c>
      <c r="M14" s="42">
        <f t="shared" si="3"/>
        <v>1.6233156655738837E-2</v>
      </c>
      <c r="N14" s="43">
        <f t="shared" si="0"/>
        <v>1657.1132000000187</v>
      </c>
      <c r="O14" s="44" t="s">
        <v>88</v>
      </c>
      <c r="P14" s="44" t="s">
        <v>48</v>
      </c>
      <c r="Q14" s="44" t="s">
        <v>102</v>
      </c>
      <c r="R14" s="45" t="s">
        <v>103</v>
      </c>
    </row>
    <row r="15" spans="1:18" s="46" customFormat="1" ht="24.95" customHeight="1">
      <c r="A15" s="35">
        <v>4</v>
      </c>
      <c r="B15" s="36" t="s">
        <v>150</v>
      </c>
      <c r="C15" s="37">
        <v>468.92769999999996</v>
      </c>
      <c r="D15" s="38">
        <v>127.68</v>
      </c>
      <c r="E15" s="38">
        <v>132.35</v>
      </c>
      <c r="F15" s="38">
        <v>0</v>
      </c>
      <c r="G15" s="37">
        <v>141.66999999999999</v>
      </c>
      <c r="H15" s="39">
        <f>(E15+F15)/D15</f>
        <v>1.0365758145363408</v>
      </c>
      <c r="I15" s="37">
        <v>661.59889999999814</v>
      </c>
      <c r="J15" s="38">
        <v>3.31</v>
      </c>
      <c r="K15" s="40">
        <f t="shared" si="4"/>
        <v>2.5924185463659148E-2</v>
      </c>
      <c r="L15" s="41">
        <f t="shared" si="2"/>
        <v>1.3599999999999874</v>
      </c>
      <c r="M15" s="42">
        <f t="shared" si="3"/>
        <v>1.0651629072681605E-2</v>
      </c>
      <c r="N15" s="43">
        <f t="shared" si="0"/>
        <v>192.67119999999821</v>
      </c>
      <c r="O15" s="44" t="s">
        <v>88</v>
      </c>
      <c r="P15" s="44" t="s">
        <v>118</v>
      </c>
      <c r="Q15" s="44"/>
      <c r="R15" s="45" t="s">
        <v>133</v>
      </c>
    </row>
    <row r="16" spans="1:18" s="46" customFormat="1" ht="24.95" customHeight="1">
      <c r="A16" s="47">
        <v>5</v>
      </c>
      <c r="B16" s="36" t="s">
        <v>193</v>
      </c>
      <c r="C16" s="37">
        <v>394.43520000000001</v>
      </c>
      <c r="D16" s="38">
        <v>70.760000000000005</v>
      </c>
      <c r="E16" s="38">
        <v>74.38000000000001</v>
      </c>
      <c r="F16" s="38">
        <v>0</v>
      </c>
      <c r="G16" s="37">
        <v>108.96</v>
      </c>
      <c r="H16" s="39">
        <f t="shared" si="1"/>
        <v>1.0511588468061053</v>
      </c>
      <c r="I16" s="37">
        <v>394.43520000000046</v>
      </c>
      <c r="J16" s="38">
        <v>3.62</v>
      </c>
      <c r="K16" s="40">
        <f t="shared" si="4"/>
        <v>5.1158846806105142E-2</v>
      </c>
      <c r="L16" s="41">
        <f t="shared" si="2"/>
        <v>4.4408920985006262E-15</v>
      </c>
      <c r="M16" s="42">
        <f t="shared" si="3"/>
        <v>6.2759922251280745E-17</v>
      </c>
      <c r="N16" s="43">
        <f t="shared" si="0"/>
        <v>4.8387960305262819E-13</v>
      </c>
      <c r="O16" s="44" t="s">
        <v>88</v>
      </c>
      <c r="P16" s="44" t="s">
        <v>96</v>
      </c>
      <c r="Q16" s="44"/>
      <c r="R16" s="45" t="s">
        <v>122</v>
      </c>
    </row>
    <row r="17" spans="1:18" s="46" customFormat="1" ht="24.95" customHeight="1">
      <c r="A17" s="35">
        <v>6</v>
      </c>
      <c r="B17" s="36" t="s">
        <v>106</v>
      </c>
      <c r="C17" s="37">
        <v>362.7516</v>
      </c>
      <c r="D17" s="38">
        <v>32.19</v>
      </c>
      <c r="E17" s="38">
        <v>34.17</v>
      </c>
      <c r="F17" s="38">
        <v>0</v>
      </c>
      <c r="G17" s="37">
        <v>248.46</v>
      </c>
      <c r="H17" s="39">
        <f t="shared" si="1"/>
        <v>1.0615097856477169</v>
      </c>
      <c r="I17" s="37">
        <v>491.95080000000098</v>
      </c>
      <c r="J17" s="38">
        <v>1.46</v>
      </c>
      <c r="K17" s="40">
        <f t="shared" si="4"/>
        <v>4.5355700528114322E-2</v>
      </c>
      <c r="L17" s="41">
        <f t="shared" si="2"/>
        <v>0.52000000000000401</v>
      </c>
      <c r="M17" s="42">
        <f t="shared" si="3"/>
        <v>1.6154085119602486E-2</v>
      </c>
      <c r="N17" s="43">
        <f t="shared" si="0"/>
        <v>129.19920000000101</v>
      </c>
      <c r="O17" s="44" t="s">
        <v>88</v>
      </c>
      <c r="P17" s="44" t="s">
        <v>96</v>
      </c>
      <c r="Q17" s="44"/>
      <c r="R17" s="45" t="s">
        <v>103</v>
      </c>
    </row>
    <row r="18" spans="1:18" s="46" customFormat="1" ht="24.95" customHeight="1">
      <c r="A18" s="47">
        <v>7</v>
      </c>
      <c r="B18" s="36" t="s">
        <v>161</v>
      </c>
      <c r="C18" s="37">
        <v>347.0985</v>
      </c>
      <c r="D18" s="38">
        <v>49.43</v>
      </c>
      <c r="E18" s="38">
        <v>53.59</v>
      </c>
      <c r="F18" s="38">
        <v>0</v>
      </c>
      <c r="G18" s="37">
        <v>183.65</v>
      </c>
      <c r="H18" s="39">
        <f t="shared" si="1"/>
        <v>1.0841594173578799</v>
      </c>
      <c r="I18" s="37">
        <v>763.98400000000072</v>
      </c>
      <c r="J18" s="38">
        <v>1.89</v>
      </c>
      <c r="K18" s="40">
        <f t="shared" si="4"/>
        <v>3.8235889136152133E-2</v>
      </c>
      <c r="L18" s="41">
        <f>((E18+F18)-D18)-J18</f>
        <v>2.270000000000004</v>
      </c>
      <c r="M18" s="42">
        <f t="shared" si="3"/>
        <v>4.592352822172778E-2</v>
      </c>
      <c r="N18" s="43">
        <f t="shared" si="0"/>
        <v>416.88550000000077</v>
      </c>
      <c r="O18" s="44" t="s">
        <v>88</v>
      </c>
      <c r="P18" s="44" t="s">
        <v>96</v>
      </c>
      <c r="Q18" s="44"/>
      <c r="R18" s="45" t="s">
        <v>162</v>
      </c>
    </row>
    <row r="19" spans="1:18" s="46" customFormat="1" ht="24.95" customHeight="1">
      <c r="A19" s="35">
        <v>8</v>
      </c>
      <c r="B19" s="36" t="s">
        <v>190</v>
      </c>
      <c r="C19" s="37">
        <v>318.29999999999995</v>
      </c>
      <c r="D19" s="38">
        <v>1303</v>
      </c>
      <c r="E19" s="38">
        <v>1333</v>
      </c>
      <c r="F19" s="38">
        <v>0</v>
      </c>
      <c r="G19" s="37">
        <v>10.61</v>
      </c>
      <c r="H19" s="39">
        <f t="shared" si="1"/>
        <v>1.0230237912509594</v>
      </c>
      <c r="I19" s="37">
        <v>318.29999999999995</v>
      </c>
      <c r="J19" s="38">
        <v>30</v>
      </c>
      <c r="K19" s="40">
        <f t="shared" si="4"/>
        <v>2.3023791250959325E-2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88</v>
      </c>
      <c r="P19" s="44" t="s">
        <v>183</v>
      </c>
      <c r="Q19" s="44"/>
      <c r="R19" s="45" t="s">
        <v>189</v>
      </c>
    </row>
    <row r="20" spans="1:18" s="46" customFormat="1" ht="24.95" customHeight="1">
      <c r="A20" s="47">
        <v>9</v>
      </c>
      <c r="B20" s="36" t="s">
        <v>134</v>
      </c>
      <c r="C20" s="37">
        <v>315.74</v>
      </c>
      <c r="D20" s="38">
        <v>349.04</v>
      </c>
      <c r="E20" s="38">
        <v>352.48</v>
      </c>
      <c r="F20" s="38">
        <v>0</v>
      </c>
      <c r="G20" s="37">
        <v>157.87</v>
      </c>
      <c r="H20" s="39">
        <f t="shared" si="1"/>
        <v>1.0098556039422415</v>
      </c>
      <c r="I20" s="37">
        <v>543.07279999999969</v>
      </c>
      <c r="J20" s="38">
        <v>2</v>
      </c>
      <c r="K20" s="40">
        <f t="shared" si="4"/>
        <v>5.7300022920009162E-3</v>
      </c>
      <c r="L20" s="41">
        <f t="shared" si="2"/>
        <v>1.4399999999999977</v>
      </c>
      <c r="M20" s="42">
        <f t="shared" si="3"/>
        <v>4.1256016502406534E-3</v>
      </c>
      <c r="N20" s="43">
        <f t="shared" si="0"/>
        <v>227.33279999999965</v>
      </c>
      <c r="O20" s="44" t="s">
        <v>88</v>
      </c>
      <c r="P20" s="44" t="s">
        <v>118</v>
      </c>
      <c r="Q20" s="44"/>
      <c r="R20" s="45" t="s">
        <v>103</v>
      </c>
    </row>
    <row r="21" spans="1:18" s="46" customFormat="1" ht="24.95" customHeight="1" thickBot="1">
      <c r="A21" s="48">
        <v>10</v>
      </c>
      <c r="B21" s="49" t="s">
        <v>98</v>
      </c>
      <c r="C21" s="50">
        <v>312.3</v>
      </c>
      <c r="D21" s="51">
        <v>4776</v>
      </c>
      <c r="E21" s="51">
        <v>4806</v>
      </c>
      <c r="F21" s="51">
        <v>0</v>
      </c>
      <c r="G21" s="50">
        <v>10.41</v>
      </c>
      <c r="H21" s="52">
        <f t="shared" si="1"/>
        <v>1.006281407035176</v>
      </c>
      <c r="I21" s="50">
        <v>312.3</v>
      </c>
      <c r="J21" s="51">
        <v>30</v>
      </c>
      <c r="K21" s="53">
        <f t="shared" si="4"/>
        <v>6.2814070351758797E-3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88</v>
      </c>
      <c r="P21" s="57" t="s">
        <v>183</v>
      </c>
      <c r="Q21" s="57"/>
      <c r="R21" s="58" t="s">
        <v>100</v>
      </c>
    </row>
    <row r="22" spans="1:18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20"/>
    </row>
    <row r="24" spans="1:18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8" t="s">
        <v>66</v>
      </c>
      <c r="Q24" s="100" t="s">
        <v>67</v>
      </c>
      <c r="R24" s="129" t="s">
        <v>68</v>
      </c>
    </row>
    <row r="25" spans="1:18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00"/>
      <c r="Q25" s="100"/>
      <c r="R25" s="130"/>
    </row>
    <row r="26" spans="1:18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00"/>
      <c r="Q26" s="100"/>
      <c r="R26" s="130"/>
    </row>
    <row r="27" spans="1:18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00"/>
      <c r="Q27" s="100"/>
      <c r="R27" s="131"/>
    </row>
    <row r="28" spans="1:18" s="67" customFormat="1" ht="24.95" customHeight="1">
      <c r="A28" s="35">
        <v>1</v>
      </c>
      <c r="B28" s="36" t="s">
        <v>215</v>
      </c>
      <c r="C28" s="37">
        <v>2225.9423999999967</v>
      </c>
      <c r="D28" s="38">
        <v>262.12</v>
      </c>
      <c r="E28" s="38">
        <v>273.89</v>
      </c>
      <c r="F28" s="38">
        <v>0</v>
      </c>
      <c r="G28" s="37">
        <v>189.12</v>
      </c>
      <c r="H28" s="68">
        <f t="shared" ref="H28:H37" si="5">(E28+F28)/D28</f>
        <v>1.0449030978177933</v>
      </c>
      <c r="I28" s="37">
        <v>2225.9423999999967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11.769999999999982</v>
      </c>
      <c r="N28" s="42">
        <f t="shared" ref="N28:N37" si="9">M28/D28</f>
        <v>4.4903097817793308E-2</v>
      </c>
      <c r="O28" s="44" t="s">
        <v>116</v>
      </c>
      <c r="P28" s="69" t="s">
        <v>118</v>
      </c>
      <c r="Q28" s="82"/>
      <c r="R28" s="45" t="s">
        <v>216</v>
      </c>
    </row>
    <row r="29" spans="1:18" s="67" customFormat="1" ht="24.95" customHeight="1">
      <c r="A29" s="47">
        <v>2</v>
      </c>
      <c r="B29" s="36" t="s">
        <v>140</v>
      </c>
      <c r="C29" s="37">
        <v>1754.000000000002</v>
      </c>
      <c r="D29" s="38">
        <v>137.22999999999999</v>
      </c>
      <c r="E29" s="38">
        <v>139.94999999999999</v>
      </c>
      <c r="F29" s="38">
        <v>6.05</v>
      </c>
      <c r="G29" s="37">
        <v>200</v>
      </c>
      <c r="H29" s="68">
        <f t="shared" si="5"/>
        <v>1.0639073088974715</v>
      </c>
      <c r="I29" s="37">
        <v>1754.000000000002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8.7700000000000102</v>
      </c>
      <c r="N29" s="42">
        <f t="shared" si="9"/>
        <v>6.3907308897471482E-2</v>
      </c>
      <c r="O29" s="44" t="s">
        <v>116</v>
      </c>
      <c r="P29" s="69" t="s">
        <v>118</v>
      </c>
      <c r="Q29" s="82"/>
      <c r="R29" s="45" t="s">
        <v>103</v>
      </c>
    </row>
    <row r="30" spans="1:18" s="67" customFormat="1" ht="24.95" customHeight="1">
      <c r="A30" s="47">
        <v>3</v>
      </c>
      <c r="B30" s="36" t="s">
        <v>179</v>
      </c>
      <c r="C30" s="37">
        <v>1720.6627999999996</v>
      </c>
      <c r="D30" s="38">
        <v>196.59</v>
      </c>
      <c r="E30" s="38">
        <v>192.06</v>
      </c>
      <c r="F30" s="38">
        <v>8.75</v>
      </c>
      <c r="G30" s="37">
        <v>407.74</v>
      </c>
      <c r="H30" s="68">
        <f t="shared" si="5"/>
        <v>1.021465995218475</v>
      </c>
      <c r="I30" s="37">
        <v>1720.6627999999996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4.2199999999999989</v>
      </c>
      <c r="N30" s="42">
        <f t="shared" si="9"/>
        <v>2.1465995218474993E-2</v>
      </c>
      <c r="O30" s="44" t="s">
        <v>116</v>
      </c>
      <c r="P30" s="44" t="s">
        <v>120</v>
      </c>
      <c r="Q30" s="82" t="s">
        <v>132</v>
      </c>
      <c r="R30" s="45" t="s">
        <v>180</v>
      </c>
    </row>
    <row r="31" spans="1:18" s="67" customFormat="1" ht="24.95" customHeight="1">
      <c r="A31" s="35">
        <v>4</v>
      </c>
      <c r="B31" s="36" t="s">
        <v>101</v>
      </c>
      <c r="C31" s="37">
        <v>1657.1132000000189</v>
      </c>
      <c r="D31" s="38">
        <v>692.41</v>
      </c>
      <c r="E31" s="38">
        <v>691.82</v>
      </c>
      <c r="F31" s="38">
        <v>15.2</v>
      </c>
      <c r="G31" s="37">
        <v>147.43</v>
      </c>
      <c r="H31" s="68">
        <f t="shared" si="5"/>
        <v>1.021100215190422</v>
      </c>
      <c r="I31" s="37">
        <v>2153.952300000019</v>
      </c>
      <c r="J31" s="38">
        <v>3.37</v>
      </c>
      <c r="K31" s="40">
        <f t="shared" si="6"/>
        <v>4.8670585346832079E-3</v>
      </c>
      <c r="L31" s="43">
        <f t="shared" si="7"/>
        <v>496.83910000000003</v>
      </c>
      <c r="M31" s="41">
        <f t="shared" si="8"/>
        <v>11.240000000000126</v>
      </c>
      <c r="N31" s="42">
        <f t="shared" si="9"/>
        <v>1.6233156655738837E-2</v>
      </c>
      <c r="O31" s="44" t="s">
        <v>116</v>
      </c>
      <c r="P31" s="44" t="s">
        <v>48</v>
      </c>
      <c r="Q31" s="82" t="s">
        <v>102</v>
      </c>
      <c r="R31" s="45" t="s">
        <v>103</v>
      </c>
    </row>
    <row r="32" spans="1:18" s="67" customFormat="1" ht="24.95" customHeight="1">
      <c r="A32" s="47">
        <v>5</v>
      </c>
      <c r="B32" s="36" t="s">
        <v>142</v>
      </c>
      <c r="C32" s="37">
        <v>1384.4996000000024</v>
      </c>
      <c r="D32" s="38">
        <v>99.8</v>
      </c>
      <c r="E32" s="38">
        <v>100.05</v>
      </c>
      <c r="F32" s="38">
        <v>1.84</v>
      </c>
      <c r="G32" s="37">
        <v>662.44</v>
      </c>
      <c r="H32" s="68">
        <f t="shared" si="5"/>
        <v>1.020941883767535</v>
      </c>
      <c r="I32" s="37">
        <v>1384.4996000000024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2.0900000000000034</v>
      </c>
      <c r="N32" s="42">
        <f t="shared" si="9"/>
        <v>2.0941883767535106E-2</v>
      </c>
      <c r="O32" s="44" t="s">
        <v>116</v>
      </c>
      <c r="P32" s="69" t="s">
        <v>118</v>
      </c>
      <c r="Q32" s="82"/>
      <c r="R32" s="45" t="s">
        <v>103</v>
      </c>
    </row>
    <row r="33" spans="1:18" s="67" customFormat="1" ht="24.95" customHeight="1">
      <c r="A33" s="35">
        <v>6</v>
      </c>
      <c r="B33" s="36" t="s">
        <v>196</v>
      </c>
      <c r="C33" s="37">
        <v>1333.3952000000029</v>
      </c>
      <c r="D33" s="38">
        <v>68.7</v>
      </c>
      <c r="E33" s="38">
        <v>68.92</v>
      </c>
      <c r="F33" s="38">
        <v>1.9</v>
      </c>
      <c r="G33" s="37">
        <v>628.96</v>
      </c>
      <c r="H33" s="68">
        <f t="shared" si="5"/>
        <v>1.030858806404658</v>
      </c>
      <c r="I33" s="37">
        <v>1333.3952000000029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2.1200000000000045</v>
      </c>
      <c r="N33" s="42">
        <f t="shared" si="9"/>
        <v>3.0858806404657997E-2</v>
      </c>
      <c r="O33" s="44" t="s">
        <v>116</v>
      </c>
      <c r="P33" s="69" t="s">
        <v>118</v>
      </c>
      <c r="Q33" s="82"/>
      <c r="R33" s="45" t="s">
        <v>110</v>
      </c>
    </row>
    <row r="34" spans="1:18" s="67" customFormat="1" ht="24.95" customHeight="1">
      <c r="A34" s="47">
        <v>7</v>
      </c>
      <c r="B34" s="36" t="s">
        <v>129</v>
      </c>
      <c r="C34" s="37">
        <v>1329.8064000000156</v>
      </c>
      <c r="D34" s="38">
        <v>5250.24</v>
      </c>
      <c r="E34" s="38">
        <v>5230.3</v>
      </c>
      <c r="F34" s="38">
        <v>57</v>
      </c>
      <c r="G34" s="37">
        <v>39.39</v>
      </c>
      <c r="H34" s="68">
        <f t="shared" si="5"/>
        <v>1.0070587249344793</v>
      </c>
      <c r="I34" s="37">
        <v>1459.7934000000157</v>
      </c>
      <c r="J34" s="38">
        <v>3.3</v>
      </c>
      <c r="K34" s="40">
        <f t="shared" si="6"/>
        <v>6.2854269519107696E-4</v>
      </c>
      <c r="L34" s="43">
        <f t="shared" si="7"/>
        <v>129.98699999999999</v>
      </c>
      <c r="M34" s="41">
        <f t="shared" si="8"/>
        <v>33.760000000000403</v>
      </c>
      <c r="N34" s="42">
        <f t="shared" si="9"/>
        <v>6.4301822392881861E-3</v>
      </c>
      <c r="O34" s="44" t="s">
        <v>116</v>
      </c>
      <c r="P34" s="69" t="s">
        <v>118</v>
      </c>
      <c r="Q34" s="82"/>
      <c r="R34" s="45" t="s">
        <v>103</v>
      </c>
    </row>
    <row r="35" spans="1:18" s="67" customFormat="1" ht="24.95" customHeight="1">
      <c r="A35" s="35">
        <v>8</v>
      </c>
      <c r="B35" s="36" t="s">
        <v>152</v>
      </c>
      <c r="C35" s="37">
        <v>1320.8999999999987</v>
      </c>
      <c r="D35" s="38">
        <v>29.01</v>
      </c>
      <c r="E35" s="38">
        <v>31.11</v>
      </c>
      <c r="F35" s="38">
        <v>0</v>
      </c>
      <c r="G35" s="37">
        <v>629</v>
      </c>
      <c r="H35" s="68">
        <f t="shared" si="5"/>
        <v>1.0723888314374352</v>
      </c>
      <c r="I35" s="37">
        <v>1320.8999999999987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2.0999999999999979</v>
      </c>
      <c r="N35" s="42">
        <f t="shared" si="9"/>
        <v>7.2388831437435283E-2</v>
      </c>
      <c r="O35" s="44" t="s">
        <v>116</v>
      </c>
      <c r="P35" s="69" t="s">
        <v>118</v>
      </c>
      <c r="Q35" s="82"/>
      <c r="R35" s="45" t="s">
        <v>105</v>
      </c>
    </row>
    <row r="36" spans="1:18" s="67" customFormat="1" ht="24.95" customHeight="1">
      <c r="A36" s="47">
        <v>9</v>
      </c>
      <c r="B36" s="36" t="s">
        <v>123</v>
      </c>
      <c r="C36" s="37">
        <v>1260.5138000000002</v>
      </c>
      <c r="D36" s="38">
        <v>52.45</v>
      </c>
      <c r="E36" s="38">
        <v>51.57</v>
      </c>
      <c r="F36" s="38">
        <v>2.7</v>
      </c>
      <c r="G36" s="37">
        <v>692.59</v>
      </c>
      <c r="H36" s="68">
        <f t="shared" si="5"/>
        <v>1.034699714013346</v>
      </c>
      <c r="I36" s="37">
        <v>1260.5138000000002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1.8200000000000003</v>
      </c>
      <c r="N36" s="42">
        <f t="shared" si="9"/>
        <v>3.4699714013346046E-2</v>
      </c>
      <c r="O36" s="44" t="s">
        <v>131</v>
      </c>
      <c r="P36" s="69" t="s">
        <v>118</v>
      </c>
      <c r="Q36" s="82"/>
      <c r="R36" s="45" t="s">
        <v>124</v>
      </c>
    </row>
    <row r="37" spans="1:18" s="67" customFormat="1" ht="24.95" customHeight="1" thickBot="1">
      <c r="A37" s="48">
        <v>10</v>
      </c>
      <c r="B37" s="49" t="s">
        <v>184</v>
      </c>
      <c r="C37" s="50">
        <v>1178.5092000000031</v>
      </c>
      <c r="D37" s="51">
        <v>35.549999999999997</v>
      </c>
      <c r="E37" s="51">
        <v>37.770000000000003</v>
      </c>
      <c r="F37" s="51">
        <v>0</v>
      </c>
      <c r="G37" s="50">
        <v>530.86</v>
      </c>
      <c r="H37" s="70">
        <f t="shared" si="5"/>
        <v>1.0624472573839665</v>
      </c>
      <c r="I37" s="50">
        <v>1178.5092000000031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2.220000000000006</v>
      </c>
      <c r="N37" s="55">
        <f t="shared" si="9"/>
        <v>6.244725738396642E-2</v>
      </c>
      <c r="O37" s="57" t="s">
        <v>131</v>
      </c>
      <c r="P37" s="83" t="s">
        <v>118</v>
      </c>
      <c r="Q37" s="84"/>
      <c r="R37" s="58" t="s">
        <v>185</v>
      </c>
    </row>
    <row r="38" spans="1:18" ht="15.75" customHeight="1" thickBot="1"/>
    <row r="39" spans="1:18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8" ht="26.1" customHeight="1">
      <c r="A40" s="96" t="s">
        <v>63</v>
      </c>
      <c r="B40" s="97"/>
      <c r="C40" s="97"/>
      <c r="D40" s="98"/>
      <c r="E40" s="71"/>
      <c r="G40" s="74"/>
    </row>
    <row r="41" spans="1:18" ht="25.5" customHeight="1">
      <c r="A41" s="99" t="s">
        <v>69</v>
      </c>
      <c r="B41" s="100" t="s">
        <v>70</v>
      </c>
      <c r="C41" s="100"/>
      <c r="D41" s="101"/>
      <c r="E41" s="71"/>
    </row>
    <row r="42" spans="1:18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8" ht="20.45" customHeight="1">
      <c r="A43" s="99"/>
      <c r="B43" s="102"/>
      <c r="C43" s="103"/>
      <c r="D43" s="104"/>
      <c r="E43" s="71"/>
    </row>
    <row r="44" spans="1:18" s="78" customFormat="1" ht="24.95" customHeight="1">
      <c r="A44" s="75">
        <v>1</v>
      </c>
      <c r="B44" s="36" t="s">
        <v>101</v>
      </c>
      <c r="C44" s="37">
        <v>496.83910000000003</v>
      </c>
      <c r="D44" s="76">
        <f t="shared" ref="D44:D53" si="10">C44/$L$5</f>
        <v>0.15648284361123396</v>
      </c>
      <c r="E44" s="77"/>
    </row>
    <row r="45" spans="1:18" s="78" customFormat="1" ht="24.95" customHeight="1">
      <c r="A45" s="79">
        <v>2</v>
      </c>
      <c r="B45" s="36" t="s">
        <v>106</v>
      </c>
      <c r="C45" s="37">
        <v>362.7516</v>
      </c>
      <c r="D45" s="76">
        <f t="shared" si="10"/>
        <v>0.11425107623881635</v>
      </c>
      <c r="E45" s="77"/>
    </row>
    <row r="46" spans="1:18" s="78" customFormat="1" ht="24.95" customHeight="1">
      <c r="A46" s="79">
        <v>3</v>
      </c>
      <c r="B46" s="36" t="s">
        <v>134</v>
      </c>
      <c r="C46" s="37">
        <v>315.74</v>
      </c>
      <c r="D46" s="76">
        <f t="shared" si="10"/>
        <v>9.9444454033128654E-2</v>
      </c>
      <c r="E46" s="77"/>
    </row>
    <row r="47" spans="1:18" s="78" customFormat="1" ht="24.95" customHeight="1">
      <c r="A47" s="75">
        <v>4</v>
      </c>
      <c r="B47" s="36" t="s">
        <v>137</v>
      </c>
      <c r="C47" s="37">
        <v>303.8</v>
      </c>
      <c r="D47" s="76">
        <f t="shared" si="10"/>
        <v>9.5683870067981527E-2</v>
      </c>
      <c r="E47" s="77"/>
    </row>
    <row r="48" spans="1:18" s="78" customFormat="1" ht="24.95" customHeight="1">
      <c r="A48" s="79">
        <v>5</v>
      </c>
      <c r="B48" s="36" t="s">
        <v>138</v>
      </c>
      <c r="C48" s="37">
        <v>284.31</v>
      </c>
      <c r="D48" s="76">
        <f t="shared" si="10"/>
        <v>8.9545362406279874E-2</v>
      </c>
      <c r="E48" s="77"/>
    </row>
    <row r="49" spans="1:5" s="78" customFormat="1" ht="24.95" customHeight="1">
      <c r="A49" s="75">
        <v>6</v>
      </c>
      <c r="B49" s="36" t="s">
        <v>141</v>
      </c>
      <c r="C49" s="37">
        <v>257.01</v>
      </c>
      <c r="D49" s="76">
        <f t="shared" si="10"/>
        <v>8.0947042284963563E-2</v>
      </c>
      <c r="E49" s="77"/>
    </row>
    <row r="50" spans="1:5" s="78" customFormat="1" ht="24.95" customHeight="1">
      <c r="A50" s="79">
        <v>7</v>
      </c>
      <c r="B50" s="36" t="s">
        <v>139</v>
      </c>
      <c r="C50" s="37">
        <v>172.584</v>
      </c>
      <c r="D50" s="76">
        <f t="shared" si="10"/>
        <v>5.4356501092207118E-2</v>
      </c>
      <c r="E50" s="77"/>
    </row>
    <row r="51" spans="1:5" s="78" customFormat="1" ht="24.95" customHeight="1">
      <c r="A51" s="75">
        <v>8</v>
      </c>
      <c r="B51" s="36" t="s">
        <v>159</v>
      </c>
      <c r="C51" s="37">
        <v>162.21</v>
      </c>
      <c r="D51" s="76">
        <f t="shared" si="10"/>
        <v>5.1089139446106928E-2</v>
      </c>
      <c r="E51" s="77"/>
    </row>
    <row r="52" spans="1:5" s="78" customFormat="1" ht="24.95" customHeight="1">
      <c r="A52" s="79">
        <v>9</v>
      </c>
      <c r="B52" s="36" t="s">
        <v>168</v>
      </c>
      <c r="C52" s="37">
        <v>144.5</v>
      </c>
      <c r="D52" s="76">
        <f t="shared" si="10"/>
        <v>4.551125485458634E-2</v>
      </c>
      <c r="E52" s="77"/>
    </row>
    <row r="53" spans="1:5" s="78" customFormat="1" ht="24.95" customHeight="1" thickBot="1">
      <c r="A53" s="80">
        <v>10</v>
      </c>
      <c r="B53" s="49" t="s">
        <v>129</v>
      </c>
      <c r="C53" s="50">
        <v>129.98699999999999</v>
      </c>
      <c r="D53" s="81">
        <f t="shared" si="10"/>
        <v>4.0940287091924668E-2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679" priority="34" operator="containsText" text="中華">
      <formula>NOT(ISERROR(SEARCH("中華",A12)))</formula>
    </cfRule>
    <cfRule type="containsText" dxfId="678" priority="33" operator="containsText" text="湯凍">
      <formula>NOT(ISERROR(SEARCH("湯凍",A12)))</formula>
    </cfRule>
    <cfRule type="containsText" dxfId="677" priority="32" operator="containsText" text=")川燙小青花菜">
      <formula>NOT(ISERROR(SEARCH(")川燙小青花菜",A12)))</formula>
    </cfRule>
    <cfRule type="containsText" dxfId="676" priority="31" operator="containsText" text="青蔥">
      <formula>NOT(ISERROR(SEARCH("青蔥",A12)))</formula>
    </cfRule>
    <cfRule type="containsText" dxfId="675" priority="30" operator="containsText" text="白醬">
      <formula>NOT(ISERROR(SEARCH("白醬",A12)))</formula>
    </cfRule>
    <cfRule type="containsText" dxfId="674" priority="29" operator="containsText" text="024">
      <formula>NOT(ISERROR(SEARCH("024",A12)))</formula>
    </cfRule>
    <cfRule type="containsText" dxfId="673" priority="28" operator="containsText" text="煮白細麵生(方#12)">
      <formula>NOT(ISERROR(SEARCH("煮白細麵生(方#12)",A12)))</formula>
    </cfRule>
    <cfRule type="containsText" dxfId="672" priority="27" operator="containsText" text="綠豆芽">
      <formula>NOT(ISERROR(SEARCH("綠豆芽",A12)))</formula>
    </cfRule>
  </conditionalFormatting>
  <conditionalFormatting sqref="A28:A37">
    <cfRule type="containsText" dxfId="671" priority="5" operator="containsText" text="綠豆芽">
      <formula>NOT(ISERROR(SEARCH("綠豆芽",A28)))</formula>
    </cfRule>
    <cfRule type="containsText" dxfId="670" priority="6" operator="containsText" text="煮白細麵生(方#12)">
      <formula>NOT(ISERROR(SEARCH("煮白細麵生(方#12)",A28)))</formula>
    </cfRule>
    <cfRule type="containsText" dxfId="669" priority="7" operator="containsText" text="024">
      <formula>NOT(ISERROR(SEARCH("024",A28)))</formula>
    </cfRule>
    <cfRule type="containsText" dxfId="668" priority="8" operator="containsText" text="白醬">
      <formula>NOT(ISERROR(SEARCH("白醬",A28)))</formula>
    </cfRule>
    <cfRule type="containsText" dxfId="667" priority="9" operator="containsText" text="青蔥">
      <formula>NOT(ISERROR(SEARCH("青蔥",A28)))</formula>
    </cfRule>
    <cfRule type="containsText" dxfId="666" priority="10" operator="containsText" text=")川燙小青花菜">
      <formula>NOT(ISERROR(SEARCH(")川燙小青花菜",A28)))</formula>
    </cfRule>
    <cfRule type="containsText" dxfId="665" priority="11" operator="containsText" text="湯凍">
      <formula>NOT(ISERROR(SEARCH("湯凍",A28)))</formula>
    </cfRule>
    <cfRule type="containsText" dxfId="664" priority="12" operator="containsText" text="中華">
      <formula>NOT(ISERROR(SEARCH("中華",A28)))</formula>
    </cfRule>
  </conditionalFormatting>
  <conditionalFormatting sqref="A44:A53">
    <cfRule type="containsText" dxfId="663" priority="17" operator="containsText" text="綠豆芽">
      <formula>NOT(ISERROR(SEARCH("綠豆芽",A44)))</formula>
    </cfRule>
    <cfRule type="containsText" dxfId="662" priority="18" operator="containsText" text="煮白細麵生(方#12)">
      <formula>NOT(ISERROR(SEARCH("煮白細麵生(方#12)",A44)))</formula>
    </cfRule>
    <cfRule type="containsText" dxfId="661" priority="19" operator="containsText" text="024">
      <formula>NOT(ISERROR(SEARCH("024",A44)))</formula>
    </cfRule>
    <cfRule type="containsText" dxfId="660" priority="20" operator="containsText" text="白醬">
      <formula>NOT(ISERROR(SEARCH("白醬",A44)))</formula>
    </cfRule>
    <cfRule type="containsText" dxfId="659" priority="21" operator="containsText" text="青蔥">
      <formula>NOT(ISERROR(SEARCH("青蔥",A44)))</formula>
    </cfRule>
    <cfRule type="containsText" dxfId="658" priority="22" operator="containsText" text=")川燙小青花菜">
      <formula>NOT(ISERROR(SEARCH(")川燙小青花菜",A44)))</formula>
    </cfRule>
    <cfRule type="containsText" dxfId="657" priority="23" operator="containsText" text="湯凍">
      <formula>NOT(ISERROR(SEARCH("湯凍",A44)))</formula>
    </cfRule>
    <cfRule type="containsText" dxfId="656" priority="24" operator="containsText" text="中華">
      <formula>NOT(ISERROR(SEARCH("中華",A44)))</formula>
    </cfRule>
  </conditionalFormatting>
  <conditionalFormatting sqref="D44:D53">
    <cfRule type="cellIs" dxfId="655" priority="16" operator="greaterThan">
      <formula>0.146</formula>
    </cfRule>
  </conditionalFormatting>
  <conditionalFormatting sqref="E5">
    <cfRule type="cellIs" dxfId="654" priority="25" operator="greaterThan">
      <formula>0.072</formula>
    </cfRule>
    <cfRule type="cellIs" dxfId="653" priority="26" operator="greaterThan">
      <formula>7.2</formula>
    </cfRule>
    <cfRule type="cellIs" dxfId="652" priority="14" operator="greaterThan">
      <formula>0.0025</formula>
    </cfRule>
  </conditionalFormatting>
  <conditionalFormatting sqref="G5">
    <cfRule type="cellIs" dxfId="651" priority="3" operator="greaterThan">
      <formula>7.2</formula>
    </cfRule>
    <cfRule type="cellIs" dxfId="650" priority="2" operator="greaterThan">
      <formula>0.072</formula>
    </cfRule>
    <cfRule type="cellIs" dxfId="649" priority="1" operator="greaterThan">
      <formula>0.0025</formula>
    </cfRule>
  </conditionalFormatting>
  <conditionalFormatting sqref="H12:H22">
    <cfRule type="cellIs" dxfId="648" priority="15" operator="greaterThan">
      <formula>1.1</formula>
    </cfRule>
  </conditionalFormatting>
  <conditionalFormatting sqref="H28:H37">
    <cfRule type="cellIs" dxfId="647" priority="4" operator="greaterThan">
      <formula>1.1</formula>
    </cfRule>
  </conditionalFormatting>
  <conditionalFormatting sqref="I5">
    <cfRule type="cellIs" dxfId="64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CEC9-A571-4029-9BB7-D99B90D9EFCE}">
  <sheetPr>
    <tabColor rgb="FFFF0000"/>
    <pageSetUpPr fitToPage="1"/>
  </sheetPr>
  <dimension ref="A1:R56"/>
  <sheetViews>
    <sheetView topLeftCell="E16" zoomScale="70" zoomScaleNormal="70" workbookViewId="0">
      <selection activeCell="R28" sqref="R28:R37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24" style="18" bestFit="1" customWidth="1"/>
    <col min="17" max="17" width="55.25" style="18" bestFit="1" customWidth="1"/>
    <col min="18" max="18" width="41.75" style="18" customWidth="1"/>
    <col min="19" max="16384" width="9" style="18"/>
  </cols>
  <sheetData>
    <row r="1" spans="1:18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8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8" s="20" customFormat="1" ht="28.5">
      <c r="A3" s="149">
        <v>45888</v>
      </c>
      <c r="B3" s="150"/>
      <c r="C3" s="151">
        <v>7909637.04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8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8" ht="46.5" customHeight="1" thickBot="1">
      <c r="A5" s="146" t="s">
        <v>61</v>
      </c>
      <c r="B5" s="147"/>
      <c r="C5" s="147"/>
      <c r="D5" s="24">
        <v>19096.599099999992</v>
      </c>
      <c r="E5" s="25">
        <f>D5/C3</f>
        <v>2.4143458168088068E-3</v>
      </c>
      <c r="F5" s="24">
        <v>63190.177499999962</v>
      </c>
      <c r="G5" s="26">
        <f>F5/C3</f>
        <v>7.9890110229381608E-3</v>
      </c>
      <c r="H5" s="27">
        <f>SUM(C12:C21)</f>
        <v>4584.4793</v>
      </c>
      <c r="I5" s="28">
        <f>H5/D5</f>
        <v>0.24006784014227966</v>
      </c>
      <c r="J5" s="27">
        <f>SUM(C28:C37)</f>
        <v>19388.742499999989</v>
      </c>
      <c r="K5" s="29">
        <f>J5/F5</f>
        <v>0.30683158786822529</v>
      </c>
      <c r="L5" s="30">
        <v>2920.665</v>
      </c>
      <c r="M5" s="31">
        <f>L5/D5</f>
        <v>0.15294163032411365</v>
      </c>
    </row>
    <row r="6" spans="1:18" ht="46.5" customHeight="1" thickBot="1"/>
    <row r="7" spans="1:18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148"/>
      <c r="R7" s="95"/>
    </row>
    <row r="8" spans="1:18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28" t="s">
        <v>66</v>
      </c>
      <c r="Q8" s="100" t="s">
        <v>67</v>
      </c>
      <c r="R8" s="104" t="s">
        <v>68</v>
      </c>
    </row>
    <row r="9" spans="1:18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0"/>
      <c r="R9" s="104"/>
    </row>
    <row r="10" spans="1:18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0"/>
      <c r="R10" s="104"/>
    </row>
    <row r="11" spans="1:18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0"/>
      <c r="R11" s="104"/>
    </row>
    <row r="12" spans="1:18" s="46" customFormat="1" ht="24.95" customHeight="1">
      <c r="A12" s="35">
        <v>1</v>
      </c>
      <c r="B12" s="36" t="s">
        <v>91</v>
      </c>
      <c r="C12" s="37">
        <v>1390.5</v>
      </c>
      <c r="D12" s="38">
        <v>4057</v>
      </c>
      <c r="E12" s="38">
        <v>4147</v>
      </c>
      <c r="F12" s="38">
        <v>0</v>
      </c>
      <c r="G12" s="37">
        <v>15.45</v>
      </c>
      <c r="H12" s="39">
        <f>(E12+F12)/D12</f>
        <v>1.0221838797140745</v>
      </c>
      <c r="I12" s="37">
        <v>1390.5</v>
      </c>
      <c r="J12" s="38">
        <v>90</v>
      </c>
      <c r="K12" s="40">
        <f>J12/D12</f>
        <v>2.2183879714074439E-2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92</v>
      </c>
      <c r="Q12" s="44" t="s">
        <v>93</v>
      </c>
      <c r="R12" s="45" t="s">
        <v>94</v>
      </c>
    </row>
    <row r="13" spans="1:18" s="46" customFormat="1" ht="24.95" customHeight="1">
      <c r="A13" s="47">
        <v>2</v>
      </c>
      <c r="B13" s="36" t="s">
        <v>186</v>
      </c>
      <c r="C13" s="37">
        <v>412.28580000000005</v>
      </c>
      <c r="D13" s="38">
        <v>193.2</v>
      </c>
      <c r="E13" s="38">
        <v>199.94</v>
      </c>
      <c r="F13" s="38">
        <v>0</v>
      </c>
      <c r="G13" s="37">
        <v>61.17</v>
      </c>
      <c r="H13" s="39">
        <f t="shared" ref="H13:H21" si="1">(E13+F13)/D13</f>
        <v>1.0348861283643893</v>
      </c>
      <c r="I13" s="37">
        <v>412.28580000000056</v>
      </c>
      <c r="J13" s="38">
        <v>6.74</v>
      </c>
      <c r="K13" s="40">
        <f>J13/D13</f>
        <v>3.4886128364389236E-2</v>
      </c>
      <c r="L13" s="41">
        <f t="shared" ref="L13:L21" si="2">((E13+F13)-D13)-J13</f>
        <v>8.8817841970012523E-15</v>
      </c>
      <c r="M13" s="42">
        <f t="shared" ref="M13:M21" si="3">L13/D13</f>
        <v>4.5971967893381226E-17</v>
      </c>
      <c r="N13" s="43">
        <f t="shared" si="0"/>
        <v>5.4329873933056665E-13</v>
      </c>
      <c r="O13" s="44" t="s">
        <v>88</v>
      </c>
      <c r="P13" s="44" t="s">
        <v>120</v>
      </c>
      <c r="Q13" s="44" t="s">
        <v>188</v>
      </c>
      <c r="R13" s="45" t="s">
        <v>189</v>
      </c>
    </row>
    <row r="14" spans="1:18" s="46" customFormat="1" ht="24.95" customHeight="1">
      <c r="A14" s="47">
        <v>3</v>
      </c>
      <c r="B14" s="36" t="s">
        <v>106</v>
      </c>
      <c r="C14" s="37">
        <v>370.2054</v>
      </c>
      <c r="D14" s="38">
        <v>34.619999999999997</v>
      </c>
      <c r="E14" s="38">
        <v>36.68</v>
      </c>
      <c r="F14" s="38">
        <v>0</v>
      </c>
      <c r="G14" s="37">
        <v>248.46</v>
      </c>
      <c r="H14" s="39">
        <f>(E14+F14)/D14</f>
        <v>1.0595031773541306</v>
      </c>
      <c r="I14" s="37">
        <v>511.82760000000059</v>
      </c>
      <c r="J14" s="38">
        <v>1.49</v>
      </c>
      <c r="K14" s="40">
        <f t="shared" ref="K14:K21" si="4">J14/D14</f>
        <v>4.3038705950317738E-2</v>
      </c>
      <c r="L14" s="41">
        <f t="shared" si="2"/>
        <v>0.57000000000000228</v>
      </c>
      <c r="M14" s="42">
        <f t="shared" si="3"/>
        <v>1.6464471403812891E-2</v>
      </c>
      <c r="N14" s="43">
        <f t="shared" si="0"/>
        <v>141.62220000000056</v>
      </c>
      <c r="O14" s="44" t="s">
        <v>88</v>
      </c>
      <c r="P14" s="44" t="s">
        <v>175</v>
      </c>
      <c r="Q14" s="44"/>
      <c r="R14" s="45" t="s">
        <v>103</v>
      </c>
    </row>
    <row r="15" spans="1:18" s="46" customFormat="1" ht="24.95" customHeight="1">
      <c r="A15" s="35">
        <v>4</v>
      </c>
      <c r="B15" s="36" t="s">
        <v>161</v>
      </c>
      <c r="C15" s="37">
        <v>367.3</v>
      </c>
      <c r="D15" s="38">
        <v>48.1</v>
      </c>
      <c r="E15" s="38">
        <v>51.43</v>
      </c>
      <c r="F15" s="38">
        <v>0</v>
      </c>
      <c r="G15" s="37">
        <v>183.65</v>
      </c>
      <c r="H15" s="39">
        <f>(E15+F15)/D15</f>
        <v>1.0692307692307692</v>
      </c>
      <c r="I15" s="37">
        <v>611.55449999999973</v>
      </c>
      <c r="J15" s="38">
        <v>2</v>
      </c>
      <c r="K15" s="40">
        <f t="shared" si="4"/>
        <v>4.1580041580041575E-2</v>
      </c>
      <c r="L15" s="41">
        <f t="shared" si="2"/>
        <v>1.3299999999999983</v>
      </c>
      <c r="M15" s="42">
        <f t="shared" si="3"/>
        <v>2.7650727650727614E-2</v>
      </c>
      <c r="N15" s="43">
        <f t="shared" si="0"/>
        <v>244.25449999999969</v>
      </c>
      <c r="O15" s="44" t="s">
        <v>88</v>
      </c>
      <c r="P15" s="44" t="s">
        <v>175</v>
      </c>
      <c r="Q15" s="44"/>
      <c r="R15" s="45" t="s">
        <v>162</v>
      </c>
    </row>
    <row r="16" spans="1:18" s="46" customFormat="1" ht="24.95" customHeight="1">
      <c r="A16" s="47">
        <v>5</v>
      </c>
      <c r="B16" s="36" t="s">
        <v>98</v>
      </c>
      <c r="C16" s="37">
        <v>364.35</v>
      </c>
      <c r="D16" s="38">
        <v>4914</v>
      </c>
      <c r="E16" s="38">
        <v>4894</v>
      </c>
      <c r="F16" s="38">
        <v>55</v>
      </c>
      <c r="G16" s="37">
        <v>10.41</v>
      </c>
      <c r="H16" s="39">
        <f t="shared" si="1"/>
        <v>1.0071225071225072</v>
      </c>
      <c r="I16" s="37">
        <v>364.35</v>
      </c>
      <c r="J16" s="38">
        <v>35</v>
      </c>
      <c r="K16" s="40">
        <f t="shared" si="4"/>
        <v>7.1225071225071226E-3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88</v>
      </c>
      <c r="P16" s="44" t="s">
        <v>99</v>
      </c>
      <c r="Q16" s="44"/>
      <c r="R16" s="45" t="s">
        <v>100</v>
      </c>
    </row>
    <row r="17" spans="1:18" s="46" customFormat="1" ht="24.95" customHeight="1">
      <c r="A17" s="35">
        <v>6</v>
      </c>
      <c r="B17" s="36" t="s">
        <v>101</v>
      </c>
      <c r="C17" s="37">
        <v>361.20350000000002</v>
      </c>
      <c r="D17" s="38">
        <v>730.64</v>
      </c>
      <c r="E17" s="38">
        <v>730.33</v>
      </c>
      <c r="F17" s="38">
        <v>11.3</v>
      </c>
      <c r="G17" s="37">
        <v>147.43</v>
      </c>
      <c r="H17" s="39">
        <f t="shared" si="1"/>
        <v>1.0150416073579327</v>
      </c>
      <c r="I17" s="37">
        <v>1620.2557000000015</v>
      </c>
      <c r="J17" s="38">
        <v>2.4500000000000002</v>
      </c>
      <c r="K17" s="40">
        <f t="shared" si="4"/>
        <v>3.35322457023979E-3</v>
      </c>
      <c r="L17" s="41">
        <f t="shared" si="2"/>
        <v>8.5400000000000098</v>
      </c>
      <c r="M17" s="42">
        <f t="shared" si="3"/>
        <v>1.1688382787692995E-2</v>
      </c>
      <c r="N17" s="43">
        <f t="shared" si="0"/>
        <v>1259.0522000000014</v>
      </c>
      <c r="O17" s="44" t="s">
        <v>88</v>
      </c>
      <c r="P17" s="44" t="s">
        <v>48</v>
      </c>
      <c r="Q17" s="44" t="s">
        <v>102</v>
      </c>
      <c r="R17" s="45" t="s">
        <v>103</v>
      </c>
    </row>
    <row r="18" spans="1:18" s="46" customFormat="1" ht="24.95" customHeight="1">
      <c r="A18" s="47">
        <v>7</v>
      </c>
      <c r="B18" s="36" t="s">
        <v>150</v>
      </c>
      <c r="C18" s="37">
        <v>358.42509999999993</v>
      </c>
      <c r="D18" s="38">
        <v>131.94999999999999</v>
      </c>
      <c r="E18" s="38">
        <v>134.09</v>
      </c>
      <c r="F18" s="38">
        <v>3.3</v>
      </c>
      <c r="G18" s="37">
        <v>141.66999999999999</v>
      </c>
      <c r="H18" s="39">
        <f t="shared" si="1"/>
        <v>1.0412277377794621</v>
      </c>
      <c r="I18" s="37">
        <v>770.68480000000363</v>
      </c>
      <c r="J18" s="38">
        <v>2.5299999999999998</v>
      </c>
      <c r="K18" s="40">
        <f t="shared" si="4"/>
        <v>1.9173929518757106E-2</v>
      </c>
      <c r="L18" s="41">
        <f>((E18+F18)-D18)-J18</f>
        <v>2.9100000000000263</v>
      </c>
      <c r="M18" s="42">
        <f t="shared" si="3"/>
        <v>2.2053808260705014E-2</v>
      </c>
      <c r="N18" s="43">
        <f t="shared" si="0"/>
        <v>412.2597000000037</v>
      </c>
      <c r="O18" s="44" t="s">
        <v>88</v>
      </c>
      <c r="P18" s="44" t="s">
        <v>118</v>
      </c>
      <c r="Q18" s="44"/>
      <c r="R18" s="45" t="s">
        <v>133</v>
      </c>
    </row>
    <row r="19" spans="1:18" s="46" customFormat="1" ht="24.95" customHeight="1">
      <c r="A19" s="35">
        <v>8</v>
      </c>
      <c r="B19" s="36" t="s">
        <v>104</v>
      </c>
      <c r="C19" s="37">
        <v>321.69900000000001</v>
      </c>
      <c r="D19" s="38">
        <v>51.08</v>
      </c>
      <c r="E19" s="38">
        <v>54.75</v>
      </c>
      <c r="F19" s="38">
        <v>0</v>
      </c>
      <c r="G19" s="37">
        <v>153.19</v>
      </c>
      <c r="H19" s="39">
        <f t="shared" si="1"/>
        <v>1.0718480814408771</v>
      </c>
      <c r="I19" s="37">
        <v>562.20730000000026</v>
      </c>
      <c r="J19" s="38">
        <v>2.1</v>
      </c>
      <c r="K19" s="40">
        <f t="shared" si="4"/>
        <v>4.1111981205951449E-2</v>
      </c>
      <c r="L19" s="41">
        <f t="shared" si="2"/>
        <v>1.5700000000000016</v>
      </c>
      <c r="M19" s="42">
        <f t="shared" si="3"/>
        <v>3.073610023492564E-2</v>
      </c>
      <c r="N19" s="43">
        <f t="shared" si="0"/>
        <v>240.50830000000025</v>
      </c>
      <c r="O19" s="44" t="s">
        <v>88</v>
      </c>
      <c r="P19" s="44" t="s">
        <v>96</v>
      </c>
      <c r="Q19" s="44"/>
      <c r="R19" s="45" t="s">
        <v>105</v>
      </c>
    </row>
    <row r="20" spans="1:18" s="46" customFormat="1" ht="24.95" customHeight="1">
      <c r="A20" s="47">
        <v>9</v>
      </c>
      <c r="B20" s="36" t="s">
        <v>168</v>
      </c>
      <c r="C20" s="37">
        <v>319.59999999999997</v>
      </c>
      <c r="D20" s="38">
        <v>11430</v>
      </c>
      <c r="E20" s="38">
        <v>11806</v>
      </c>
      <c r="F20" s="38">
        <v>0</v>
      </c>
      <c r="G20" s="37">
        <v>0.85</v>
      </c>
      <c r="H20" s="39">
        <f t="shared" si="1"/>
        <v>1.0328958880139982</v>
      </c>
      <c r="I20" s="37">
        <v>319.59999999999997</v>
      </c>
      <c r="J20" s="38">
        <v>376</v>
      </c>
      <c r="K20" s="40">
        <f t="shared" si="4"/>
        <v>3.2895888013998252E-2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88</v>
      </c>
      <c r="P20" s="44" t="s">
        <v>183</v>
      </c>
      <c r="Q20" s="44"/>
      <c r="R20" s="45" t="s">
        <v>103</v>
      </c>
    </row>
    <row r="21" spans="1:18" s="46" customFormat="1" ht="24.95" customHeight="1" thickBot="1">
      <c r="A21" s="48">
        <v>10</v>
      </c>
      <c r="B21" s="49" t="s">
        <v>164</v>
      </c>
      <c r="C21" s="50">
        <v>318.91050000000001</v>
      </c>
      <c r="D21" s="51">
        <v>21.84</v>
      </c>
      <c r="E21" s="51">
        <v>23.19</v>
      </c>
      <c r="F21" s="51">
        <v>0</v>
      </c>
      <c r="G21" s="50">
        <v>236.23</v>
      </c>
      <c r="H21" s="52">
        <f t="shared" si="1"/>
        <v>1.0618131868131868</v>
      </c>
      <c r="I21" s="50">
        <v>318.9105000000003</v>
      </c>
      <c r="J21" s="51">
        <v>1.35</v>
      </c>
      <c r="K21" s="53">
        <f t="shared" si="4"/>
        <v>6.1813186813186816E-2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88</v>
      </c>
      <c r="P21" s="57" t="s">
        <v>96</v>
      </c>
      <c r="Q21" s="57"/>
      <c r="R21" s="58" t="s">
        <v>124</v>
      </c>
    </row>
    <row r="22" spans="1:18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20"/>
    </row>
    <row r="24" spans="1:18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8" t="s">
        <v>66</v>
      </c>
      <c r="Q24" s="100" t="s">
        <v>67</v>
      </c>
      <c r="R24" s="129" t="s">
        <v>68</v>
      </c>
    </row>
    <row r="25" spans="1:18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00"/>
      <c r="Q25" s="100"/>
      <c r="R25" s="130"/>
    </row>
    <row r="26" spans="1:18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00"/>
      <c r="Q26" s="100"/>
      <c r="R26" s="130"/>
    </row>
    <row r="27" spans="1:18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00"/>
      <c r="Q27" s="100"/>
      <c r="R27" s="131"/>
    </row>
    <row r="28" spans="1:18" s="67" customFormat="1" ht="24.95" customHeight="1">
      <c r="A28" s="35">
        <v>1</v>
      </c>
      <c r="B28" s="36" t="s">
        <v>179</v>
      </c>
      <c r="C28" s="37">
        <v>5060.0533999999989</v>
      </c>
      <c r="D28" s="38">
        <v>222.11</v>
      </c>
      <c r="E28" s="38">
        <v>224.02</v>
      </c>
      <c r="F28" s="38">
        <v>10.5</v>
      </c>
      <c r="G28" s="37">
        <v>407.74</v>
      </c>
      <c r="H28" s="68">
        <f t="shared" ref="H28:H37" si="5">(E28+F28)/D28</f>
        <v>1.0558732159740669</v>
      </c>
      <c r="I28" s="37">
        <v>5060.0533999999989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12.409999999999997</v>
      </c>
      <c r="N28" s="42">
        <f t="shared" ref="N28:N37" si="9">M28/D28</f>
        <v>5.5873215974066887E-2</v>
      </c>
      <c r="O28" s="44" t="s">
        <v>116</v>
      </c>
      <c r="P28" s="44" t="s">
        <v>120</v>
      </c>
      <c r="Q28" s="82" t="s">
        <v>132</v>
      </c>
      <c r="R28" s="45" t="s">
        <v>180</v>
      </c>
    </row>
    <row r="29" spans="1:18" s="67" customFormat="1" ht="24.95" customHeight="1">
      <c r="A29" s="47">
        <v>2</v>
      </c>
      <c r="B29" s="36" t="s">
        <v>170</v>
      </c>
      <c r="C29" s="37">
        <v>2516.3291999999951</v>
      </c>
      <c r="D29" s="38">
        <v>103.87</v>
      </c>
      <c r="E29" s="38">
        <v>104.35</v>
      </c>
      <c r="F29" s="38">
        <v>6.3</v>
      </c>
      <c r="G29" s="37">
        <v>371.14</v>
      </c>
      <c r="H29" s="68">
        <f t="shared" si="5"/>
        <v>1.0652739000673919</v>
      </c>
      <c r="I29" s="37">
        <v>2516.3291999999951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6.7799999999999869</v>
      </c>
      <c r="N29" s="42">
        <f t="shared" si="9"/>
        <v>6.527390006739181E-2</v>
      </c>
      <c r="O29" s="44" t="s">
        <v>116</v>
      </c>
      <c r="P29" s="69" t="s">
        <v>118</v>
      </c>
      <c r="Q29" s="82"/>
      <c r="R29" s="45" t="s">
        <v>103</v>
      </c>
    </row>
    <row r="30" spans="1:18" s="67" customFormat="1" ht="24.95" customHeight="1">
      <c r="A30" s="47">
        <v>3</v>
      </c>
      <c r="B30" s="36" t="s">
        <v>151</v>
      </c>
      <c r="C30" s="37">
        <v>2410.5536000000002</v>
      </c>
      <c r="D30" s="38">
        <v>32.76</v>
      </c>
      <c r="E30" s="38">
        <v>32.4</v>
      </c>
      <c r="F30" s="38">
        <v>4</v>
      </c>
      <c r="G30" s="37">
        <v>662.24</v>
      </c>
      <c r="H30" s="68">
        <f t="shared" si="5"/>
        <v>1.1111111111111112</v>
      </c>
      <c r="I30" s="37">
        <v>2410.5536000000002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3.6400000000000006</v>
      </c>
      <c r="N30" s="42">
        <f t="shared" si="9"/>
        <v>0.11111111111111113</v>
      </c>
      <c r="O30" s="44" t="s">
        <v>116</v>
      </c>
      <c r="P30" s="69" t="s">
        <v>118</v>
      </c>
      <c r="Q30" s="82"/>
      <c r="R30" s="45" t="s">
        <v>100</v>
      </c>
    </row>
    <row r="31" spans="1:18" s="67" customFormat="1" ht="24.95" customHeight="1">
      <c r="A31" s="35">
        <v>4</v>
      </c>
      <c r="B31" s="36" t="s">
        <v>140</v>
      </c>
      <c r="C31" s="37">
        <v>2087.9999999999995</v>
      </c>
      <c r="D31" s="38">
        <v>142.56</v>
      </c>
      <c r="E31" s="38">
        <v>145.25</v>
      </c>
      <c r="F31" s="38">
        <v>7.75</v>
      </c>
      <c r="G31" s="37">
        <v>200</v>
      </c>
      <c r="H31" s="68">
        <f t="shared" si="5"/>
        <v>1.0732323232323233</v>
      </c>
      <c r="I31" s="37">
        <v>2087.9999999999995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10.439999999999998</v>
      </c>
      <c r="N31" s="42">
        <f t="shared" si="9"/>
        <v>7.3232323232323218E-2</v>
      </c>
      <c r="O31" s="44" t="s">
        <v>116</v>
      </c>
      <c r="P31" s="69" t="s">
        <v>118</v>
      </c>
      <c r="Q31" s="82"/>
      <c r="R31" s="45" t="s">
        <v>103</v>
      </c>
    </row>
    <row r="32" spans="1:18" s="67" customFormat="1" ht="24.95" customHeight="1">
      <c r="A32" s="47">
        <v>5</v>
      </c>
      <c r="B32" s="36" t="s">
        <v>155</v>
      </c>
      <c r="C32" s="37">
        <v>1487.6899000000021</v>
      </c>
      <c r="D32" s="38">
        <v>58.87</v>
      </c>
      <c r="E32" s="38">
        <v>56.82</v>
      </c>
      <c r="F32" s="38">
        <v>4.32</v>
      </c>
      <c r="G32" s="37">
        <v>655.37</v>
      </c>
      <c r="H32" s="68">
        <f t="shared" si="5"/>
        <v>1.0385595379650077</v>
      </c>
      <c r="I32" s="37">
        <v>1487.6899000000021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2.2700000000000031</v>
      </c>
      <c r="N32" s="42">
        <f t="shared" si="9"/>
        <v>3.8559537965007697E-2</v>
      </c>
      <c r="O32" s="44" t="s">
        <v>116</v>
      </c>
      <c r="P32" s="69" t="s">
        <v>118</v>
      </c>
      <c r="Q32" s="82"/>
      <c r="R32" s="45" t="s">
        <v>122</v>
      </c>
    </row>
    <row r="33" spans="1:18" s="67" customFormat="1" ht="24.95" customHeight="1">
      <c r="A33" s="35">
        <v>6</v>
      </c>
      <c r="B33" s="36" t="s">
        <v>101</v>
      </c>
      <c r="C33" s="37">
        <v>1259.0522000000014</v>
      </c>
      <c r="D33" s="38">
        <v>730.64</v>
      </c>
      <c r="E33" s="38">
        <v>730.33</v>
      </c>
      <c r="F33" s="38">
        <v>11.3</v>
      </c>
      <c r="G33" s="37">
        <v>147.43</v>
      </c>
      <c r="H33" s="68">
        <f t="shared" si="5"/>
        <v>1.0150416073579327</v>
      </c>
      <c r="I33" s="37">
        <v>1620.2557000000015</v>
      </c>
      <c r="J33" s="38">
        <v>2.4500000000000002</v>
      </c>
      <c r="K33" s="40">
        <f t="shared" si="6"/>
        <v>3.35322457023979E-3</v>
      </c>
      <c r="L33" s="43">
        <f t="shared" si="7"/>
        <v>361.20350000000002</v>
      </c>
      <c r="M33" s="41">
        <f t="shared" si="8"/>
        <v>8.5400000000000098</v>
      </c>
      <c r="N33" s="42">
        <f t="shared" si="9"/>
        <v>1.1688382787692995E-2</v>
      </c>
      <c r="O33" s="44" t="s">
        <v>116</v>
      </c>
      <c r="P33" s="44" t="s">
        <v>48</v>
      </c>
      <c r="Q33" s="82" t="s">
        <v>102</v>
      </c>
      <c r="R33" s="45" t="s">
        <v>103</v>
      </c>
    </row>
    <row r="34" spans="1:18" s="67" customFormat="1" ht="24.95" customHeight="1">
      <c r="A34" s="47">
        <v>7</v>
      </c>
      <c r="B34" s="36" t="s">
        <v>95</v>
      </c>
      <c r="C34" s="37">
        <v>1222</v>
      </c>
      <c r="D34" s="38">
        <v>192.4</v>
      </c>
      <c r="E34" s="38">
        <v>200.4</v>
      </c>
      <c r="F34" s="38">
        <v>0</v>
      </c>
      <c r="G34" s="37">
        <v>152.75</v>
      </c>
      <c r="H34" s="68">
        <f t="shared" si="5"/>
        <v>1.0415800415800416</v>
      </c>
      <c r="I34" s="37">
        <v>1222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8</v>
      </c>
      <c r="N34" s="42">
        <f t="shared" si="9"/>
        <v>4.1580041580041575E-2</v>
      </c>
      <c r="O34" s="44" t="s">
        <v>116</v>
      </c>
      <c r="P34" s="69" t="s">
        <v>118</v>
      </c>
      <c r="Q34" s="82"/>
      <c r="R34" s="45" t="s">
        <v>97</v>
      </c>
    </row>
    <row r="35" spans="1:18" s="67" customFormat="1" ht="24.95" customHeight="1">
      <c r="A35" s="35">
        <v>8</v>
      </c>
      <c r="B35" s="36" t="s">
        <v>217</v>
      </c>
      <c r="C35" s="37">
        <v>1190.3399999999961</v>
      </c>
      <c r="D35" s="38">
        <v>320.60000000000002</v>
      </c>
      <c r="E35" s="38">
        <v>308.08</v>
      </c>
      <c r="F35" s="38">
        <v>30.52</v>
      </c>
      <c r="G35" s="37">
        <v>66.13</v>
      </c>
      <c r="H35" s="68">
        <f t="shared" si="5"/>
        <v>1.0561447286338115</v>
      </c>
      <c r="I35" s="37">
        <v>1190.3399999999961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17.999999999999943</v>
      </c>
      <c r="N35" s="42">
        <f t="shared" si="9"/>
        <v>5.6144728633811425E-2</v>
      </c>
      <c r="O35" s="44" t="s">
        <v>116</v>
      </c>
      <c r="P35" s="69" t="s">
        <v>118</v>
      </c>
      <c r="Q35" s="82"/>
      <c r="R35" s="45" t="s">
        <v>218</v>
      </c>
    </row>
    <row r="36" spans="1:18" s="67" customFormat="1" ht="24.95" customHeight="1">
      <c r="A36" s="47">
        <v>9</v>
      </c>
      <c r="B36" s="36" t="s">
        <v>130</v>
      </c>
      <c r="C36" s="37">
        <v>1084.3461999999952</v>
      </c>
      <c r="D36" s="38">
        <v>236.41</v>
      </c>
      <c r="E36" s="38">
        <v>238.2</v>
      </c>
      <c r="F36" s="38">
        <v>0</v>
      </c>
      <c r="G36" s="37">
        <v>605.78</v>
      </c>
      <c r="H36" s="68">
        <f t="shared" si="5"/>
        <v>1.0075715917262382</v>
      </c>
      <c r="I36" s="37">
        <v>1084.3461999999952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1.789999999999992</v>
      </c>
      <c r="N36" s="42">
        <f t="shared" si="9"/>
        <v>7.5715917262382812E-3</v>
      </c>
      <c r="O36" s="44" t="s">
        <v>131</v>
      </c>
      <c r="P36" s="44" t="s">
        <v>120</v>
      </c>
      <c r="Q36" s="82" t="s">
        <v>132</v>
      </c>
      <c r="R36" s="45" t="s">
        <v>133</v>
      </c>
    </row>
    <row r="37" spans="1:18" s="67" customFormat="1" ht="24.95" customHeight="1" thickBot="1">
      <c r="A37" s="48">
        <v>10</v>
      </c>
      <c r="B37" s="49" t="s">
        <v>219</v>
      </c>
      <c r="C37" s="50">
        <v>1070.3780000000006</v>
      </c>
      <c r="D37" s="51">
        <v>103.74</v>
      </c>
      <c r="E37" s="51">
        <v>103.64</v>
      </c>
      <c r="F37" s="51">
        <v>9.5</v>
      </c>
      <c r="G37" s="50">
        <v>113.87</v>
      </c>
      <c r="H37" s="70">
        <f t="shared" si="5"/>
        <v>1.0906111432427223</v>
      </c>
      <c r="I37" s="50">
        <v>1070.3780000000006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9.4000000000000057</v>
      </c>
      <c r="N37" s="55">
        <f t="shared" si="9"/>
        <v>9.061114324272225E-2</v>
      </c>
      <c r="O37" s="57" t="s">
        <v>131</v>
      </c>
      <c r="P37" s="83" t="s">
        <v>118</v>
      </c>
      <c r="Q37" s="84"/>
      <c r="R37" s="58" t="s">
        <v>124</v>
      </c>
    </row>
    <row r="38" spans="1:18" ht="15.75" customHeight="1" thickBot="1"/>
    <row r="39" spans="1:18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8" ht="26.1" customHeight="1">
      <c r="A40" s="96" t="s">
        <v>63</v>
      </c>
      <c r="B40" s="97"/>
      <c r="C40" s="97"/>
      <c r="D40" s="98"/>
      <c r="E40" s="71"/>
      <c r="G40" s="74"/>
    </row>
    <row r="41" spans="1:18" ht="25.5" customHeight="1">
      <c r="A41" s="99" t="s">
        <v>69</v>
      </c>
      <c r="B41" s="100" t="s">
        <v>70</v>
      </c>
      <c r="C41" s="100"/>
      <c r="D41" s="101"/>
      <c r="E41" s="71"/>
    </row>
    <row r="42" spans="1:18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8" ht="20.45" customHeight="1">
      <c r="A43" s="99"/>
      <c r="B43" s="102"/>
      <c r="C43" s="103"/>
      <c r="D43" s="104"/>
      <c r="E43" s="71"/>
    </row>
    <row r="44" spans="1:18" s="78" customFormat="1" ht="24.95" customHeight="1">
      <c r="A44" s="75">
        <v>1</v>
      </c>
      <c r="B44" s="36" t="s">
        <v>106</v>
      </c>
      <c r="C44" s="37">
        <v>370.2054</v>
      </c>
      <c r="D44" s="76">
        <f t="shared" ref="D44:D53" si="10">C44/$L$5</f>
        <v>0.12675380435619971</v>
      </c>
      <c r="E44" s="77"/>
    </row>
    <row r="45" spans="1:18" s="78" customFormat="1" ht="24.95" customHeight="1">
      <c r="A45" s="79">
        <v>2</v>
      </c>
      <c r="B45" s="36" t="s">
        <v>101</v>
      </c>
      <c r="C45" s="37">
        <v>361.20350000000002</v>
      </c>
      <c r="D45" s="76">
        <f t="shared" si="10"/>
        <v>0.12367166381628843</v>
      </c>
      <c r="E45" s="77"/>
    </row>
    <row r="46" spans="1:18" s="78" customFormat="1" ht="24.95" customHeight="1">
      <c r="A46" s="79">
        <v>3</v>
      </c>
      <c r="B46" s="36" t="s">
        <v>168</v>
      </c>
      <c r="C46" s="37">
        <v>319.59999999999997</v>
      </c>
      <c r="D46" s="76">
        <f t="shared" si="10"/>
        <v>0.10942713388902869</v>
      </c>
      <c r="E46" s="77"/>
    </row>
    <row r="47" spans="1:18" s="78" customFormat="1" ht="24.95" customHeight="1">
      <c r="A47" s="75">
        <v>4</v>
      </c>
      <c r="B47" s="36" t="s">
        <v>137</v>
      </c>
      <c r="C47" s="37">
        <v>308.70000000000005</v>
      </c>
      <c r="D47" s="76">
        <f t="shared" si="10"/>
        <v>0.10569510710745671</v>
      </c>
      <c r="E47" s="77"/>
    </row>
    <row r="48" spans="1:18" s="78" customFormat="1" ht="24.95" customHeight="1">
      <c r="A48" s="79">
        <v>5</v>
      </c>
      <c r="B48" s="36" t="s">
        <v>138</v>
      </c>
      <c r="C48" s="37">
        <v>305.37</v>
      </c>
      <c r="D48" s="76">
        <f t="shared" si="10"/>
        <v>0.10455495580629755</v>
      </c>
      <c r="E48" s="77"/>
    </row>
    <row r="49" spans="1:5" s="78" customFormat="1" ht="24.95" customHeight="1">
      <c r="A49" s="75">
        <v>6</v>
      </c>
      <c r="B49" s="36" t="s">
        <v>141</v>
      </c>
      <c r="C49" s="37">
        <v>296.55</v>
      </c>
      <c r="D49" s="76">
        <f t="shared" si="10"/>
        <v>0.10153509560322735</v>
      </c>
      <c r="E49" s="77"/>
    </row>
    <row r="50" spans="1:5" s="78" customFormat="1" ht="24.95" customHeight="1">
      <c r="A50" s="79">
        <v>7</v>
      </c>
      <c r="B50" s="36" t="s">
        <v>139</v>
      </c>
      <c r="C50" s="37">
        <v>172.584</v>
      </c>
      <c r="D50" s="76">
        <f t="shared" si="10"/>
        <v>5.90906523000755E-2</v>
      </c>
      <c r="E50" s="77"/>
    </row>
    <row r="51" spans="1:5" s="78" customFormat="1" ht="24.95" customHeight="1">
      <c r="A51" s="75">
        <v>8</v>
      </c>
      <c r="B51" s="36" t="s">
        <v>159</v>
      </c>
      <c r="C51" s="37">
        <v>162.21</v>
      </c>
      <c r="D51" s="76">
        <f t="shared" si="10"/>
        <v>5.5538721489797702E-2</v>
      </c>
      <c r="E51" s="77"/>
    </row>
    <row r="52" spans="1:5" s="78" customFormat="1" ht="24.95" customHeight="1">
      <c r="A52" s="79">
        <v>9</v>
      </c>
      <c r="B52" s="36" t="s">
        <v>160</v>
      </c>
      <c r="C52" s="37">
        <v>116.43679999999999</v>
      </c>
      <c r="D52" s="76">
        <f t="shared" si="10"/>
        <v>3.9866537244086529E-2</v>
      </c>
      <c r="E52" s="77"/>
    </row>
    <row r="53" spans="1:5" s="78" customFormat="1" ht="24.95" customHeight="1" thickBot="1">
      <c r="A53" s="80">
        <v>10</v>
      </c>
      <c r="B53" s="49" t="s">
        <v>143</v>
      </c>
      <c r="C53" s="50">
        <v>101.655</v>
      </c>
      <c r="D53" s="81">
        <f t="shared" si="10"/>
        <v>3.4805429585385524E-2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645" priority="34" operator="containsText" text="中華">
      <formula>NOT(ISERROR(SEARCH("中華",A12)))</formula>
    </cfRule>
    <cfRule type="containsText" dxfId="644" priority="33" operator="containsText" text="湯凍">
      <formula>NOT(ISERROR(SEARCH("湯凍",A12)))</formula>
    </cfRule>
    <cfRule type="containsText" dxfId="643" priority="32" operator="containsText" text=")川燙小青花菜">
      <formula>NOT(ISERROR(SEARCH(")川燙小青花菜",A12)))</formula>
    </cfRule>
    <cfRule type="containsText" dxfId="642" priority="31" operator="containsText" text="青蔥">
      <formula>NOT(ISERROR(SEARCH("青蔥",A12)))</formula>
    </cfRule>
    <cfRule type="containsText" dxfId="641" priority="30" operator="containsText" text="白醬">
      <formula>NOT(ISERROR(SEARCH("白醬",A12)))</formula>
    </cfRule>
    <cfRule type="containsText" dxfId="640" priority="29" operator="containsText" text="024">
      <formula>NOT(ISERROR(SEARCH("024",A12)))</formula>
    </cfRule>
    <cfRule type="containsText" dxfId="639" priority="28" operator="containsText" text="煮白細麵生(方#12)">
      <formula>NOT(ISERROR(SEARCH("煮白細麵生(方#12)",A12)))</formula>
    </cfRule>
    <cfRule type="containsText" dxfId="638" priority="27" operator="containsText" text="綠豆芽">
      <formula>NOT(ISERROR(SEARCH("綠豆芽",A12)))</formula>
    </cfRule>
  </conditionalFormatting>
  <conditionalFormatting sqref="A28:A37">
    <cfRule type="containsText" dxfId="637" priority="5" operator="containsText" text="綠豆芽">
      <formula>NOT(ISERROR(SEARCH("綠豆芽",A28)))</formula>
    </cfRule>
    <cfRule type="containsText" dxfId="636" priority="6" operator="containsText" text="煮白細麵生(方#12)">
      <formula>NOT(ISERROR(SEARCH("煮白細麵生(方#12)",A28)))</formula>
    </cfRule>
    <cfRule type="containsText" dxfId="635" priority="7" operator="containsText" text="024">
      <formula>NOT(ISERROR(SEARCH("024",A28)))</formula>
    </cfRule>
    <cfRule type="containsText" dxfId="634" priority="8" operator="containsText" text="白醬">
      <formula>NOT(ISERROR(SEARCH("白醬",A28)))</formula>
    </cfRule>
    <cfRule type="containsText" dxfId="633" priority="9" operator="containsText" text="青蔥">
      <formula>NOT(ISERROR(SEARCH("青蔥",A28)))</formula>
    </cfRule>
    <cfRule type="containsText" dxfId="632" priority="10" operator="containsText" text=")川燙小青花菜">
      <formula>NOT(ISERROR(SEARCH(")川燙小青花菜",A28)))</formula>
    </cfRule>
    <cfRule type="containsText" dxfId="631" priority="11" operator="containsText" text="湯凍">
      <formula>NOT(ISERROR(SEARCH("湯凍",A28)))</formula>
    </cfRule>
    <cfRule type="containsText" dxfId="630" priority="12" operator="containsText" text="中華">
      <formula>NOT(ISERROR(SEARCH("中華",A28)))</formula>
    </cfRule>
  </conditionalFormatting>
  <conditionalFormatting sqref="A44:A53">
    <cfRule type="containsText" dxfId="629" priority="17" operator="containsText" text="綠豆芽">
      <formula>NOT(ISERROR(SEARCH("綠豆芽",A44)))</formula>
    </cfRule>
    <cfRule type="containsText" dxfId="628" priority="18" operator="containsText" text="煮白細麵生(方#12)">
      <formula>NOT(ISERROR(SEARCH("煮白細麵生(方#12)",A44)))</formula>
    </cfRule>
    <cfRule type="containsText" dxfId="627" priority="19" operator="containsText" text="024">
      <formula>NOT(ISERROR(SEARCH("024",A44)))</formula>
    </cfRule>
    <cfRule type="containsText" dxfId="626" priority="20" operator="containsText" text="白醬">
      <formula>NOT(ISERROR(SEARCH("白醬",A44)))</formula>
    </cfRule>
    <cfRule type="containsText" dxfId="625" priority="21" operator="containsText" text="青蔥">
      <formula>NOT(ISERROR(SEARCH("青蔥",A44)))</formula>
    </cfRule>
    <cfRule type="containsText" dxfId="624" priority="22" operator="containsText" text=")川燙小青花菜">
      <formula>NOT(ISERROR(SEARCH(")川燙小青花菜",A44)))</formula>
    </cfRule>
    <cfRule type="containsText" dxfId="623" priority="23" operator="containsText" text="湯凍">
      <formula>NOT(ISERROR(SEARCH("湯凍",A44)))</formula>
    </cfRule>
    <cfRule type="containsText" dxfId="622" priority="24" operator="containsText" text="中華">
      <formula>NOT(ISERROR(SEARCH("中華",A44)))</formula>
    </cfRule>
  </conditionalFormatting>
  <conditionalFormatting sqref="D44:D53">
    <cfRule type="cellIs" dxfId="621" priority="16" operator="greaterThan">
      <formula>0.146</formula>
    </cfRule>
  </conditionalFormatting>
  <conditionalFormatting sqref="E5">
    <cfRule type="cellIs" dxfId="620" priority="25" operator="greaterThan">
      <formula>0.072</formula>
    </cfRule>
    <cfRule type="cellIs" dxfId="619" priority="26" operator="greaterThan">
      <formula>7.2</formula>
    </cfRule>
    <cfRule type="cellIs" dxfId="618" priority="14" operator="greaterThan">
      <formula>0.0025</formula>
    </cfRule>
  </conditionalFormatting>
  <conditionalFormatting sqref="G5">
    <cfRule type="cellIs" dxfId="617" priority="3" operator="greaterThan">
      <formula>7.2</formula>
    </cfRule>
    <cfRule type="cellIs" dxfId="616" priority="2" operator="greaterThan">
      <formula>0.072</formula>
    </cfRule>
    <cfRule type="cellIs" dxfId="615" priority="1" operator="greaterThan">
      <formula>0.0025</formula>
    </cfRule>
  </conditionalFormatting>
  <conditionalFormatting sqref="H12:H22">
    <cfRule type="cellIs" dxfId="614" priority="15" operator="greaterThan">
      <formula>1.1</formula>
    </cfRule>
  </conditionalFormatting>
  <conditionalFormatting sqref="H28:H37">
    <cfRule type="cellIs" dxfId="613" priority="4" operator="greaterThan">
      <formula>1.1</formula>
    </cfRule>
  </conditionalFormatting>
  <conditionalFormatting sqref="I5">
    <cfRule type="cellIs" dxfId="61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4DCF-DE84-4F3A-BC8A-EF84E821189E}">
  <sheetPr>
    <tabColor rgb="FFFF0000"/>
    <pageSetUpPr fitToPage="1"/>
  </sheetPr>
  <dimension ref="A1:Q56"/>
  <sheetViews>
    <sheetView topLeftCell="E1" zoomScale="70" zoomScaleNormal="70" workbookViewId="0">
      <selection activeCell="D5" sqref="D5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45887</v>
      </c>
      <c r="B3" s="150"/>
      <c r="C3" s="151">
        <v>7989071.5499999998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19315.407999999985</v>
      </c>
      <c r="E5" s="25">
        <f>D5/C3</f>
        <v>2.4177287534744869E-3</v>
      </c>
      <c r="F5" s="24">
        <v>63949.723899999939</v>
      </c>
      <c r="G5" s="26">
        <f>F5/C3</f>
        <v>8.0046502900577906E-3</v>
      </c>
      <c r="H5" s="27">
        <f>SUM(C12:C21)</f>
        <v>4834.7357000000002</v>
      </c>
      <c r="I5" s="28">
        <f>H5/D5</f>
        <v>0.25030461173794538</v>
      </c>
      <c r="J5" s="27">
        <f>SUM(C28:C37)</f>
        <v>16251.212799999976</v>
      </c>
      <c r="K5" s="29">
        <f>J5/F5</f>
        <v>0.25412483133488545</v>
      </c>
      <c r="L5" s="30">
        <v>2780.3090999999999</v>
      </c>
      <c r="M5" s="31">
        <f>L5/D5</f>
        <v>0.14394255094171463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101</v>
      </c>
      <c r="C12" s="37">
        <v>737.15000000000009</v>
      </c>
      <c r="D12" s="38">
        <v>753.91</v>
      </c>
      <c r="E12" s="38">
        <v>758.79</v>
      </c>
      <c r="F12" s="38">
        <v>16.739999999999998</v>
      </c>
      <c r="G12" s="37">
        <v>147.43</v>
      </c>
      <c r="H12" s="39">
        <f>(E12+F12)/D12</f>
        <v>1.0286771630565983</v>
      </c>
      <c r="I12" s="37">
        <v>3187.4366000000009</v>
      </c>
      <c r="J12" s="38">
        <v>5</v>
      </c>
      <c r="K12" s="40">
        <f>J12/D12</f>
        <v>6.6320913636906268E-3</v>
      </c>
      <c r="L12" s="41">
        <f>((E12+F12)-D12)-J12</f>
        <v>16.620000000000005</v>
      </c>
      <c r="M12" s="42">
        <f>L12/D12</f>
        <v>2.2045071692907647E-2</v>
      </c>
      <c r="N12" s="43">
        <f t="shared" ref="N12:N21" si="0">L12*G12</f>
        <v>2450.2866000000008</v>
      </c>
      <c r="O12" s="44" t="s">
        <v>88</v>
      </c>
      <c r="P12" s="44" t="s">
        <v>47</v>
      </c>
      <c r="Q12" s="45" t="s">
        <v>103</v>
      </c>
    </row>
    <row r="13" spans="1:17" s="46" customFormat="1" ht="24.95" customHeight="1">
      <c r="A13" s="47">
        <v>2</v>
      </c>
      <c r="B13" s="36" t="s">
        <v>91</v>
      </c>
      <c r="C13" s="37">
        <v>695.25</v>
      </c>
      <c r="D13" s="38">
        <v>4188</v>
      </c>
      <c r="E13" s="38">
        <v>4233</v>
      </c>
      <c r="F13" s="38">
        <v>0</v>
      </c>
      <c r="G13" s="37">
        <v>15.45</v>
      </c>
      <c r="H13" s="39">
        <f t="shared" ref="H13:H21" si="1">(E13+F13)/D13</f>
        <v>1.0107449856733524</v>
      </c>
      <c r="I13" s="37">
        <v>695.25</v>
      </c>
      <c r="J13" s="38">
        <v>45</v>
      </c>
      <c r="K13" s="40">
        <f>J13/D13</f>
        <v>1.0744985673352435E-2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221</v>
      </c>
      <c r="Q13" s="45" t="s">
        <v>94</v>
      </c>
    </row>
    <row r="14" spans="1:17" s="46" customFormat="1" ht="24.95" customHeight="1">
      <c r="A14" s="47">
        <v>3</v>
      </c>
      <c r="B14" s="36" t="s">
        <v>186</v>
      </c>
      <c r="C14" s="37">
        <v>679.59870000000001</v>
      </c>
      <c r="D14" s="38">
        <v>202.58</v>
      </c>
      <c r="E14" s="38">
        <v>214.01</v>
      </c>
      <c r="F14" s="38">
        <v>0</v>
      </c>
      <c r="G14" s="37">
        <v>61.17</v>
      </c>
      <c r="H14" s="39">
        <f>(E14+F14)/D14</f>
        <v>1.0564221542106822</v>
      </c>
      <c r="I14" s="37">
        <v>699.17309999999873</v>
      </c>
      <c r="J14" s="38">
        <v>11.11</v>
      </c>
      <c r="K14" s="40">
        <f t="shared" ref="K14:K21" si="4">J14/D14</f>
        <v>5.4842531345641224E-2</v>
      </c>
      <c r="L14" s="41">
        <f t="shared" si="2"/>
        <v>0.31999999999997897</v>
      </c>
      <c r="M14" s="42">
        <f t="shared" si="3"/>
        <v>1.5796228650408676E-3</v>
      </c>
      <c r="N14" s="43">
        <f t="shared" si="0"/>
        <v>19.574399999998715</v>
      </c>
      <c r="O14" s="44" t="s">
        <v>88</v>
      </c>
      <c r="P14" s="44" t="s">
        <v>222</v>
      </c>
      <c r="Q14" s="45" t="s">
        <v>189</v>
      </c>
    </row>
    <row r="15" spans="1:17" s="46" customFormat="1" ht="24.95" customHeight="1">
      <c r="A15" s="35">
        <v>4</v>
      </c>
      <c r="B15" s="36" t="s">
        <v>150</v>
      </c>
      <c r="C15" s="37">
        <v>507.17859999999996</v>
      </c>
      <c r="D15" s="38">
        <v>130.08000000000001</v>
      </c>
      <c r="E15" s="38">
        <v>135.16</v>
      </c>
      <c r="F15" s="38">
        <v>0</v>
      </c>
      <c r="G15" s="37">
        <v>141.66999999999999</v>
      </c>
      <c r="H15" s="39">
        <f>(E15+F15)/D15</f>
        <v>1.0390528905289051</v>
      </c>
      <c r="I15" s="37">
        <v>719.68359999999768</v>
      </c>
      <c r="J15" s="38">
        <v>3.58</v>
      </c>
      <c r="K15" s="40">
        <f t="shared" si="4"/>
        <v>2.7521525215252151E-2</v>
      </c>
      <c r="L15" s="41">
        <f t="shared" si="2"/>
        <v>1.499999999999984</v>
      </c>
      <c r="M15" s="42">
        <f t="shared" si="3"/>
        <v>1.1531365313653013E-2</v>
      </c>
      <c r="N15" s="43">
        <f t="shared" si="0"/>
        <v>212.50499999999772</v>
      </c>
      <c r="O15" s="44" t="s">
        <v>88</v>
      </c>
      <c r="P15" s="44" t="s">
        <v>89</v>
      </c>
      <c r="Q15" s="45" t="s">
        <v>133</v>
      </c>
    </row>
    <row r="16" spans="1:17" s="46" customFormat="1" ht="24.95" customHeight="1">
      <c r="A16" s="47">
        <v>5</v>
      </c>
      <c r="B16" s="36" t="s">
        <v>161</v>
      </c>
      <c r="C16" s="37">
        <v>453.61550000000005</v>
      </c>
      <c r="D16" s="38">
        <v>52.31</v>
      </c>
      <c r="E16" s="38">
        <v>52.78</v>
      </c>
      <c r="F16" s="38">
        <v>2.82</v>
      </c>
      <c r="G16" s="37">
        <v>183.65</v>
      </c>
      <c r="H16" s="39">
        <f t="shared" si="1"/>
        <v>1.0628942840757025</v>
      </c>
      <c r="I16" s="37">
        <v>604.20849999999984</v>
      </c>
      <c r="J16" s="38">
        <v>2.4700000000000002</v>
      </c>
      <c r="K16" s="40">
        <f t="shared" si="4"/>
        <v>4.7218505065952973E-2</v>
      </c>
      <c r="L16" s="41">
        <f t="shared" si="2"/>
        <v>0.81999999999999895</v>
      </c>
      <c r="M16" s="42">
        <f t="shared" si="3"/>
        <v>1.5675779009749549E-2</v>
      </c>
      <c r="N16" s="43">
        <f t="shared" si="0"/>
        <v>150.59299999999982</v>
      </c>
      <c r="O16" s="44" t="s">
        <v>88</v>
      </c>
      <c r="P16" s="44" t="s">
        <v>96</v>
      </c>
      <c r="Q16" s="45" t="s">
        <v>162</v>
      </c>
    </row>
    <row r="17" spans="1:17" s="46" customFormat="1" ht="24.95" customHeight="1">
      <c r="A17" s="35">
        <v>6</v>
      </c>
      <c r="B17" s="36" t="s">
        <v>164</v>
      </c>
      <c r="C17" s="37">
        <v>422.85169999999999</v>
      </c>
      <c r="D17" s="38">
        <v>22.73</v>
      </c>
      <c r="E17" s="38">
        <v>24.52</v>
      </c>
      <c r="F17" s="38">
        <v>0</v>
      </c>
      <c r="G17" s="37">
        <v>236.23</v>
      </c>
      <c r="H17" s="39">
        <f t="shared" si="1"/>
        <v>1.078750549934008</v>
      </c>
      <c r="I17" s="37">
        <v>422.85169999999977</v>
      </c>
      <c r="J17" s="38">
        <v>1.79</v>
      </c>
      <c r="K17" s="40">
        <f t="shared" si="4"/>
        <v>7.8750549934007916E-2</v>
      </c>
      <c r="L17" s="41">
        <f t="shared" si="2"/>
        <v>0</v>
      </c>
      <c r="M17" s="42">
        <f t="shared" si="3"/>
        <v>0</v>
      </c>
      <c r="N17" s="43">
        <f t="shared" si="0"/>
        <v>0</v>
      </c>
      <c r="O17" s="44" t="s">
        <v>88</v>
      </c>
      <c r="P17" s="44" t="s">
        <v>96</v>
      </c>
      <c r="Q17" s="45" t="s">
        <v>124</v>
      </c>
    </row>
    <row r="18" spans="1:17" s="46" customFormat="1" ht="24.95" customHeight="1">
      <c r="A18" s="47">
        <v>7</v>
      </c>
      <c r="B18" s="36" t="s">
        <v>212</v>
      </c>
      <c r="C18" s="37">
        <v>363.22559999999999</v>
      </c>
      <c r="D18" s="38">
        <v>99.3</v>
      </c>
      <c r="E18" s="38">
        <v>102.22</v>
      </c>
      <c r="F18" s="38">
        <v>0</v>
      </c>
      <c r="G18" s="37">
        <v>189.18</v>
      </c>
      <c r="H18" s="39">
        <f t="shared" si="1"/>
        <v>1.0294058408862035</v>
      </c>
      <c r="I18" s="37">
        <v>552.40560000000039</v>
      </c>
      <c r="J18" s="38">
        <v>1.92</v>
      </c>
      <c r="K18" s="40">
        <f t="shared" si="4"/>
        <v>1.9335347432024169E-2</v>
      </c>
      <c r="L18" s="41">
        <f>((E18+F18)-D18)-J18</f>
        <v>1.0000000000000018</v>
      </c>
      <c r="M18" s="42">
        <f t="shared" si="3"/>
        <v>1.0070493454179272E-2</v>
      </c>
      <c r="N18" s="43">
        <f t="shared" si="0"/>
        <v>189.18000000000035</v>
      </c>
      <c r="O18" s="44" t="s">
        <v>88</v>
      </c>
      <c r="P18" s="44" t="s">
        <v>89</v>
      </c>
      <c r="Q18" s="45" t="s">
        <v>213</v>
      </c>
    </row>
    <row r="19" spans="1:17" s="46" customFormat="1" ht="24.95" customHeight="1">
      <c r="A19" s="35">
        <v>8</v>
      </c>
      <c r="B19" s="36" t="s">
        <v>104</v>
      </c>
      <c r="C19" s="37">
        <v>355.40079999999995</v>
      </c>
      <c r="D19" s="38">
        <v>49.26</v>
      </c>
      <c r="E19" s="38">
        <v>52.25</v>
      </c>
      <c r="F19" s="38">
        <v>0</v>
      </c>
      <c r="G19" s="37">
        <v>153.19</v>
      </c>
      <c r="H19" s="39">
        <f t="shared" si="1"/>
        <v>1.0606983353633781</v>
      </c>
      <c r="I19" s="37">
        <v>458.03810000000027</v>
      </c>
      <c r="J19" s="38">
        <v>2.3199999999999998</v>
      </c>
      <c r="K19" s="40">
        <f t="shared" si="4"/>
        <v>4.7097036134794962E-2</v>
      </c>
      <c r="L19" s="41">
        <f t="shared" si="2"/>
        <v>0.67000000000000215</v>
      </c>
      <c r="M19" s="42">
        <f t="shared" si="3"/>
        <v>1.3601299228583073E-2</v>
      </c>
      <c r="N19" s="43">
        <f t="shared" si="0"/>
        <v>102.63730000000032</v>
      </c>
      <c r="O19" s="44" t="s">
        <v>88</v>
      </c>
      <c r="P19" s="44" t="s">
        <v>96</v>
      </c>
      <c r="Q19" s="45" t="s">
        <v>105</v>
      </c>
    </row>
    <row r="20" spans="1:17" s="46" customFormat="1" ht="24.95" customHeight="1">
      <c r="A20" s="47">
        <v>9</v>
      </c>
      <c r="B20" s="36" t="s">
        <v>190</v>
      </c>
      <c r="C20" s="37">
        <v>318.29999999999995</v>
      </c>
      <c r="D20" s="38">
        <v>1447</v>
      </c>
      <c r="E20" s="38">
        <v>1477</v>
      </c>
      <c r="F20" s="38">
        <v>0</v>
      </c>
      <c r="G20" s="37">
        <v>10.61</v>
      </c>
      <c r="H20" s="39">
        <f t="shared" si="1"/>
        <v>1.0207325501036628</v>
      </c>
      <c r="I20" s="37">
        <v>318.29999999999995</v>
      </c>
      <c r="J20" s="38">
        <v>30</v>
      </c>
      <c r="K20" s="40">
        <f t="shared" si="4"/>
        <v>2.0732550103662751E-2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88</v>
      </c>
      <c r="P20" s="44" t="s">
        <v>223</v>
      </c>
      <c r="Q20" s="45" t="s">
        <v>189</v>
      </c>
    </row>
    <row r="21" spans="1:17" s="46" customFormat="1" ht="24.95" customHeight="1" thickBot="1">
      <c r="A21" s="48">
        <v>10</v>
      </c>
      <c r="B21" s="49" t="s">
        <v>163</v>
      </c>
      <c r="C21" s="50">
        <v>302.16479999999996</v>
      </c>
      <c r="D21" s="51">
        <v>42.25</v>
      </c>
      <c r="E21" s="51">
        <v>41.59</v>
      </c>
      <c r="F21" s="51">
        <v>1.85</v>
      </c>
      <c r="G21" s="50">
        <v>253.92</v>
      </c>
      <c r="H21" s="52">
        <f t="shared" si="1"/>
        <v>1.028165680473373</v>
      </c>
      <c r="I21" s="50">
        <v>302.16480000000121</v>
      </c>
      <c r="J21" s="51">
        <v>1.19</v>
      </c>
      <c r="K21" s="53">
        <f t="shared" si="4"/>
        <v>2.816568047337278E-2</v>
      </c>
      <c r="L21" s="54">
        <f t="shared" si="2"/>
        <v>4.8849813083506888E-15</v>
      </c>
      <c r="M21" s="55">
        <f t="shared" si="3"/>
        <v>1.1562085936924707E-16</v>
      </c>
      <c r="N21" s="56">
        <f t="shared" si="0"/>
        <v>1.2403944538164068E-12</v>
      </c>
      <c r="O21" s="57" t="s">
        <v>88</v>
      </c>
      <c r="P21" s="57" t="s">
        <v>89</v>
      </c>
      <c r="Q21" s="58" t="s">
        <v>162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101</v>
      </c>
      <c r="C28" s="37">
        <v>2450.2866000000008</v>
      </c>
      <c r="D28" s="38">
        <v>753.91</v>
      </c>
      <c r="E28" s="38">
        <v>758.79</v>
      </c>
      <c r="F28" s="38">
        <v>16.739999999999998</v>
      </c>
      <c r="G28" s="37">
        <v>147.43</v>
      </c>
      <c r="H28" s="68">
        <f t="shared" ref="H28:H37" si="5">(E28+F28)/D28</f>
        <v>1.0286771630565983</v>
      </c>
      <c r="I28" s="37">
        <v>3187.4366000000009</v>
      </c>
      <c r="J28" s="38">
        <v>5</v>
      </c>
      <c r="K28" s="40">
        <f t="shared" ref="K28:K37" si="6">J28/D28</f>
        <v>6.6320913636906268E-3</v>
      </c>
      <c r="L28" s="43">
        <f t="shared" ref="L28:L37" si="7">J28*G28</f>
        <v>737.15000000000009</v>
      </c>
      <c r="M28" s="41">
        <f t="shared" ref="M28:M37" si="8">((E28+F28)-D28)-J28</f>
        <v>16.620000000000005</v>
      </c>
      <c r="N28" s="42">
        <f t="shared" ref="N28:N37" si="9">M28/D28</f>
        <v>2.2045071692907647E-2</v>
      </c>
      <c r="O28" s="44" t="s">
        <v>116</v>
      </c>
      <c r="P28" s="44" t="s">
        <v>224</v>
      </c>
      <c r="Q28" s="45" t="s">
        <v>103</v>
      </c>
    </row>
    <row r="29" spans="1:17" s="67" customFormat="1" ht="24.95" customHeight="1">
      <c r="A29" s="47">
        <v>2</v>
      </c>
      <c r="B29" s="36" t="s">
        <v>130</v>
      </c>
      <c r="C29" s="37">
        <v>2186.8657999999909</v>
      </c>
      <c r="D29" s="38">
        <v>233.06</v>
      </c>
      <c r="E29" s="38">
        <v>233.23</v>
      </c>
      <c r="F29" s="38">
        <v>3.44</v>
      </c>
      <c r="G29" s="37">
        <v>605.78</v>
      </c>
      <c r="H29" s="68">
        <f t="shared" si="5"/>
        <v>1.0154895735003862</v>
      </c>
      <c r="I29" s="37">
        <v>2186.8657999999909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3.6099999999999852</v>
      </c>
      <c r="N29" s="42">
        <f t="shared" si="9"/>
        <v>1.5489573500386104E-2</v>
      </c>
      <c r="O29" s="44" t="s">
        <v>116</v>
      </c>
      <c r="P29" s="69" t="s">
        <v>225</v>
      </c>
      <c r="Q29" s="45" t="s">
        <v>133</v>
      </c>
    </row>
    <row r="30" spans="1:17" s="67" customFormat="1" ht="24.95" customHeight="1">
      <c r="A30" s="47">
        <v>3</v>
      </c>
      <c r="B30" s="36" t="s">
        <v>155</v>
      </c>
      <c r="C30" s="37">
        <v>1618.7638999999992</v>
      </c>
      <c r="D30" s="38">
        <v>61.46</v>
      </c>
      <c r="E30" s="38">
        <v>59.13</v>
      </c>
      <c r="F30" s="38">
        <v>4.8</v>
      </c>
      <c r="G30" s="37">
        <v>655.37</v>
      </c>
      <c r="H30" s="68">
        <f t="shared" si="5"/>
        <v>1.0401887406443215</v>
      </c>
      <c r="I30" s="37">
        <v>1618.7638999999992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2.4699999999999989</v>
      </c>
      <c r="N30" s="42">
        <f t="shared" si="9"/>
        <v>4.0188740644321493E-2</v>
      </c>
      <c r="O30" s="44" t="s">
        <v>116</v>
      </c>
      <c r="P30" s="44" t="s">
        <v>89</v>
      </c>
      <c r="Q30" s="45" t="s">
        <v>122</v>
      </c>
    </row>
    <row r="31" spans="1:17" s="67" customFormat="1" ht="24.95" customHeight="1">
      <c r="A31" s="35">
        <v>4</v>
      </c>
      <c r="B31" s="36" t="s">
        <v>140</v>
      </c>
      <c r="C31" s="37">
        <v>1552.0000000000005</v>
      </c>
      <c r="D31" s="38">
        <v>146.44</v>
      </c>
      <c r="E31" s="38">
        <v>150.6</v>
      </c>
      <c r="F31" s="38">
        <v>4.4000000000000004</v>
      </c>
      <c r="G31" s="37">
        <v>200</v>
      </c>
      <c r="H31" s="68">
        <f t="shared" si="5"/>
        <v>1.0584539743239552</v>
      </c>
      <c r="I31" s="37">
        <v>1712.0000000000005</v>
      </c>
      <c r="J31" s="38">
        <v>0.8</v>
      </c>
      <c r="K31" s="40">
        <f t="shared" si="6"/>
        <v>5.4629882545752535E-3</v>
      </c>
      <c r="L31" s="43">
        <f t="shared" si="7"/>
        <v>160</v>
      </c>
      <c r="M31" s="41">
        <f t="shared" si="8"/>
        <v>7.7600000000000025</v>
      </c>
      <c r="N31" s="42">
        <f t="shared" si="9"/>
        <v>5.2990986069379971E-2</v>
      </c>
      <c r="O31" s="44" t="s">
        <v>116</v>
      </c>
      <c r="P31" s="44" t="s">
        <v>89</v>
      </c>
      <c r="Q31" s="45" t="s">
        <v>103</v>
      </c>
    </row>
    <row r="32" spans="1:17" s="67" customFormat="1" ht="24.95" customHeight="1">
      <c r="A32" s="47">
        <v>5</v>
      </c>
      <c r="B32" s="36" t="s">
        <v>226</v>
      </c>
      <c r="C32" s="37">
        <v>1528.6089000000002</v>
      </c>
      <c r="D32" s="38">
        <v>32</v>
      </c>
      <c r="E32" s="38">
        <v>36.21</v>
      </c>
      <c r="F32" s="38">
        <v>0</v>
      </c>
      <c r="G32" s="37">
        <v>363.09</v>
      </c>
      <c r="H32" s="68">
        <f t="shared" si="5"/>
        <v>1.1315625</v>
      </c>
      <c r="I32" s="37">
        <v>1528.6089000000002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4.2100000000000009</v>
      </c>
      <c r="N32" s="42">
        <f t="shared" si="9"/>
        <v>0.13156250000000003</v>
      </c>
      <c r="O32" s="44" t="s">
        <v>116</v>
      </c>
      <c r="P32" s="44" t="s">
        <v>89</v>
      </c>
      <c r="Q32" s="45" t="s">
        <v>166</v>
      </c>
    </row>
    <row r="33" spans="1:17" s="67" customFormat="1" ht="24.95" customHeight="1">
      <c r="A33" s="35">
        <v>6</v>
      </c>
      <c r="B33" s="36" t="s">
        <v>179</v>
      </c>
      <c r="C33" s="37">
        <v>1508.638000000007</v>
      </c>
      <c r="D33" s="38">
        <v>231.94</v>
      </c>
      <c r="E33" s="38">
        <v>224.09</v>
      </c>
      <c r="F33" s="38">
        <v>11.55</v>
      </c>
      <c r="G33" s="37">
        <v>407.74</v>
      </c>
      <c r="H33" s="68">
        <f t="shared" si="5"/>
        <v>1.0159524014831423</v>
      </c>
      <c r="I33" s="37">
        <v>1508.638000000007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3.7000000000000171</v>
      </c>
      <c r="N33" s="42">
        <f t="shared" si="9"/>
        <v>1.5952401483142267E-2</v>
      </c>
      <c r="O33" s="44" t="s">
        <v>116</v>
      </c>
      <c r="P33" s="69" t="s">
        <v>225</v>
      </c>
      <c r="Q33" s="45" t="s">
        <v>180</v>
      </c>
    </row>
    <row r="34" spans="1:17" s="67" customFormat="1" ht="24.95" customHeight="1">
      <c r="A34" s="47">
        <v>7</v>
      </c>
      <c r="B34" s="36" t="s">
        <v>129</v>
      </c>
      <c r="C34" s="37">
        <v>1467.6713999999729</v>
      </c>
      <c r="D34" s="38">
        <v>5091.84</v>
      </c>
      <c r="E34" s="38">
        <v>5072.3999999999996</v>
      </c>
      <c r="F34" s="38">
        <v>56.7</v>
      </c>
      <c r="G34" s="37">
        <v>39.39</v>
      </c>
      <c r="H34" s="68">
        <f t="shared" si="5"/>
        <v>1.0073175904977374</v>
      </c>
      <c r="I34" s="37">
        <v>1467.6713999999729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37.259999999999309</v>
      </c>
      <c r="N34" s="42">
        <f t="shared" si="9"/>
        <v>7.3175904977374204E-3</v>
      </c>
      <c r="O34" s="44" t="s">
        <v>116</v>
      </c>
      <c r="P34" s="69" t="s">
        <v>225</v>
      </c>
      <c r="Q34" s="45" t="s">
        <v>103</v>
      </c>
    </row>
    <row r="35" spans="1:17" s="67" customFormat="1" ht="24.95" customHeight="1">
      <c r="A35" s="35">
        <v>8</v>
      </c>
      <c r="B35" s="36" t="s">
        <v>167</v>
      </c>
      <c r="C35" s="37">
        <v>1328.9526000000012</v>
      </c>
      <c r="D35" s="38">
        <v>18.11</v>
      </c>
      <c r="E35" s="38">
        <v>17.53</v>
      </c>
      <c r="F35" s="38">
        <v>2.25</v>
      </c>
      <c r="G35" s="37">
        <v>795.78</v>
      </c>
      <c r="H35" s="68">
        <f t="shared" si="5"/>
        <v>1.0922142462727775</v>
      </c>
      <c r="I35" s="37">
        <v>1328.9526000000012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1.6700000000000017</v>
      </c>
      <c r="N35" s="42">
        <f t="shared" si="9"/>
        <v>9.2214246272777564E-2</v>
      </c>
      <c r="O35" s="44" t="s">
        <v>116</v>
      </c>
      <c r="P35" s="44" t="s">
        <v>89</v>
      </c>
      <c r="Q35" s="45" t="s">
        <v>147</v>
      </c>
    </row>
    <row r="36" spans="1:17" s="67" customFormat="1" ht="24.95" customHeight="1">
      <c r="A36" s="47">
        <v>9</v>
      </c>
      <c r="B36" s="36" t="s">
        <v>215</v>
      </c>
      <c r="C36" s="37">
        <v>1320.0576000000035</v>
      </c>
      <c r="D36" s="38">
        <v>269.95</v>
      </c>
      <c r="E36" s="38">
        <v>276.93</v>
      </c>
      <c r="F36" s="38">
        <v>0</v>
      </c>
      <c r="G36" s="37">
        <v>189.12</v>
      </c>
      <c r="H36" s="68">
        <f t="shared" si="5"/>
        <v>1.0258566401185405</v>
      </c>
      <c r="I36" s="37">
        <v>1320.0576000000035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6.9800000000000182</v>
      </c>
      <c r="N36" s="42">
        <f t="shared" si="9"/>
        <v>2.5856640118540539E-2</v>
      </c>
      <c r="O36" s="44" t="s">
        <v>131</v>
      </c>
      <c r="P36" s="44" t="s">
        <v>89</v>
      </c>
      <c r="Q36" s="45" t="s">
        <v>216</v>
      </c>
    </row>
    <row r="37" spans="1:17" s="67" customFormat="1" ht="24.95" customHeight="1" thickBot="1">
      <c r="A37" s="48">
        <v>10</v>
      </c>
      <c r="B37" s="49" t="s">
        <v>196</v>
      </c>
      <c r="C37" s="50">
        <v>1289.3679999999983</v>
      </c>
      <c r="D37" s="51">
        <v>66.42</v>
      </c>
      <c r="E37" s="51">
        <v>66.569999999999993</v>
      </c>
      <c r="F37" s="51">
        <v>1.9</v>
      </c>
      <c r="G37" s="50">
        <v>628.96</v>
      </c>
      <c r="H37" s="70">
        <f t="shared" si="5"/>
        <v>1.0308641975308641</v>
      </c>
      <c r="I37" s="50">
        <v>1289.3679999999983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2.0499999999999972</v>
      </c>
      <c r="N37" s="55">
        <f t="shared" si="9"/>
        <v>3.0864197530864154E-2</v>
      </c>
      <c r="O37" s="57" t="s">
        <v>131</v>
      </c>
      <c r="P37" s="57" t="s">
        <v>89</v>
      </c>
      <c r="Q37" s="58" t="s">
        <v>110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101</v>
      </c>
      <c r="C44" s="37">
        <v>737.15000000000009</v>
      </c>
      <c r="D44" s="76">
        <f t="shared" ref="D44:D53" si="10">C44/$L$5</f>
        <v>0.26513239121506316</v>
      </c>
      <c r="E44" s="77"/>
    </row>
    <row r="45" spans="1:17" s="78" customFormat="1" ht="24.95" customHeight="1">
      <c r="A45" s="79">
        <v>2</v>
      </c>
      <c r="B45" s="36" t="s">
        <v>137</v>
      </c>
      <c r="C45" s="37">
        <v>279.3</v>
      </c>
      <c r="D45" s="76">
        <f t="shared" si="10"/>
        <v>0.10045645644219918</v>
      </c>
      <c r="E45" s="77"/>
    </row>
    <row r="46" spans="1:17" s="78" customFormat="1" ht="24.95" customHeight="1">
      <c r="A46" s="79">
        <v>3</v>
      </c>
      <c r="B46" s="36" t="s">
        <v>138</v>
      </c>
      <c r="C46" s="37">
        <v>217.61999999999998</v>
      </c>
      <c r="D46" s="76">
        <f t="shared" si="10"/>
        <v>7.8271872720914362E-2</v>
      </c>
      <c r="E46" s="77"/>
    </row>
    <row r="47" spans="1:17" s="78" customFormat="1" ht="24.95" customHeight="1">
      <c r="A47" s="75">
        <v>4</v>
      </c>
      <c r="B47" s="36" t="s">
        <v>170</v>
      </c>
      <c r="C47" s="37">
        <v>185.57</v>
      </c>
      <c r="D47" s="76">
        <f t="shared" si="10"/>
        <v>6.6744377450694239E-2</v>
      </c>
      <c r="E47" s="77"/>
    </row>
    <row r="48" spans="1:17" s="78" customFormat="1" ht="24.95" customHeight="1">
      <c r="A48" s="79">
        <v>5</v>
      </c>
      <c r="B48" s="36" t="s">
        <v>106</v>
      </c>
      <c r="C48" s="37">
        <v>173.922</v>
      </c>
      <c r="D48" s="76">
        <f t="shared" si="10"/>
        <v>6.2554915207089751E-2</v>
      </c>
      <c r="E48" s="77"/>
    </row>
    <row r="49" spans="1:5" s="78" customFormat="1" ht="24.95" customHeight="1">
      <c r="A49" s="75">
        <v>6</v>
      </c>
      <c r="B49" s="36" t="s">
        <v>139</v>
      </c>
      <c r="C49" s="37">
        <v>172.584</v>
      </c>
      <c r="D49" s="76">
        <f t="shared" si="10"/>
        <v>6.2073673750878994E-2</v>
      </c>
      <c r="E49" s="77"/>
    </row>
    <row r="50" spans="1:5" s="78" customFormat="1" ht="24.95" customHeight="1">
      <c r="A50" s="79">
        <v>7</v>
      </c>
      <c r="B50" s="36" t="s">
        <v>159</v>
      </c>
      <c r="C50" s="37">
        <v>162.21</v>
      </c>
      <c r="D50" s="76">
        <f t="shared" si="10"/>
        <v>5.8342433940168741E-2</v>
      </c>
      <c r="E50" s="77"/>
    </row>
    <row r="51" spans="1:5" s="78" customFormat="1" ht="24.95" customHeight="1">
      <c r="A51" s="75">
        <v>8</v>
      </c>
      <c r="B51" s="36" t="s">
        <v>140</v>
      </c>
      <c r="C51" s="37">
        <v>160</v>
      </c>
      <c r="D51" s="76">
        <f t="shared" si="10"/>
        <v>5.7547558291270562E-2</v>
      </c>
      <c r="E51" s="77"/>
    </row>
    <row r="52" spans="1:5" s="78" customFormat="1" ht="24.95" customHeight="1">
      <c r="A52" s="79">
        <v>9</v>
      </c>
      <c r="B52" s="36" t="s">
        <v>160</v>
      </c>
      <c r="C52" s="37">
        <v>135.5248</v>
      </c>
      <c r="D52" s="76">
        <f t="shared" si="10"/>
        <v>4.8744508299454904E-2</v>
      </c>
      <c r="E52" s="77"/>
    </row>
    <row r="53" spans="1:5" s="78" customFormat="1" ht="24.95" customHeight="1" thickBot="1">
      <c r="A53" s="80">
        <v>10</v>
      </c>
      <c r="B53" s="49" t="s">
        <v>143</v>
      </c>
      <c r="C53" s="50">
        <v>101.655</v>
      </c>
      <c r="D53" s="81">
        <f t="shared" si="10"/>
        <v>3.6562481488119435E-2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11" priority="34" operator="containsText" text="中華">
      <formula>NOT(ISERROR(SEARCH("中華",A12)))</formula>
    </cfRule>
    <cfRule type="containsText" dxfId="610" priority="33" operator="containsText" text="湯凍">
      <formula>NOT(ISERROR(SEARCH("湯凍",A12)))</formula>
    </cfRule>
    <cfRule type="containsText" dxfId="609" priority="32" operator="containsText" text=")川燙小青花菜">
      <formula>NOT(ISERROR(SEARCH(")川燙小青花菜",A12)))</formula>
    </cfRule>
    <cfRule type="containsText" dxfId="608" priority="31" operator="containsText" text="青蔥">
      <formula>NOT(ISERROR(SEARCH("青蔥",A12)))</formula>
    </cfRule>
    <cfRule type="containsText" dxfId="607" priority="30" operator="containsText" text="白醬">
      <formula>NOT(ISERROR(SEARCH("白醬",A12)))</formula>
    </cfRule>
    <cfRule type="containsText" dxfId="606" priority="29" operator="containsText" text="024">
      <formula>NOT(ISERROR(SEARCH("024",A12)))</formula>
    </cfRule>
    <cfRule type="containsText" dxfId="605" priority="28" operator="containsText" text="煮白細麵生(方#12)">
      <formula>NOT(ISERROR(SEARCH("煮白細麵生(方#12)",A12)))</formula>
    </cfRule>
    <cfRule type="containsText" dxfId="604" priority="27" operator="containsText" text="綠豆芽">
      <formula>NOT(ISERROR(SEARCH("綠豆芽",A12)))</formula>
    </cfRule>
  </conditionalFormatting>
  <conditionalFormatting sqref="A28:A37">
    <cfRule type="containsText" dxfId="603" priority="5" operator="containsText" text="綠豆芽">
      <formula>NOT(ISERROR(SEARCH("綠豆芽",A28)))</formula>
    </cfRule>
    <cfRule type="containsText" dxfId="602" priority="6" operator="containsText" text="煮白細麵生(方#12)">
      <formula>NOT(ISERROR(SEARCH("煮白細麵生(方#12)",A28)))</formula>
    </cfRule>
    <cfRule type="containsText" dxfId="601" priority="7" operator="containsText" text="024">
      <formula>NOT(ISERROR(SEARCH("024",A28)))</formula>
    </cfRule>
    <cfRule type="containsText" dxfId="600" priority="8" operator="containsText" text="白醬">
      <formula>NOT(ISERROR(SEARCH("白醬",A28)))</formula>
    </cfRule>
    <cfRule type="containsText" dxfId="599" priority="9" operator="containsText" text="青蔥">
      <formula>NOT(ISERROR(SEARCH("青蔥",A28)))</formula>
    </cfRule>
    <cfRule type="containsText" dxfId="598" priority="10" operator="containsText" text=")川燙小青花菜">
      <formula>NOT(ISERROR(SEARCH(")川燙小青花菜",A28)))</formula>
    </cfRule>
    <cfRule type="containsText" dxfId="597" priority="11" operator="containsText" text="湯凍">
      <formula>NOT(ISERROR(SEARCH("湯凍",A28)))</formula>
    </cfRule>
    <cfRule type="containsText" dxfId="596" priority="12" operator="containsText" text="中華">
      <formula>NOT(ISERROR(SEARCH("中華",A28)))</formula>
    </cfRule>
  </conditionalFormatting>
  <conditionalFormatting sqref="A44:A53">
    <cfRule type="containsText" dxfId="595" priority="17" operator="containsText" text="綠豆芽">
      <formula>NOT(ISERROR(SEARCH("綠豆芽",A44)))</formula>
    </cfRule>
    <cfRule type="containsText" dxfId="594" priority="18" operator="containsText" text="煮白細麵生(方#12)">
      <formula>NOT(ISERROR(SEARCH("煮白細麵生(方#12)",A44)))</formula>
    </cfRule>
    <cfRule type="containsText" dxfId="593" priority="19" operator="containsText" text="024">
      <formula>NOT(ISERROR(SEARCH("024",A44)))</formula>
    </cfRule>
    <cfRule type="containsText" dxfId="592" priority="20" operator="containsText" text="白醬">
      <formula>NOT(ISERROR(SEARCH("白醬",A44)))</formula>
    </cfRule>
    <cfRule type="containsText" dxfId="591" priority="21" operator="containsText" text="青蔥">
      <formula>NOT(ISERROR(SEARCH("青蔥",A44)))</formula>
    </cfRule>
    <cfRule type="containsText" dxfId="590" priority="22" operator="containsText" text=")川燙小青花菜">
      <formula>NOT(ISERROR(SEARCH(")川燙小青花菜",A44)))</formula>
    </cfRule>
    <cfRule type="containsText" dxfId="589" priority="23" operator="containsText" text="湯凍">
      <formula>NOT(ISERROR(SEARCH("湯凍",A44)))</formula>
    </cfRule>
    <cfRule type="containsText" dxfId="588" priority="24" operator="containsText" text="中華">
      <formula>NOT(ISERROR(SEARCH("中華",A44)))</formula>
    </cfRule>
  </conditionalFormatting>
  <conditionalFormatting sqref="D44:D53">
    <cfRule type="cellIs" dxfId="587" priority="16" operator="greaterThan">
      <formula>0.146</formula>
    </cfRule>
  </conditionalFormatting>
  <conditionalFormatting sqref="E5">
    <cfRule type="cellIs" dxfId="586" priority="25" operator="greaterThan">
      <formula>0.072</formula>
    </cfRule>
    <cfRule type="cellIs" dxfId="585" priority="26" operator="greaterThan">
      <formula>7.2</formula>
    </cfRule>
    <cfRule type="cellIs" dxfId="584" priority="14" operator="greaterThan">
      <formula>0.0025</formula>
    </cfRule>
  </conditionalFormatting>
  <conditionalFormatting sqref="G5">
    <cfRule type="cellIs" dxfId="583" priority="3" operator="greaterThan">
      <formula>7.2</formula>
    </cfRule>
    <cfRule type="cellIs" dxfId="582" priority="2" operator="greaterThan">
      <formula>0.072</formula>
    </cfRule>
    <cfRule type="cellIs" dxfId="581" priority="1" operator="greaterThan">
      <formula>0.0025</formula>
    </cfRule>
  </conditionalFormatting>
  <conditionalFormatting sqref="H12:H22">
    <cfRule type="cellIs" dxfId="580" priority="15" operator="greaterThan">
      <formula>1.1</formula>
    </cfRule>
  </conditionalFormatting>
  <conditionalFormatting sqref="H28:H37">
    <cfRule type="cellIs" dxfId="579" priority="4" operator="greaterThan">
      <formula>1.1</formula>
    </cfRule>
  </conditionalFormatting>
  <conditionalFormatting sqref="I5">
    <cfRule type="cellIs" dxfId="57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3853-D239-415F-AB2C-14429742A488}">
  <sheetPr>
    <tabColor rgb="FFFF0000"/>
    <pageSetUpPr fitToPage="1"/>
  </sheetPr>
  <dimension ref="A1:Q56"/>
  <sheetViews>
    <sheetView topLeftCell="I4" zoomScale="70" zoomScaleNormal="70" workbookViewId="0">
      <selection activeCell="Q12" sqref="Q12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45886</v>
      </c>
      <c r="B3" s="150"/>
      <c r="C3" s="151">
        <v>8145084.8600000003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19707.4653</v>
      </c>
      <c r="E5" s="25">
        <f>D5/C3</f>
        <v>2.4195530972037044E-3</v>
      </c>
      <c r="F5" s="24">
        <v>65748.467400000009</v>
      </c>
      <c r="G5" s="26">
        <f>F5/C3</f>
        <v>8.0721648122890153E-3</v>
      </c>
      <c r="H5" s="27">
        <f>SUM(C12:C21)</f>
        <v>5342.5190000000002</v>
      </c>
      <c r="I5" s="28">
        <f>H5/D5</f>
        <v>0.27109112809144464</v>
      </c>
      <c r="J5" s="27">
        <f>SUM(C28:C37)</f>
        <v>14761.841200000008</v>
      </c>
      <c r="K5" s="29">
        <f>J5/F5</f>
        <v>0.22451992850558836</v>
      </c>
      <c r="L5" s="30">
        <v>2941.4027000000001</v>
      </c>
      <c r="M5" s="31">
        <f>L5/D5</f>
        <v>0.14925322233093061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91</v>
      </c>
      <c r="C12" s="37">
        <v>1112.3999999999999</v>
      </c>
      <c r="D12" s="38">
        <v>4183</v>
      </c>
      <c r="E12" s="38">
        <v>4255</v>
      </c>
      <c r="F12" s="38">
        <v>0</v>
      </c>
      <c r="G12" s="37">
        <v>15.45</v>
      </c>
      <c r="H12" s="39">
        <f>(E12+F12)/D12</f>
        <v>1.0172125268945733</v>
      </c>
      <c r="I12" s="37">
        <v>1112.3999999999999</v>
      </c>
      <c r="J12" s="38">
        <v>72</v>
      </c>
      <c r="K12" s="40">
        <f>J12/D12</f>
        <v>1.7212526894573272E-2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221</v>
      </c>
      <c r="Q12" s="45" t="s">
        <v>94</v>
      </c>
    </row>
    <row r="13" spans="1:17" s="46" customFormat="1" ht="24.95" customHeight="1">
      <c r="A13" s="47">
        <v>2</v>
      </c>
      <c r="B13" s="36" t="s">
        <v>111</v>
      </c>
      <c r="C13" s="37">
        <v>864</v>
      </c>
      <c r="D13" s="38">
        <v>147.24</v>
      </c>
      <c r="E13" s="38">
        <v>156.24</v>
      </c>
      <c r="F13" s="38">
        <v>0</v>
      </c>
      <c r="G13" s="37">
        <v>96</v>
      </c>
      <c r="H13" s="39">
        <f t="shared" ref="H13:H21" si="1">(E13+F13)/D13</f>
        <v>1.061124694376528</v>
      </c>
      <c r="I13" s="37">
        <v>864</v>
      </c>
      <c r="J13" s="38">
        <v>9</v>
      </c>
      <c r="K13" s="40">
        <f>J13/D13</f>
        <v>6.1124694376528114E-2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199</v>
      </c>
      <c r="Q13" s="45" t="s">
        <v>113</v>
      </c>
    </row>
    <row r="14" spans="1:17" s="46" customFormat="1" ht="24.95" customHeight="1">
      <c r="A14" s="47">
        <v>3</v>
      </c>
      <c r="B14" s="36" t="s">
        <v>227</v>
      </c>
      <c r="C14" s="37">
        <v>638.6</v>
      </c>
      <c r="D14" s="38">
        <v>647</v>
      </c>
      <c r="E14" s="38">
        <v>750</v>
      </c>
      <c r="F14" s="38">
        <v>0</v>
      </c>
      <c r="G14" s="37">
        <v>6.2</v>
      </c>
      <c r="H14" s="39">
        <f>(E14+F14)/D14</f>
        <v>1.1591962905718702</v>
      </c>
      <c r="I14" s="37">
        <v>638.6</v>
      </c>
      <c r="J14" s="38">
        <v>103</v>
      </c>
      <c r="K14" s="40">
        <f t="shared" ref="K14:K21" si="4">J14/D14</f>
        <v>0.15919629057187018</v>
      </c>
      <c r="L14" s="41">
        <f t="shared" si="2"/>
        <v>0</v>
      </c>
      <c r="M14" s="42">
        <f t="shared" si="3"/>
        <v>0</v>
      </c>
      <c r="N14" s="43">
        <f t="shared" si="0"/>
        <v>0</v>
      </c>
      <c r="O14" s="44" t="s">
        <v>88</v>
      </c>
      <c r="P14" s="44" t="s">
        <v>228</v>
      </c>
      <c r="Q14" s="45" t="s">
        <v>229</v>
      </c>
    </row>
    <row r="15" spans="1:17" s="46" customFormat="1" ht="24.95" customHeight="1">
      <c r="A15" s="35">
        <v>4</v>
      </c>
      <c r="B15" s="36" t="s">
        <v>161</v>
      </c>
      <c r="C15" s="37">
        <v>550.95000000000005</v>
      </c>
      <c r="D15" s="38">
        <v>53.4</v>
      </c>
      <c r="E15" s="38">
        <v>56.4</v>
      </c>
      <c r="F15" s="38">
        <v>0</v>
      </c>
      <c r="G15" s="37">
        <v>183.65</v>
      </c>
      <c r="H15" s="39">
        <f>(E15+F15)/D15</f>
        <v>1.0561797752808988</v>
      </c>
      <c r="I15" s="37">
        <v>550.95000000000005</v>
      </c>
      <c r="J15" s="38">
        <v>3</v>
      </c>
      <c r="K15" s="40">
        <f t="shared" si="4"/>
        <v>5.6179775280898875E-2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88</v>
      </c>
      <c r="P15" s="44" t="s">
        <v>96</v>
      </c>
      <c r="Q15" s="45" t="s">
        <v>162</v>
      </c>
    </row>
    <row r="16" spans="1:17" s="46" customFormat="1" ht="24.95" customHeight="1">
      <c r="A16" s="47">
        <v>5</v>
      </c>
      <c r="B16" s="36" t="s">
        <v>98</v>
      </c>
      <c r="C16" s="37">
        <v>374.76</v>
      </c>
      <c r="D16" s="38">
        <v>6426</v>
      </c>
      <c r="E16" s="38">
        <v>6366</v>
      </c>
      <c r="F16" s="38">
        <v>96</v>
      </c>
      <c r="G16" s="37">
        <v>10.41</v>
      </c>
      <c r="H16" s="39">
        <f t="shared" si="1"/>
        <v>1.0056022408963585</v>
      </c>
      <c r="I16" s="37">
        <v>374.76</v>
      </c>
      <c r="J16" s="38">
        <v>36</v>
      </c>
      <c r="K16" s="40">
        <f t="shared" si="4"/>
        <v>5.6022408963585435E-3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88</v>
      </c>
      <c r="P16" s="44" t="s">
        <v>223</v>
      </c>
      <c r="Q16" s="45" t="s">
        <v>100</v>
      </c>
    </row>
    <row r="17" spans="1:17" s="46" customFormat="1" ht="24.95" customHeight="1">
      <c r="A17" s="35">
        <v>6</v>
      </c>
      <c r="B17" s="36" t="s">
        <v>230</v>
      </c>
      <c r="C17" s="37">
        <v>363.92999999999995</v>
      </c>
      <c r="D17" s="38">
        <v>3.23</v>
      </c>
      <c r="E17" s="38">
        <v>3.61</v>
      </c>
      <c r="F17" s="38">
        <v>0.4</v>
      </c>
      <c r="G17" s="37">
        <v>1213.0999999999999</v>
      </c>
      <c r="H17" s="39">
        <f t="shared" si="1"/>
        <v>1.241486068111455</v>
      </c>
      <c r="I17" s="37">
        <v>946.21799999999973</v>
      </c>
      <c r="J17" s="38">
        <v>0.3</v>
      </c>
      <c r="K17" s="40">
        <f t="shared" si="4"/>
        <v>9.2879256965944276E-2</v>
      </c>
      <c r="L17" s="41">
        <f t="shared" si="2"/>
        <v>0.47999999999999982</v>
      </c>
      <c r="M17" s="42">
        <f t="shared" si="3"/>
        <v>0.14860681114551078</v>
      </c>
      <c r="N17" s="43">
        <f t="shared" si="0"/>
        <v>582.28799999999978</v>
      </c>
      <c r="O17" s="44" t="s">
        <v>88</v>
      </c>
      <c r="P17" s="44" t="s">
        <v>96</v>
      </c>
      <c r="Q17" s="45" t="s">
        <v>229</v>
      </c>
    </row>
    <row r="18" spans="1:17" s="46" customFormat="1" ht="24.95" customHeight="1">
      <c r="A18" s="47">
        <v>7</v>
      </c>
      <c r="B18" s="36" t="s">
        <v>150</v>
      </c>
      <c r="C18" s="37">
        <v>362.67519999999996</v>
      </c>
      <c r="D18" s="38">
        <v>134.63999999999999</v>
      </c>
      <c r="E18" s="38">
        <v>135.53</v>
      </c>
      <c r="F18" s="38">
        <v>7.21</v>
      </c>
      <c r="G18" s="37">
        <v>141.66999999999999</v>
      </c>
      <c r="H18" s="39">
        <f t="shared" si="1"/>
        <v>1.0601604278074868</v>
      </c>
      <c r="I18" s="37">
        <v>1147.5270000000032</v>
      </c>
      <c r="J18" s="38">
        <v>2.56</v>
      </c>
      <c r="K18" s="40">
        <f t="shared" si="4"/>
        <v>1.9013666072489603E-2</v>
      </c>
      <c r="L18" s="41">
        <f>((E18+F18)-D18)-J18</f>
        <v>5.5400000000000222</v>
      </c>
      <c r="M18" s="42">
        <f t="shared" si="3"/>
        <v>4.1146761734997199E-2</v>
      </c>
      <c r="N18" s="43">
        <f t="shared" si="0"/>
        <v>784.8518000000031</v>
      </c>
      <c r="O18" s="44" t="s">
        <v>88</v>
      </c>
      <c r="P18" s="44" t="s">
        <v>96</v>
      </c>
      <c r="Q18" s="45" t="s">
        <v>133</v>
      </c>
    </row>
    <row r="19" spans="1:17" s="46" customFormat="1" ht="24.95" customHeight="1">
      <c r="A19" s="35">
        <v>8</v>
      </c>
      <c r="B19" s="36" t="s">
        <v>190</v>
      </c>
      <c r="C19" s="37">
        <v>360.74</v>
      </c>
      <c r="D19" s="38">
        <v>1430</v>
      </c>
      <c r="E19" s="38">
        <v>1464</v>
      </c>
      <c r="F19" s="38">
        <v>0</v>
      </c>
      <c r="G19" s="37">
        <v>10.61</v>
      </c>
      <c r="H19" s="39">
        <f t="shared" si="1"/>
        <v>1.0237762237762238</v>
      </c>
      <c r="I19" s="37">
        <v>360.74</v>
      </c>
      <c r="J19" s="38">
        <v>34</v>
      </c>
      <c r="K19" s="40">
        <f t="shared" si="4"/>
        <v>2.3776223776223775E-2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88</v>
      </c>
      <c r="P19" s="44" t="s">
        <v>223</v>
      </c>
      <c r="Q19" s="45" t="s">
        <v>189</v>
      </c>
    </row>
    <row r="20" spans="1:17" s="46" customFormat="1" ht="24.95" customHeight="1">
      <c r="A20" s="47">
        <v>9</v>
      </c>
      <c r="B20" s="36" t="s">
        <v>231</v>
      </c>
      <c r="C20" s="37">
        <v>357.68320000000006</v>
      </c>
      <c r="D20" s="38">
        <v>51.04</v>
      </c>
      <c r="E20" s="38">
        <v>53.28</v>
      </c>
      <c r="F20" s="38">
        <v>0</v>
      </c>
      <c r="G20" s="37">
        <v>159.68</v>
      </c>
      <c r="H20" s="39">
        <f t="shared" si="1"/>
        <v>1.0438871473354232</v>
      </c>
      <c r="I20" s="37">
        <v>357.68320000000034</v>
      </c>
      <c r="J20" s="38">
        <v>2.2400000000000002</v>
      </c>
      <c r="K20" s="40">
        <f t="shared" si="4"/>
        <v>4.3887147335423204E-2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88</v>
      </c>
      <c r="P20" s="44" t="s">
        <v>89</v>
      </c>
      <c r="Q20" s="45" t="s">
        <v>147</v>
      </c>
    </row>
    <row r="21" spans="1:17" s="46" customFormat="1" ht="24.95" customHeight="1" thickBot="1">
      <c r="A21" s="48">
        <v>10</v>
      </c>
      <c r="B21" s="49" t="s">
        <v>101</v>
      </c>
      <c r="C21" s="50">
        <v>356.78059999999999</v>
      </c>
      <c r="D21" s="51">
        <v>774.53</v>
      </c>
      <c r="E21" s="51">
        <v>770.15</v>
      </c>
      <c r="F21" s="51">
        <v>14.7</v>
      </c>
      <c r="G21" s="50">
        <v>147.43</v>
      </c>
      <c r="H21" s="52">
        <f t="shared" si="1"/>
        <v>1.0133242095206125</v>
      </c>
      <c r="I21" s="50">
        <v>1521.4776000000074</v>
      </c>
      <c r="J21" s="51">
        <v>2.42</v>
      </c>
      <c r="K21" s="53">
        <f t="shared" si="4"/>
        <v>3.1244754883606833E-3</v>
      </c>
      <c r="L21" s="54">
        <f t="shared" si="2"/>
        <v>7.9000000000000501</v>
      </c>
      <c r="M21" s="55">
        <f t="shared" si="3"/>
        <v>1.0199734032251882E-2</v>
      </c>
      <c r="N21" s="56">
        <f t="shared" si="0"/>
        <v>1164.6970000000074</v>
      </c>
      <c r="O21" s="57" t="s">
        <v>88</v>
      </c>
      <c r="P21" s="57" t="s">
        <v>47</v>
      </c>
      <c r="Q21" s="58" t="s">
        <v>103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130</v>
      </c>
      <c r="C28" s="37">
        <v>2477.6402000000021</v>
      </c>
      <c r="D28" s="38">
        <v>241.23</v>
      </c>
      <c r="E28" s="38">
        <v>241.45</v>
      </c>
      <c r="F28" s="38">
        <v>3.87</v>
      </c>
      <c r="G28" s="37">
        <v>605.78</v>
      </c>
      <c r="H28" s="68">
        <f t="shared" ref="H28:H37" si="5">(E28+F28)/D28</f>
        <v>1.0169547734527216</v>
      </c>
      <c r="I28" s="37">
        <v>2477.6402000000021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4.0900000000000034</v>
      </c>
      <c r="N28" s="42">
        <f t="shared" ref="N28:N37" si="9">M28/D28</f>
        <v>1.6954773452721485E-2</v>
      </c>
      <c r="O28" s="44" t="s">
        <v>116</v>
      </c>
      <c r="P28" s="69" t="s">
        <v>225</v>
      </c>
      <c r="Q28" s="45" t="s">
        <v>133</v>
      </c>
    </row>
    <row r="29" spans="1:17" s="67" customFormat="1" ht="24.95" customHeight="1">
      <c r="A29" s="47">
        <v>2</v>
      </c>
      <c r="B29" s="36" t="s">
        <v>179</v>
      </c>
      <c r="C29" s="37">
        <v>2271.1117999999974</v>
      </c>
      <c r="D29" s="38">
        <v>235.38</v>
      </c>
      <c r="E29" s="38">
        <v>233.95</v>
      </c>
      <c r="F29" s="38">
        <v>7</v>
      </c>
      <c r="G29" s="37">
        <v>407.74</v>
      </c>
      <c r="H29" s="68">
        <f t="shared" si="5"/>
        <v>1.023663862690118</v>
      </c>
      <c r="I29" s="37">
        <v>2271.1117999999974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5.5699999999999932</v>
      </c>
      <c r="N29" s="42">
        <f t="shared" si="9"/>
        <v>2.3663862690118078E-2</v>
      </c>
      <c r="O29" s="44" t="s">
        <v>116</v>
      </c>
      <c r="P29" s="69" t="s">
        <v>225</v>
      </c>
      <c r="Q29" s="45" t="s">
        <v>180</v>
      </c>
    </row>
    <row r="30" spans="1:17" s="67" customFormat="1" ht="24.95" customHeight="1">
      <c r="A30" s="47">
        <v>3</v>
      </c>
      <c r="B30" s="36" t="s">
        <v>127</v>
      </c>
      <c r="C30" s="37">
        <v>1860.9893999999999</v>
      </c>
      <c r="D30" s="38">
        <v>349.92</v>
      </c>
      <c r="E30" s="38">
        <v>351.11</v>
      </c>
      <c r="F30" s="38">
        <v>16</v>
      </c>
      <c r="G30" s="37">
        <v>108.26</v>
      </c>
      <c r="H30" s="68">
        <f t="shared" si="5"/>
        <v>1.0491255144032923</v>
      </c>
      <c r="I30" s="37">
        <v>1860.9893999999999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17.189999999999998</v>
      </c>
      <c r="N30" s="42">
        <f t="shared" si="9"/>
        <v>4.9125514403292173E-2</v>
      </c>
      <c r="O30" s="44" t="s">
        <v>116</v>
      </c>
      <c r="P30" s="44" t="s">
        <v>121</v>
      </c>
      <c r="Q30" s="45" t="s">
        <v>128</v>
      </c>
    </row>
    <row r="31" spans="1:17" s="67" customFormat="1" ht="24.95" customHeight="1">
      <c r="A31" s="35">
        <v>4</v>
      </c>
      <c r="B31" s="36" t="s">
        <v>152</v>
      </c>
      <c r="C31" s="37">
        <v>1559.9200000000003</v>
      </c>
      <c r="D31" s="38">
        <v>28.93</v>
      </c>
      <c r="E31" s="38">
        <v>31.41</v>
      </c>
      <c r="F31" s="38">
        <v>0</v>
      </c>
      <c r="G31" s="37">
        <v>629</v>
      </c>
      <c r="H31" s="68">
        <f t="shared" si="5"/>
        <v>1.0857241617697893</v>
      </c>
      <c r="I31" s="37">
        <v>1559.9200000000003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2.4800000000000004</v>
      </c>
      <c r="N31" s="42">
        <f t="shared" si="9"/>
        <v>8.5724161769789156E-2</v>
      </c>
      <c r="O31" s="44" t="s">
        <v>116</v>
      </c>
      <c r="P31" s="44" t="s">
        <v>89</v>
      </c>
      <c r="Q31" s="45" t="s">
        <v>105</v>
      </c>
    </row>
    <row r="32" spans="1:17" s="67" customFormat="1" ht="24.95" customHeight="1">
      <c r="A32" s="47">
        <v>5</v>
      </c>
      <c r="B32" s="36" t="s">
        <v>140</v>
      </c>
      <c r="C32" s="37">
        <v>1424.0000000000018</v>
      </c>
      <c r="D32" s="38">
        <v>152.26</v>
      </c>
      <c r="E32" s="38">
        <v>153.4</v>
      </c>
      <c r="F32" s="38">
        <v>6.6</v>
      </c>
      <c r="G32" s="37">
        <v>200</v>
      </c>
      <c r="H32" s="68">
        <f t="shared" si="5"/>
        <v>1.0508340995665311</v>
      </c>
      <c r="I32" s="37">
        <v>1548.0000000000018</v>
      </c>
      <c r="J32" s="38">
        <v>0.62</v>
      </c>
      <c r="K32" s="40">
        <f t="shared" si="6"/>
        <v>4.0719821358203073E-3</v>
      </c>
      <c r="L32" s="43">
        <f t="shared" si="7"/>
        <v>124</v>
      </c>
      <c r="M32" s="41">
        <f t="shared" si="8"/>
        <v>7.120000000000009</v>
      </c>
      <c r="N32" s="42">
        <f t="shared" si="9"/>
        <v>4.6762117430710688E-2</v>
      </c>
      <c r="O32" s="44" t="s">
        <v>116</v>
      </c>
      <c r="P32" s="44" t="s">
        <v>89</v>
      </c>
      <c r="Q32" s="45" t="s">
        <v>103</v>
      </c>
    </row>
    <row r="33" spans="1:17" s="67" customFormat="1" ht="24.95" customHeight="1">
      <c r="A33" s="35">
        <v>6</v>
      </c>
      <c r="B33" s="36" t="s">
        <v>101</v>
      </c>
      <c r="C33" s="37">
        <v>1164.6970000000074</v>
      </c>
      <c r="D33" s="38">
        <v>774.53</v>
      </c>
      <c r="E33" s="38">
        <v>770.15</v>
      </c>
      <c r="F33" s="38">
        <v>14.7</v>
      </c>
      <c r="G33" s="37">
        <v>147.43</v>
      </c>
      <c r="H33" s="68">
        <f t="shared" si="5"/>
        <v>1.0133242095206125</v>
      </c>
      <c r="I33" s="37">
        <v>1521.4776000000074</v>
      </c>
      <c r="J33" s="38">
        <v>2.42</v>
      </c>
      <c r="K33" s="40">
        <f t="shared" si="6"/>
        <v>3.1244754883606833E-3</v>
      </c>
      <c r="L33" s="43">
        <f t="shared" si="7"/>
        <v>356.78059999999999</v>
      </c>
      <c r="M33" s="41">
        <f t="shared" si="8"/>
        <v>7.9000000000000501</v>
      </c>
      <c r="N33" s="42">
        <f t="shared" si="9"/>
        <v>1.0199734032251882E-2</v>
      </c>
      <c r="O33" s="44" t="s">
        <v>116</v>
      </c>
      <c r="P33" s="44" t="s">
        <v>224</v>
      </c>
      <c r="Q33" s="45" t="s">
        <v>103</v>
      </c>
    </row>
    <row r="34" spans="1:17" s="67" customFormat="1" ht="24.95" customHeight="1">
      <c r="A34" s="47">
        <v>7</v>
      </c>
      <c r="B34" s="36" t="s">
        <v>155</v>
      </c>
      <c r="C34" s="37">
        <v>1153.4512000000034</v>
      </c>
      <c r="D34" s="38">
        <v>63.84</v>
      </c>
      <c r="E34" s="38">
        <v>62.24</v>
      </c>
      <c r="F34" s="38">
        <v>3.36</v>
      </c>
      <c r="G34" s="37">
        <v>655.37</v>
      </c>
      <c r="H34" s="68">
        <f t="shared" si="5"/>
        <v>1.0275689223057645</v>
      </c>
      <c r="I34" s="37">
        <v>1153.4512000000034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1.7600000000000051</v>
      </c>
      <c r="N34" s="42">
        <f t="shared" si="9"/>
        <v>2.7568922305764489E-2</v>
      </c>
      <c r="O34" s="44" t="s">
        <v>116</v>
      </c>
      <c r="P34" s="44" t="s">
        <v>89</v>
      </c>
      <c r="Q34" s="45" t="s">
        <v>122</v>
      </c>
    </row>
    <row r="35" spans="1:17" s="67" customFormat="1" ht="24.95" customHeight="1">
      <c r="A35" s="35">
        <v>8</v>
      </c>
      <c r="B35" s="36" t="s">
        <v>184</v>
      </c>
      <c r="C35" s="37">
        <v>976.78239999999812</v>
      </c>
      <c r="D35" s="38">
        <v>41.29</v>
      </c>
      <c r="E35" s="38">
        <v>41.9</v>
      </c>
      <c r="F35" s="38">
        <v>1.23</v>
      </c>
      <c r="G35" s="37">
        <v>530.86</v>
      </c>
      <c r="H35" s="68">
        <f t="shared" si="5"/>
        <v>1.0445628481472511</v>
      </c>
      <c r="I35" s="37">
        <v>976.78239999999812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1.8399999999999963</v>
      </c>
      <c r="N35" s="42">
        <f t="shared" si="9"/>
        <v>4.4562848147251061E-2</v>
      </c>
      <c r="O35" s="44" t="s">
        <v>116</v>
      </c>
      <c r="P35" s="44" t="s">
        <v>89</v>
      </c>
      <c r="Q35" s="45" t="s">
        <v>185</v>
      </c>
    </row>
    <row r="36" spans="1:17" s="67" customFormat="1" ht="24.95" customHeight="1">
      <c r="A36" s="47">
        <v>9</v>
      </c>
      <c r="B36" s="36" t="s">
        <v>167</v>
      </c>
      <c r="C36" s="37">
        <v>970.85159999999905</v>
      </c>
      <c r="D36" s="38">
        <v>19.14</v>
      </c>
      <c r="E36" s="38">
        <v>19.61</v>
      </c>
      <c r="F36" s="38">
        <v>0.75</v>
      </c>
      <c r="G36" s="37">
        <v>795.78</v>
      </c>
      <c r="H36" s="68">
        <f t="shared" si="5"/>
        <v>1.063740856844305</v>
      </c>
      <c r="I36" s="37">
        <v>970.85159999999905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1.2199999999999989</v>
      </c>
      <c r="N36" s="42">
        <f t="shared" si="9"/>
        <v>6.3740856844305055E-2</v>
      </c>
      <c r="O36" s="44" t="s">
        <v>131</v>
      </c>
      <c r="P36" s="44" t="s">
        <v>89</v>
      </c>
      <c r="Q36" s="45" t="s">
        <v>147</v>
      </c>
    </row>
    <row r="37" spans="1:17" s="67" customFormat="1" ht="24.95" customHeight="1" thickBot="1">
      <c r="A37" s="48">
        <v>10</v>
      </c>
      <c r="B37" s="49" t="s">
        <v>232</v>
      </c>
      <c r="C37" s="50">
        <v>902.39759999999808</v>
      </c>
      <c r="D37" s="51">
        <v>28.42</v>
      </c>
      <c r="E37" s="51">
        <v>28.08</v>
      </c>
      <c r="F37" s="51">
        <v>2.2000000000000002</v>
      </c>
      <c r="G37" s="50">
        <v>485.16</v>
      </c>
      <c r="H37" s="70">
        <f t="shared" si="5"/>
        <v>1.0654468684025333</v>
      </c>
      <c r="I37" s="50">
        <v>902.39759999999808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1.8599999999999959</v>
      </c>
      <c r="N37" s="55">
        <f t="shared" si="9"/>
        <v>6.5446868402533276E-2</v>
      </c>
      <c r="O37" s="57" t="s">
        <v>131</v>
      </c>
      <c r="P37" s="57" t="s">
        <v>89</v>
      </c>
      <c r="Q37" s="58" t="s">
        <v>90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101</v>
      </c>
      <c r="C44" s="37">
        <v>356.78059999999999</v>
      </c>
      <c r="D44" s="76">
        <f t="shared" ref="D44:D53" si="10">C44/$L$5</f>
        <v>0.12129607414856863</v>
      </c>
      <c r="E44" s="77"/>
    </row>
    <row r="45" spans="1:17" s="78" customFormat="1" ht="24.95" customHeight="1">
      <c r="A45" s="79">
        <v>2</v>
      </c>
      <c r="B45" s="36" t="s">
        <v>137</v>
      </c>
      <c r="C45" s="37">
        <v>355.25</v>
      </c>
      <c r="D45" s="76">
        <f t="shared" si="10"/>
        <v>0.12077571017392484</v>
      </c>
      <c r="E45" s="77"/>
    </row>
    <row r="46" spans="1:17" s="78" customFormat="1" ht="24.95" customHeight="1">
      <c r="A46" s="79">
        <v>3</v>
      </c>
      <c r="B46" s="36" t="s">
        <v>138</v>
      </c>
      <c r="C46" s="37">
        <v>343.97999999999996</v>
      </c>
      <c r="D46" s="76">
        <f t="shared" si="10"/>
        <v>0.11694420488564859</v>
      </c>
      <c r="E46" s="77"/>
    </row>
    <row r="47" spans="1:17" s="78" customFormat="1" ht="24.95" customHeight="1">
      <c r="A47" s="75">
        <v>4</v>
      </c>
      <c r="B47" s="36" t="s">
        <v>141</v>
      </c>
      <c r="C47" s="37">
        <v>329.5</v>
      </c>
      <c r="D47" s="76">
        <f t="shared" si="10"/>
        <v>0.11202138353922092</v>
      </c>
      <c r="E47" s="77"/>
    </row>
    <row r="48" spans="1:17" s="78" customFormat="1" ht="24.95" customHeight="1">
      <c r="A48" s="79">
        <v>5</v>
      </c>
      <c r="B48" s="36" t="s">
        <v>233</v>
      </c>
      <c r="C48" s="37">
        <v>184.67999999999998</v>
      </c>
      <c r="D48" s="76">
        <f t="shared" si="10"/>
        <v>6.2786370597946339E-2</v>
      </c>
      <c r="E48" s="77"/>
    </row>
    <row r="49" spans="1:5" s="78" customFormat="1" ht="24.95" customHeight="1">
      <c r="A49" s="75">
        <v>6</v>
      </c>
      <c r="B49" s="36" t="s">
        <v>106</v>
      </c>
      <c r="C49" s="37">
        <v>173.922</v>
      </c>
      <c r="D49" s="76">
        <f t="shared" si="10"/>
        <v>5.9128931920814511E-2</v>
      </c>
      <c r="E49" s="77"/>
    </row>
    <row r="50" spans="1:5" s="78" customFormat="1" ht="24.95" customHeight="1">
      <c r="A50" s="79">
        <v>7</v>
      </c>
      <c r="B50" s="36" t="s">
        <v>139</v>
      </c>
      <c r="C50" s="37">
        <v>172.584</v>
      </c>
      <c r="D50" s="76">
        <f t="shared" si="10"/>
        <v>5.8674046909659799E-2</v>
      </c>
      <c r="E50" s="77"/>
    </row>
    <row r="51" spans="1:5" s="78" customFormat="1" ht="24.95" customHeight="1">
      <c r="A51" s="75">
        <v>8</v>
      </c>
      <c r="B51" s="36" t="s">
        <v>159</v>
      </c>
      <c r="C51" s="37">
        <v>162.21</v>
      </c>
      <c r="D51" s="76">
        <f t="shared" si="10"/>
        <v>5.5147158190886274E-2</v>
      </c>
      <c r="E51" s="77"/>
    </row>
    <row r="52" spans="1:5" s="78" customFormat="1" ht="24.95" customHeight="1">
      <c r="A52" s="79">
        <v>9</v>
      </c>
      <c r="B52" s="36" t="s">
        <v>168</v>
      </c>
      <c r="C52" s="37">
        <v>144.5</v>
      </c>
      <c r="D52" s="76">
        <f t="shared" si="10"/>
        <v>4.9126221309309326E-2</v>
      </c>
      <c r="E52" s="77"/>
    </row>
    <row r="53" spans="1:5" s="78" customFormat="1" ht="24.95" customHeight="1" thickBot="1">
      <c r="A53" s="80">
        <v>10</v>
      </c>
      <c r="B53" s="49" t="s">
        <v>140</v>
      </c>
      <c r="C53" s="50">
        <v>124</v>
      </c>
      <c r="D53" s="81">
        <f t="shared" si="10"/>
        <v>4.2156757386535341E-2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77" priority="34" operator="containsText" text="中華">
      <formula>NOT(ISERROR(SEARCH("中華",A12)))</formula>
    </cfRule>
    <cfRule type="containsText" dxfId="576" priority="33" operator="containsText" text="湯凍">
      <formula>NOT(ISERROR(SEARCH("湯凍",A12)))</formula>
    </cfRule>
    <cfRule type="containsText" dxfId="575" priority="32" operator="containsText" text=")川燙小青花菜">
      <formula>NOT(ISERROR(SEARCH(")川燙小青花菜",A12)))</formula>
    </cfRule>
    <cfRule type="containsText" dxfId="574" priority="31" operator="containsText" text="青蔥">
      <formula>NOT(ISERROR(SEARCH("青蔥",A12)))</formula>
    </cfRule>
    <cfRule type="containsText" dxfId="573" priority="30" operator="containsText" text="白醬">
      <formula>NOT(ISERROR(SEARCH("白醬",A12)))</formula>
    </cfRule>
    <cfRule type="containsText" dxfId="572" priority="29" operator="containsText" text="024">
      <formula>NOT(ISERROR(SEARCH("024",A12)))</formula>
    </cfRule>
    <cfRule type="containsText" dxfId="571" priority="28" operator="containsText" text="煮白細麵生(方#12)">
      <formula>NOT(ISERROR(SEARCH("煮白細麵生(方#12)",A12)))</formula>
    </cfRule>
    <cfRule type="containsText" dxfId="570" priority="27" operator="containsText" text="綠豆芽">
      <formula>NOT(ISERROR(SEARCH("綠豆芽",A12)))</formula>
    </cfRule>
  </conditionalFormatting>
  <conditionalFormatting sqref="A28:A37">
    <cfRule type="containsText" dxfId="569" priority="5" operator="containsText" text="綠豆芽">
      <formula>NOT(ISERROR(SEARCH("綠豆芽",A28)))</formula>
    </cfRule>
    <cfRule type="containsText" dxfId="568" priority="6" operator="containsText" text="煮白細麵生(方#12)">
      <formula>NOT(ISERROR(SEARCH("煮白細麵生(方#12)",A28)))</formula>
    </cfRule>
    <cfRule type="containsText" dxfId="567" priority="7" operator="containsText" text="024">
      <formula>NOT(ISERROR(SEARCH("024",A28)))</formula>
    </cfRule>
    <cfRule type="containsText" dxfId="566" priority="8" operator="containsText" text="白醬">
      <formula>NOT(ISERROR(SEARCH("白醬",A28)))</formula>
    </cfRule>
    <cfRule type="containsText" dxfId="565" priority="9" operator="containsText" text="青蔥">
      <formula>NOT(ISERROR(SEARCH("青蔥",A28)))</formula>
    </cfRule>
    <cfRule type="containsText" dxfId="564" priority="10" operator="containsText" text=")川燙小青花菜">
      <formula>NOT(ISERROR(SEARCH(")川燙小青花菜",A28)))</formula>
    </cfRule>
    <cfRule type="containsText" dxfId="563" priority="11" operator="containsText" text="湯凍">
      <formula>NOT(ISERROR(SEARCH("湯凍",A28)))</formula>
    </cfRule>
    <cfRule type="containsText" dxfId="562" priority="12" operator="containsText" text="中華">
      <formula>NOT(ISERROR(SEARCH("中華",A28)))</formula>
    </cfRule>
  </conditionalFormatting>
  <conditionalFormatting sqref="A44:A53">
    <cfRule type="containsText" dxfId="561" priority="17" operator="containsText" text="綠豆芽">
      <formula>NOT(ISERROR(SEARCH("綠豆芽",A44)))</formula>
    </cfRule>
    <cfRule type="containsText" dxfId="560" priority="18" operator="containsText" text="煮白細麵生(方#12)">
      <formula>NOT(ISERROR(SEARCH("煮白細麵生(方#12)",A44)))</formula>
    </cfRule>
    <cfRule type="containsText" dxfId="559" priority="19" operator="containsText" text="024">
      <formula>NOT(ISERROR(SEARCH("024",A44)))</formula>
    </cfRule>
    <cfRule type="containsText" dxfId="558" priority="20" operator="containsText" text="白醬">
      <formula>NOT(ISERROR(SEARCH("白醬",A44)))</formula>
    </cfRule>
    <cfRule type="containsText" dxfId="557" priority="21" operator="containsText" text="青蔥">
      <formula>NOT(ISERROR(SEARCH("青蔥",A44)))</formula>
    </cfRule>
    <cfRule type="containsText" dxfId="556" priority="22" operator="containsText" text=")川燙小青花菜">
      <formula>NOT(ISERROR(SEARCH(")川燙小青花菜",A44)))</formula>
    </cfRule>
    <cfRule type="containsText" dxfId="555" priority="23" operator="containsText" text="湯凍">
      <formula>NOT(ISERROR(SEARCH("湯凍",A44)))</formula>
    </cfRule>
    <cfRule type="containsText" dxfId="554" priority="24" operator="containsText" text="中華">
      <formula>NOT(ISERROR(SEARCH("中華",A44)))</formula>
    </cfRule>
  </conditionalFormatting>
  <conditionalFormatting sqref="D44:D53">
    <cfRule type="cellIs" dxfId="553" priority="16" operator="greaterThan">
      <formula>0.146</formula>
    </cfRule>
  </conditionalFormatting>
  <conditionalFormatting sqref="E5">
    <cfRule type="cellIs" dxfId="552" priority="25" operator="greaterThan">
      <formula>0.072</formula>
    </cfRule>
    <cfRule type="cellIs" dxfId="551" priority="26" operator="greaterThan">
      <formula>7.2</formula>
    </cfRule>
    <cfRule type="cellIs" dxfId="550" priority="14" operator="greaterThan">
      <formula>0.0025</formula>
    </cfRule>
  </conditionalFormatting>
  <conditionalFormatting sqref="G5">
    <cfRule type="cellIs" dxfId="549" priority="3" operator="greaterThan">
      <formula>7.2</formula>
    </cfRule>
    <cfRule type="cellIs" dxfId="548" priority="2" operator="greaterThan">
      <formula>0.072</formula>
    </cfRule>
    <cfRule type="cellIs" dxfId="547" priority="1" operator="greaterThan">
      <formula>0.0025</formula>
    </cfRule>
  </conditionalFormatting>
  <conditionalFormatting sqref="H12:H22">
    <cfRule type="cellIs" dxfId="546" priority="15" operator="greaterThan">
      <formula>1.1</formula>
    </cfRule>
  </conditionalFormatting>
  <conditionalFormatting sqref="H28:H37">
    <cfRule type="cellIs" dxfId="545" priority="4" operator="greaterThan">
      <formula>1.1</formula>
    </cfRule>
  </conditionalFormatting>
  <conditionalFormatting sqref="I5">
    <cfRule type="cellIs" dxfId="54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AC23-B4F4-4B33-80EE-9279C5886FA9}">
  <sheetPr>
    <tabColor rgb="FFFF0000"/>
    <pageSetUpPr fitToPage="1"/>
  </sheetPr>
  <dimension ref="A1:Q56"/>
  <sheetViews>
    <sheetView topLeftCell="E7" zoomScale="70" zoomScaleNormal="70" workbookViewId="0">
      <selection activeCell="Q28" sqref="Q28:Q37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45885</v>
      </c>
      <c r="B3" s="150"/>
      <c r="C3" s="151">
        <v>6421067.7599999998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15499.561299999996</v>
      </c>
      <c r="E5" s="25">
        <f>D5/C3</f>
        <v>2.4138604168849318E-3</v>
      </c>
      <c r="F5" s="24">
        <v>51768.062600000012</v>
      </c>
      <c r="G5" s="26">
        <f>F5/C3</f>
        <v>8.0622202622574433E-3</v>
      </c>
      <c r="H5" s="27">
        <f>SUM(C12:C21)</f>
        <v>6561.8212999999987</v>
      </c>
      <c r="I5" s="28">
        <f>H5/D5</f>
        <v>0.42335529199784516</v>
      </c>
      <c r="J5" s="27">
        <f>SUM(C28:C37)</f>
        <v>11886.044199999989</v>
      </c>
      <c r="K5" s="29">
        <f>J5/F5</f>
        <v>0.2296018742644618</v>
      </c>
      <c r="L5" s="30">
        <v>2280.5808999999999</v>
      </c>
      <c r="M5" s="31">
        <f>L5/D5</f>
        <v>0.14713841610471909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150</v>
      </c>
      <c r="C12" s="37">
        <v>1386.9492999999998</v>
      </c>
      <c r="D12" s="38">
        <v>107.52</v>
      </c>
      <c r="E12" s="38">
        <v>117.31</v>
      </c>
      <c r="F12" s="38">
        <v>0</v>
      </c>
      <c r="G12" s="37">
        <v>141.66999999999999</v>
      </c>
      <c r="H12" s="39">
        <f>(E12+F12)/D12</f>
        <v>1.0910528273809526</v>
      </c>
      <c r="I12" s="37">
        <v>1386.9493000000007</v>
      </c>
      <c r="J12" s="38">
        <v>9.7899999999999991</v>
      </c>
      <c r="K12" s="40">
        <f>J12/D12</f>
        <v>9.105282738095237E-2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96</v>
      </c>
      <c r="Q12" s="45" t="s">
        <v>133</v>
      </c>
    </row>
    <row r="13" spans="1:17" s="46" customFormat="1" ht="24.95" customHeight="1">
      <c r="A13" s="47">
        <v>2</v>
      </c>
      <c r="B13" s="36" t="s">
        <v>234</v>
      </c>
      <c r="C13" s="37">
        <v>1108.5229999999999</v>
      </c>
      <c r="D13" s="38">
        <v>206.46</v>
      </c>
      <c r="E13" s="38">
        <v>232.7</v>
      </c>
      <c r="F13" s="38">
        <v>0</v>
      </c>
      <c r="G13" s="37">
        <v>46.15</v>
      </c>
      <c r="H13" s="39">
        <f t="shared" ref="H13:H21" si="1">(E13+F13)/D13</f>
        <v>1.127094836772256</v>
      </c>
      <c r="I13" s="37">
        <v>1210.975999999999</v>
      </c>
      <c r="J13" s="38">
        <v>24.02</v>
      </c>
      <c r="K13" s="40">
        <f>J13/D13</f>
        <v>0.11634214860021311</v>
      </c>
      <c r="L13" s="41">
        <f t="shared" ref="L13:L21" si="2">((E13+F13)-D13)-J13</f>
        <v>2.2199999999999811</v>
      </c>
      <c r="M13" s="42">
        <f t="shared" ref="M13:M21" si="3">L13/D13</f>
        <v>1.0752688172042918E-2</v>
      </c>
      <c r="N13" s="43">
        <f t="shared" si="0"/>
        <v>102.45299999999912</v>
      </c>
      <c r="O13" s="44" t="s">
        <v>88</v>
      </c>
      <c r="P13" s="44" t="s">
        <v>235</v>
      </c>
      <c r="Q13" s="45" t="s">
        <v>236</v>
      </c>
    </row>
    <row r="14" spans="1:17" s="46" customFormat="1" ht="24.95" customHeight="1">
      <c r="A14" s="47">
        <v>3</v>
      </c>
      <c r="B14" s="36" t="s">
        <v>237</v>
      </c>
      <c r="C14" s="37">
        <v>728.13600000000008</v>
      </c>
      <c r="D14" s="38">
        <v>306.45999999999998</v>
      </c>
      <c r="E14" s="38">
        <v>334.26</v>
      </c>
      <c r="F14" s="38">
        <v>0</v>
      </c>
      <c r="G14" s="37">
        <v>33.71</v>
      </c>
      <c r="H14" s="39">
        <f>(E14+F14)/D14</f>
        <v>1.0907133067937089</v>
      </c>
      <c r="I14" s="37">
        <v>937.13800000000037</v>
      </c>
      <c r="J14" s="38">
        <v>21.6</v>
      </c>
      <c r="K14" s="40">
        <f t="shared" ref="K14:K21" si="4">J14/D14</f>
        <v>7.0482281537557923E-2</v>
      </c>
      <c r="L14" s="41">
        <f t="shared" si="2"/>
        <v>6.2000000000000099</v>
      </c>
      <c r="M14" s="42">
        <f t="shared" si="3"/>
        <v>2.023102525615092E-2</v>
      </c>
      <c r="N14" s="43">
        <f t="shared" si="0"/>
        <v>209.00200000000035</v>
      </c>
      <c r="O14" s="44" t="s">
        <v>88</v>
      </c>
      <c r="P14" s="44" t="s">
        <v>235</v>
      </c>
      <c r="Q14" s="45" t="s">
        <v>122</v>
      </c>
    </row>
    <row r="15" spans="1:17" s="46" customFormat="1" ht="24.95" customHeight="1">
      <c r="A15" s="35">
        <v>4</v>
      </c>
      <c r="B15" s="36" t="s">
        <v>186</v>
      </c>
      <c r="C15" s="37">
        <v>721.80600000000004</v>
      </c>
      <c r="D15" s="38">
        <v>202.72</v>
      </c>
      <c r="E15" s="38">
        <v>215.93</v>
      </c>
      <c r="F15" s="38">
        <v>0</v>
      </c>
      <c r="G15" s="37">
        <v>61.17</v>
      </c>
      <c r="H15" s="39">
        <f>(E15+F15)/D15</f>
        <v>1.0651637726913969</v>
      </c>
      <c r="I15" s="37">
        <v>808.05570000000046</v>
      </c>
      <c r="J15" s="38">
        <v>11.8</v>
      </c>
      <c r="K15" s="40">
        <f t="shared" si="4"/>
        <v>5.8208366219415948E-2</v>
      </c>
      <c r="L15" s="41">
        <f t="shared" si="2"/>
        <v>1.4100000000000072</v>
      </c>
      <c r="M15" s="42">
        <f t="shared" si="3"/>
        <v>6.955406471981093E-3</v>
      </c>
      <c r="N15" s="43">
        <f t="shared" si="0"/>
        <v>86.249700000000445</v>
      </c>
      <c r="O15" s="44" t="s">
        <v>88</v>
      </c>
      <c r="P15" s="44" t="s">
        <v>222</v>
      </c>
      <c r="Q15" s="45" t="s">
        <v>189</v>
      </c>
    </row>
    <row r="16" spans="1:17" s="46" customFormat="1" ht="24.95" customHeight="1">
      <c r="A16" s="47">
        <v>5</v>
      </c>
      <c r="B16" s="36" t="s">
        <v>91</v>
      </c>
      <c r="C16" s="37">
        <v>618</v>
      </c>
      <c r="D16" s="38">
        <v>2922</v>
      </c>
      <c r="E16" s="38">
        <v>2962</v>
      </c>
      <c r="F16" s="38">
        <v>0</v>
      </c>
      <c r="G16" s="37">
        <v>15.45</v>
      </c>
      <c r="H16" s="39">
        <f t="shared" si="1"/>
        <v>1.0136892539356606</v>
      </c>
      <c r="I16" s="37">
        <v>618</v>
      </c>
      <c r="J16" s="38">
        <v>40</v>
      </c>
      <c r="K16" s="40">
        <f t="shared" si="4"/>
        <v>1.3689253935660506E-2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88</v>
      </c>
      <c r="P16" s="44" t="s">
        <v>221</v>
      </c>
      <c r="Q16" s="45" t="s">
        <v>94</v>
      </c>
    </row>
    <row r="17" spans="1:17" s="46" customFormat="1" ht="24.95" customHeight="1">
      <c r="A17" s="35">
        <v>6</v>
      </c>
      <c r="B17" s="36" t="s">
        <v>101</v>
      </c>
      <c r="C17" s="37">
        <v>471.77600000000007</v>
      </c>
      <c r="D17" s="38">
        <v>482.5</v>
      </c>
      <c r="E17" s="38">
        <v>486.67</v>
      </c>
      <c r="F17" s="38">
        <v>10.119999999999999</v>
      </c>
      <c r="G17" s="37">
        <v>147.43</v>
      </c>
      <c r="H17" s="39">
        <f t="shared" si="1"/>
        <v>1.0296165803108808</v>
      </c>
      <c r="I17" s="37">
        <v>2106.7747000000031</v>
      </c>
      <c r="J17" s="38">
        <v>3.2</v>
      </c>
      <c r="K17" s="40">
        <f t="shared" si="4"/>
        <v>6.6321243523316063E-3</v>
      </c>
      <c r="L17" s="41">
        <f t="shared" si="2"/>
        <v>11.090000000000021</v>
      </c>
      <c r="M17" s="42">
        <f t="shared" si="3"/>
        <v>2.2984455958549265E-2</v>
      </c>
      <c r="N17" s="43">
        <f t="shared" si="0"/>
        <v>1634.9987000000033</v>
      </c>
      <c r="O17" s="44" t="s">
        <v>88</v>
      </c>
      <c r="P17" s="44" t="s">
        <v>47</v>
      </c>
      <c r="Q17" s="45" t="s">
        <v>103</v>
      </c>
    </row>
    <row r="18" spans="1:17" s="46" customFormat="1" ht="24.95" customHeight="1">
      <c r="A18" s="47">
        <v>7</v>
      </c>
      <c r="B18" s="36" t="s">
        <v>238</v>
      </c>
      <c r="C18" s="37">
        <v>468.32</v>
      </c>
      <c r="D18" s="38">
        <v>45.88</v>
      </c>
      <c r="E18" s="38">
        <v>47.88</v>
      </c>
      <c r="F18" s="38">
        <v>0</v>
      </c>
      <c r="G18" s="37">
        <v>234.16</v>
      </c>
      <c r="H18" s="39">
        <f t="shared" si="1"/>
        <v>1.0435919790758501</v>
      </c>
      <c r="I18" s="37">
        <v>468.32</v>
      </c>
      <c r="J18" s="38">
        <v>2</v>
      </c>
      <c r="K18" s="40">
        <f t="shared" si="4"/>
        <v>4.3591979075850044E-2</v>
      </c>
      <c r="L18" s="41">
        <f>((E18+F18)-D18)-J18</f>
        <v>0</v>
      </c>
      <c r="M18" s="42">
        <f t="shared" si="3"/>
        <v>0</v>
      </c>
      <c r="N18" s="43">
        <f t="shared" si="0"/>
        <v>0</v>
      </c>
      <c r="O18" s="44" t="s">
        <v>88</v>
      </c>
      <c r="P18" s="44" t="s">
        <v>89</v>
      </c>
      <c r="Q18" s="45" t="s">
        <v>236</v>
      </c>
    </row>
    <row r="19" spans="1:17" s="46" customFormat="1" ht="24.95" customHeight="1">
      <c r="A19" s="35">
        <v>8</v>
      </c>
      <c r="B19" s="36" t="s">
        <v>239</v>
      </c>
      <c r="C19" s="37">
        <v>360.4</v>
      </c>
      <c r="D19" s="38">
        <v>1147</v>
      </c>
      <c r="E19" s="38">
        <v>1200</v>
      </c>
      <c r="F19" s="38">
        <v>0</v>
      </c>
      <c r="G19" s="37">
        <v>6.8</v>
      </c>
      <c r="H19" s="39">
        <f t="shared" si="1"/>
        <v>1.046207497820401</v>
      </c>
      <c r="I19" s="37">
        <v>360.4</v>
      </c>
      <c r="J19" s="38">
        <v>53</v>
      </c>
      <c r="K19" s="40">
        <f t="shared" si="4"/>
        <v>4.6207497820401046E-2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88</v>
      </c>
      <c r="P19" s="44" t="s">
        <v>89</v>
      </c>
      <c r="Q19" s="45" t="s">
        <v>236</v>
      </c>
    </row>
    <row r="20" spans="1:17" s="46" customFormat="1" ht="24.95" customHeight="1">
      <c r="A20" s="47">
        <v>9</v>
      </c>
      <c r="B20" s="36" t="s">
        <v>107</v>
      </c>
      <c r="C20" s="37">
        <v>351.82499999999999</v>
      </c>
      <c r="D20" s="38">
        <v>18.399999999999999</v>
      </c>
      <c r="E20" s="38">
        <v>21.4</v>
      </c>
      <c r="F20" s="38">
        <v>0</v>
      </c>
      <c r="G20" s="37">
        <v>140.72999999999999</v>
      </c>
      <c r="H20" s="39">
        <f t="shared" si="1"/>
        <v>1.1630434782608696</v>
      </c>
      <c r="I20" s="37">
        <v>422.18999999999994</v>
      </c>
      <c r="J20" s="38">
        <v>2.5</v>
      </c>
      <c r="K20" s="40">
        <f t="shared" si="4"/>
        <v>0.13586956521739132</v>
      </c>
      <c r="L20" s="41">
        <f t="shared" si="2"/>
        <v>0.5</v>
      </c>
      <c r="M20" s="42">
        <f t="shared" si="3"/>
        <v>2.7173913043478264E-2</v>
      </c>
      <c r="N20" s="43">
        <f t="shared" si="0"/>
        <v>70.364999999999995</v>
      </c>
      <c r="O20" s="44" t="s">
        <v>88</v>
      </c>
      <c r="P20" s="44" t="s">
        <v>89</v>
      </c>
      <c r="Q20" s="45" t="s">
        <v>108</v>
      </c>
    </row>
    <row r="21" spans="1:17" s="46" customFormat="1" ht="24.95" customHeight="1" thickBot="1">
      <c r="A21" s="48">
        <v>10</v>
      </c>
      <c r="B21" s="49" t="s">
        <v>240</v>
      </c>
      <c r="C21" s="50">
        <v>346.08600000000001</v>
      </c>
      <c r="D21" s="51">
        <v>35.840000000000003</v>
      </c>
      <c r="E21" s="51">
        <v>37.540000000000006</v>
      </c>
      <c r="F21" s="51">
        <v>0</v>
      </c>
      <c r="G21" s="50">
        <v>203.58</v>
      </c>
      <c r="H21" s="52">
        <f t="shared" si="1"/>
        <v>1.0474330357142858</v>
      </c>
      <c r="I21" s="50">
        <v>346.08600000000058</v>
      </c>
      <c r="J21" s="51">
        <v>1.7</v>
      </c>
      <c r="K21" s="53">
        <f t="shared" si="4"/>
        <v>4.7433035714285705E-2</v>
      </c>
      <c r="L21" s="54">
        <f t="shared" si="2"/>
        <v>2.886579864025407E-15</v>
      </c>
      <c r="M21" s="55">
        <f t="shared" si="3"/>
        <v>8.0540732813208892E-17</v>
      </c>
      <c r="N21" s="56">
        <f t="shared" si="0"/>
        <v>5.8764992871829235E-13</v>
      </c>
      <c r="O21" s="57" t="s">
        <v>88</v>
      </c>
      <c r="P21" s="57" t="s">
        <v>89</v>
      </c>
      <c r="Q21" s="58" t="s">
        <v>133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101</v>
      </c>
      <c r="C28" s="37">
        <v>1634.9987000000031</v>
      </c>
      <c r="D28" s="38">
        <v>482.5</v>
      </c>
      <c r="E28" s="38">
        <v>486.67</v>
      </c>
      <c r="F28" s="38">
        <v>10.119999999999999</v>
      </c>
      <c r="G28" s="37">
        <v>147.43</v>
      </c>
      <c r="H28" s="68">
        <f t="shared" ref="H28:H37" si="5">(E28+F28)/D28</f>
        <v>1.0296165803108808</v>
      </c>
      <c r="I28" s="37">
        <v>2106.7747000000031</v>
      </c>
      <c r="J28" s="38">
        <v>3.2</v>
      </c>
      <c r="K28" s="40">
        <f t="shared" ref="K28:K37" si="6">J28/D28</f>
        <v>6.6321243523316063E-3</v>
      </c>
      <c r="L28" s="43">
        <f t="shared" ref="L28:L37" si="7">J28*G28</f>
        <v>471.77600000000007</v>
      </c>
      <c r="M28" s="41">
        <f t="shared" ref="M28:M37" si="8">((E28+F28)-D28)-J28</f>
        <v>11.090000000000021</v>
      </c>
      <c r="N28" s="42">
        <f t="shared" ref="N28:N37" si="9">M28/D28</f>
        <v>2.2984455958549265E-2</v>
      </c>
      <c r="O28" s="44" t="s">
        <v>116</v>
      </c>
      <c r="P28" s="44" t="s">
        <v>224</v>
      </c>
      <c r="Q28" s="45" t="s">
        <v>103</v>
      </c>
    </row>
    <row r="29" spans="1:17" s="67" customFormat="1" ht="24.95" customHeight="1">
      <c r="A29" s="47">
        <v>2</v>
      </c>
      <c r="B29" s="36" t="s">
        <v>155</v>
      </c>
      <c r="C29" s="37">
        <v>1605.6564999999973</v>
      </c>
      <c r="D29" s="38">
        <v>52.54</v>
      </c>
      <c r="E29" s="38">
        <v>51.15</v>
      </c>
      <c r="F29" s="38">
        <v>3.84</v>
      </c>
      <c r="G29" s="37">
        <v>655.37</v>
      </c>
      <c r="H29" s="68">
        <f t="shared" si="5"/>
        <v>1.0466311381804339</v>
      </c>
      <c r="I29" s="37">
        <v>1605.6564999999973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2.4499999999999957</v>
      </c>
      <c r="N29" s="42">
        <f t="shared" si="9"/>
        <v>4.6631138180433872E-2</v>
      </c>
      <c r="O29" s="44" t="s">
        <v>116</v>
      </c>
      <c r="P29" s="44" t="s">
        <v>89</v>
      </c>
      <c r="Q29" s="45" t="s">
        <v>122</v>
      </c>
    </row>
    <row r="30" spans="1:17" s="67" customFormat="1" ht="24.95" customHeight="1">
      <c r="A30" s="47">
        <v>3</v>
      </c>
      <c r="B30" s="36" t="s">
        <v>140</v>
      </c>
      <c r="C30" s="37">
        <v>1275.9999999999989</v>
      </c>
      <c r="D30" s="38">
        <v>138.9</v>
      </c>
      <c r="E30" s="38">
        <v>141.30000000000001</v>
      </c>
      <c r="F30" s="38">
        <v>4.7</v>
      </c>
      <c r="G30" s="37">
        <v>200</v>
      </c>
      <c r="H30" s="68">
        <f t="shared" si="5"/>
        <v>1.0511159107271417</v>
      </c>
      <c r="I30" s="37">
        <v>1419.9999999999989</v>
      </c>
      <c r="J30" s="38">
        <v>0.72</v>
      </c>
      <c r="K30" s="40">
        <f t="shared" si="6"/>
        <v>5.1835853131749453E-3</v>
      </c>
      <c r="L30" s="43">
        <f t="shared" si="7"/>
        <v>144</v>
      </c>
      <c r="M30" s="41">
        <f t="shared" si="8"/>
        <v>6.3799999999999946</v>
      </c>
      <c r="N30" s="42">
        <f t="shared" si="9"/>
        <v>4.5932325413966843E-2</v>
      </c>
      <c r="O30" s="44" t="s">
        <v>116</v>
      </c>
      <c r="P30" s="44" t="s">
        <v>89</v>
      </c>
      <c r="Q30" s="45" t="s">
        <v>103</v>
      </c>
    </row>
    <row r="31" spans="1:17" s="67" customFormat="1" ht="24.95" customHeight="1">
      <c r="A31" s="35">
        <v>4</v>
      </c>
      <c r="B31" s="36" t="s">
        <v>144</v>
      </c>
      <c r="C31" s="37">
        <v>1267</v>
      </c>
      <c r="D31" s="38">
        <v>244.99</v>
      </c>
      <c r="E31" s="38">
        <v>246.74</v>
      </c>
      <c r="F31" s="38">
        <v>7</v>
      </c>
      <c r="G31" s="37">
        <v>144.80000000000001</v>
      </c>
      <c r="H31" s="68">
        <f t="shared" si="5"/>
        <v>1.0357157434997346</v>
      </c>
      <c r="I31" s="37">
        <v>1267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8.75</v>
      </c>
      <c r="N31" s="42">
        <f t="shared" si="9"/>
        <v>3.5715743499734678E-2</v>
      </c>
      <c r="O31" s="44" t="s">
        <v>116</v>
      </c>
      <c r="P31" s="44" t="s">
        <v>89</v>
      </c>
      <c r="Q31" s="45" t="s">
        <v>103</v>
      </c>
    </row>
    <row r="32" spans="1:17" s="67" customFormat="1" ht="24.95" customHeight="1">
      <c r="A32" s="47">
        <v>5</v>
      </c>
      <c r="B32" s="36" t="s">
        <v>179</v>
      </c>
      <c r="C32" s="37">
        <v>1251.7617999999973</v>
      </c>
      <c r="D32" s="38">
        <v>146.72</v>
      </c>
      <c r="E32" s="38">
        <v>142.79</v>
      </c>
      <c r="F32" s="38">
        <v>7</v>
      </c>
      <c r="G32" s="37">
        <v>407.74</v>
      </c>
      <c r="H32" s="68">
        <f t="shared" si="5"/>
        <v>1.0209242093784079</v>
      </c>
      <c r="I32" s="37">
        <v>1251.7617999999973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3.0699999999999932</v>
      </c>
      <c r="N32" s="42">
        <f t="shared" si="9"/>
        <v>2.0924209378407804E-2</v>
      </c>
      <c r="O32" s="44" t="s">
        <v>116</v>
      </c>
      <c r="P32" s="69" t="s">
        <v>225</v>
      </c>
      <c r="Q32" s="45" t="s">
        <v>180</v>
      </c>
    </row>
    <row r="33" spans="1:17" s="67" customFormat="1" ht="24.95" customHeight="1">
      <c r="A33" s="35">
        <v>6</v>
      </c>
      <c r="B33" s="36" t="s">
        <v>241</v>
      </c>
      <c r="C33" s="37">
        <v>1224.000899999995</v>
      </c>
      <c r="D33" s="38">
        <v>21.1</v>
      </c>
      <c r="E33" s="38">
        <v>21.13</v>
      </c>
      <c r="F33" s="38">
        <v>0.9</v>
      </c>
      <c r="G33" s="37">
        <v>1316.13</v>
      </c>
      <c r="H33" s="68">
        <f t="shared" si="5"/>
        <v>1.0440758293838861</v>
      </c>
      <c r="I33" s="37">
        <v>1224.000899999995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0.92999999999999616</v>
      </c>
      <c r="N33" s="42">
        <f t="shared" si="9"/>
        <v>4.4075829383886073E-2</v>
      </c>
      <c r="O33" s="44" t="s">
        <v>116</v>
      </c>
      <c r="P33" s="44" t="s">
        <v>89</v>
      </c>
      <c r="Q33" s="45" t="s">
        <v>149</v>
      </c>
    </row>
    <row r="34" spans="1:17" s="67" customFormat="1" ht="24.95" customHeight="1">
      <c r="A34" s="47">
        <v>7</v>
      </c>
      <c r="B34" s="36" t="s">
        <v>123</v>
      </c>
      <c r="C34" s="37">
        <v>1038.885</v>
      </c>
      <c r="D34" s="38">
        <v>52.25</v>
      </c>
      <c r="E34" s="38">
        <v>53.75</v>
      </c>
      <c r="F34" s="38">
        <v>0</v>
      </c>
      <c r="G34" s="37">
        <v>692.59</v>
      </c>
      <c r="H34" s="68">
        <f t="shared" si="5"/>
        <v>1.0287081339712918</v>
      </c>
      <c r="I34" s="37">
        <v>1038.885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1.5</v>
      </c>
      <c r="N34" s="42">
        <f t="shared" si="9"/>
        <v>2.8708133971291867E-2</v>
      </c>
      <c r="O34" s="44" t="s">
        <v>116</v>
      </c>
      <c r="P34" s="44" t="s">
        <v>89</v>
      </c>
      <c r="Q34" s="45" t="s">
        <v>124</v>
      </c>
    </row>
    <row r="35" spans="1:17" s="67" customFormat="1" ht="24.95" customHeight="1">
      <c r="A35" s="35">
        <v>8</v>
      </c>
      <c r="B35" s="36" t="s">
        <v>196</v>
      </c>
      <c r="C35" s="37">
        <v>981.17760000000146</v>
      </c>
      <c r="D35" s="38">
        <v>60.19</v>
      </c>
      <c r="E35" s="38">
        <v>60.61</v>
      </c>
      <c r="F35" s="38">
        <v>1.1399999999999999</v>
      </c>
      <c r="G35" s="37">
        <v>628.96</v>
      </c>
      <c r="H35" s="68">
        <f t="shared" si="5"/>
        <v>1.0259179265658747</v>
      </c>
      <c r="I35" s="37">
        <v>981.17760000000146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1.5600000000000023</v>
      </c>
      <c r="N35" s="42">
        <f t="shared" si="9"/>
        <v>2.5917926565874768E-2</v>
      </c>
      <c r="O35" s="44" t="s">
        <v>116</v>
      </c>
      <c r="P35" s="44" t="s">
        <v>89</v>
      </c>
      <c r="Q35" s="45" t="s">
        <v>110</v>
      </c>
    </row>
    <row r="36" spans="1:17" s="67" customFormat="1" ht="24.95" customHeight="1">
      <c r="A36" s="47">
        <v>9</v>
      </c>
      <c r="B36" s="36" t="s">
        <v>219</v>
      </c>
      <c r="C36" s="37">
        <v>805.06089999999926</v>
      </c>
      <c r="D36" s="38">
        <v>110.31</v>
      </c>
      <c r="E36" s="38">
        <v>110.92</v>
      </c>
      <c r="F36" s="38">
        <v>6.46</v>
      </c>
      <c r="G36" s="37">
        <v>113.87</v>
      </c>
      <c r="H36" s="68">
        <f t="shared" si="5"/>
        <v>1.064092104070347</v>
      </c>
      <c r="I36" s="37">
        <v>805.06089999999926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7.0699999999999932</v>
      </c>
      <c r="N36" s="42">
        <f t="shared" si="9"/>
        <v>6.4092104070347142E-2</v>
      </c>
      <c r="O36" s="44" t="s">
        <v>131</v>
      </c>
      <c r="P36" s="44" t="s">
        <v>89</v>
      </c>
      <c r="Q36" s="45" t="s">
        <v>124</v>
      </c>
    </row>
    <row r="37" spans="1:17" s="67" customFormat="1" ht="24.95" customHeight="1" thickBot="1">
      <c r="A37" s="48">
        <v>10</v>
      </c>
      <c r="B37" s="49" t="s">
        <v>156</v>
      </c>
      <c r="C37" s="50">
        <v>801.50279999999748</v>
      </c>
      <c r="D37" s="51">
        <v>150.55000000000001</v>
      </c>
      <c r="E37" s="51">
        <v>153.56</v>
      </c>
      <c r="F37" s="51">
        <v>0</v>
      </c>
      <c r="G37" s="50">
        <v>266.27999999999997</v>
      </c>
      <c r="H37" s="70">
        <f t="shared" si="5"/>
        <v>1.0199933576884754</v>
      </c>
      <c r="I37" s="50">
        <v>801.50279999999748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3.0099999999999909</v>
      </c>
      <c r="N37" s="55">
        <f t="shared" si="9"/>
        <v>1.9993357688475526E-2</v>
      </c>
      <c r="O37" s="57" t="s">
        <v>131</v>
      </c>
      <c r="P37" s="57" t="s">
        <v>89</v>
      </c>
      <c r="Q37" s="58" t="s">
        <v>157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101</v>
      </c>
      <c r="C44" s="37">
        <v>471.77600000000007</v>
      </c>
      <c r="D44" s="76">
        <f t="shared" ref="D44:D53" si="10">C44/$L$5</f>
        <v>0.20686659262997426</v>
      </c>
      <c r="E44" s="77"/>
    </row>
    <row r="45" spans="1:17" s="78" customFormat="1" ht="24.95" customHeight="1">
      <c r="A45" s="79">
        <v>2</v>
      </c>
      <c r="B45" s="36" t="s">
        <v>138</v>
      </c>
      <c r="C45" s="37">
        <v>315.89999999999998</v>
      </c>
      <c r="D45" s="76">
        <f t="shared" si="10"/>
        <v>0.13851734003384839</v>
      </c>
      <c r="E45" s="77"/>
    </row>
    <row r="46" spans="1:17" s="78" customFormat="1" ht="24.95" customHeight="1">
      <c r="A46" s="79">
        <v>3</v>
      </c>
      <c r="B46" s="36" t="s">
        <v>137</v>
      </c>
      <c r="C46" s="37">
        <v>306.25</v>
      </c>
      <c r="D46" s="76">
        <f t="shared" si="10"/>
        <v>0.13428596196697079</v>
      </c>
      <c r="E46" s="77"/>
    </row>
    <row r="47" spans="1:17" s="78" customFormat="1" ht="24.95" customHeight="1">
      <c r="A47" s="75">
        <v>4</v>
      </c>
      <c r="B47" s="36" t="s">
        <v>106</v>
      </c>
      <c r="C47" s="37">
        <v>186.345</v>
      </c>
      <c r="D47" s="76">
        <f t="shared" si="10"/>
        <v>8.1709445168114847E-2</v>
      </c>
      <c r="E47" s="77"/>
    </row>
    <row r="48" spans="1:17" s="78" customFormat="1" ht="24.95" customHeight="1">
      <c r="A48" s="79">
        <v>5</v>
      </c>
      <c r="B48" s="36" t="s">
        <v>159</v>
      </c>
      <c r="C48" s="37">
        <v>183.83799999999999</v>
      </c>
      <c r="D48" s="76">
        <f t="shared" si="10"/>
        <v>8.061016384027421E-2</v>
      </c>
      <c r="E48" s="77"/>
    </row>
    <row r="49" spans="1:5" s="78" customFormat="1" ht="24.95" customHeight="1">
      <c r="A49" s="75">
        <v>6</v>
      </c>
      <c r="B49" s="36" t="s">
        <v>143</v>
      </c>
      <c r="C49" s="37">
        <v>151.8048</v>
      </c>
      <c r="D49" s="76">
        <f t="shared" si="10"/>
        <v>6.6564093385154635E-2</v>
      </c>
      <c r="E49" s="77"/>
    </row>
    <row r="50" spans="1:5" s="78" customFormat="1" ht="24.95" customHeight="1">
      <c r="A50" s="79">
        <v>7</v>
      </c>
      <c r="B50" s="36" t="s">
        <v>140</v>
      </c>
      <c r="C50" s="37">
        <v>144</v>
      </c>
      <c r="D50" s="76">
        <f t="shared" si="10"/>
        <v>6.3141807422836871E-2</v>
      </c>
      <c r="E50" s="77"/>
    </row>
    <row r="51" spans="1:5" s="78" customFormat="1" ht="24.95" customHeight="1">
      <c r="A51" s="75">
        <v>8</v>
      </c>
      <c r="B51" s="36" t="s">
        <v>139</v>
      </c>
      <c r="C51" s="37">
        <v>136.78880000000001</v>
      </c>
      <c r="D51" s="76">
        <f t="shared" si="10"/>
        <v>5.9979806022228813E-2</v>
      </c>
      <c r="E51" s="77"/>
    </row>
    <row r="52" spans="1:5" s="78" customFormat="1" ht="24.95" customHeight="1">
      <c r="A52" s="79">
        <v>9</v>
      </c>
      <c r="B52" s="36" t="s">
        <v>168</v>
      </c>
      <c r="C52" s="37">
        <v>101.14999999999999</v>
      </c>
      <c r="D52" s="76">
        <f t="shared" si="10"/>
        <v>4.4352734866805202E-2</v>
      </c>
      <c r="E52" s="77"/>
    </row>
    <row r="53" spans="1:5" s="78" customFormat="1" ht="24.95" customHeight="1" thickBot="1">
      <c r="A53" s="80">
        <v>10</v>
      </c>
      <c r="B53" s="49" t="s">
        <v>134</v>
      </c>
      <c r="C53" s="50">
        <v>78.935000000000002</v>
      </c>
      <c r="D53" s="81">
        <f t="shared" si="10"/>
        <v>3.4611795617511314E-2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543" priority="34" operator="containsText" text="中華">
      <formula>NOT(ISERROR(SEARCH("中華",A12)))</formula>
    </cfRule>
    <cfRule type="containsText" dxfId="542" priority="33" operator="containsText" text="湯凍">
      <formula>NOT(ISERROR(SEARCH("湯凍",A12)))</formula>
    </cfRule>
    <cfRule type="containsText" dxfId="541" priority="32" operator="containsText" text=")川燙小青花菜">
      <formula>NOT(ISERROR(SEARCH(")川燙小青花菜",A12)))</formula>
    </cfRule>
    <cfRule type="containsText" dxfId="540" priority="31" operator="containsText" text="青蔥">
      <formula>NOT(ISERROR(SEARCH("青蔥",A12)))</formula>
    </cfRule>
    <cfRule type="containsText" dxfId="539" priority="30" operator="containsText" text="白醬">
      <formula>NOT(ISERROR(SEARCH("白醬",A12)))</formula>
    </cfRule>
    <cfRule type="containsText" dxfId="538" priority="29" operator="containsText" text="024">
      <formula>NOT(ISERROR(SEARCH("024",A12)))</formula>
    </cfRule>
    <cfRule type="containsText" dxfId="537" priority="28" operator="containsText" text="煮白細麵生(方#12)">
      <formula>NOT(ISERROR(SEARCH("煮白細麵生(方#12)",A12)))</formula>
    </cfRule>
    <cfRule type="containsText" dxfId="536" priority="27" operator="containsText" text="綠豆芽">
      <formula>NOT(ISERROR(SEARCH("綠豆芽",A12)))</formula>
    </cfRule>
  </conditionalFormatting>
  <conditionalFormatting sqref="A28:A37">
    <cfRule type="containsText" dxfId="535" priority="5" operator="containsText" text="綠豆芽">
      <formula>NOT(ISERROR(SEARCH("綠豆芽",A28)))</formula>
    </cfRule>
    <cfRule type="containsText" dxfId="534" priority="6" operator="containsText" text="煮白細麵生(方#12)">
      <formula>NOT(ISERROR(SEARCH("煮白細麵生(方#12)",A28)))</formula>
    </cfRule>
    <cfRule type="containsText" dxfId="533" priority="7" operator="containsText" text="024">
      <formula>NOT(ISERROR(SEARCH("024",A28)))</formula>
    </cfRule>
    <cfRule type="containsText" dxfId="532" priority="8" operator="containsText" text="白醬">
      <formula>NOT(ISERROR(SEARCH("白醬",A28)))</formula>
    </cfRule>
    <cfRule type="containsText" dxfId="531" priority="9" operator="containsText" text="青蔥">
      <formula>NOT(ISERROR(SEARCH("青蔥",A28)))</formula>
    </cfRule>
    <cfRule type="containsText" dxfId="530" priority="10" operator="containsText" text=")川燙小青花菜">
      <formula>NOT(ISERROR(SEARCH(")川燙小青花菜",A28)))</formula>
    </cfRule>
    <cfRule type="containsText" dxfId="529" priority="11" operator="containsText" text="湯凍">
      <formula>NOT(ISERROR(SEARCH("湯凍",A28)))</formula>
    </cfRule>
    <cfRule type="containsText" dxfId="528" priority="12" operator="containsText" text="中華">
      <formula>NOT(ISERROR(SEARCH("中華",A28)))</formula>
    </cfRule>
  </conditionalFormatting>
  <conditionalFormatting sqref="A44:A53">
    <cfRule type="containsText" dxfId="527" priority="17" operator="containsText" text="綠豆芽">
      <formula>NOT(ISERROR(SEARCH("綠豆芽",A44)))</formula>
    </cfRule>
    <cfRule type="containsText" dxfId="526" priority="18" operator="containsText" text="煮白細麵生(方#12)">
      <formula>NOT(ISERROR(SEARCH("煮白細麵生(方#12)",A44)))</formula>
    </cfRule>
    <cfRule type="containsText" dxfId="525" priority="19" operator="containsText" text="024">
      <formula>NOT(ISERROR(SEARCH("024",A44)))</formula>
    </cfRule>
    <cfRule type="containsText" dxfId="524" priority="20" operator="containsText" text="白醬">
      <formula>NOT(ISERROR(SEARCH("白醬",A44)))</formula>
    </cfRule>
    <cfRule type="containsText" dxfId="523" priority="21" operator="containsText" text="青蔥">
      <formula>NOT(ISERROR(SEARCH("青蔥",A44)))</formula>
    </cfRule>
    <cfRule type="containsText" dxfId="522" priority="22" operator="containsText" text=")川燙小青花菜">
      <formula>NOT(ISERROR(SEARCH(")川燙小青花菜",A44)))</formula>
    </cfRule>
    <cfRule type="containsText" dxfId="521" priority="23" operator="containsText" text="湯凍">
      <formula>NOT(ISERROR(SEARCH("湯凍",A44)))</formula>
    </cfRule>
    <cfRule type="containsText" dxfId="520" priority="24" operator="containsText" text="中華">
      <formula>NOT(ISERROR(SEARCH("中華",A44)))</formula>
    </cfRule>
  </conditionalFormatting>
  <conditionalFormatting sqref="D44:D53">
    <cfRule type="cellIs" dxfId="519" priority="16" operator="greaterThan">
      <formula>0.146</formula>
    </cfRule>
  </conditionalFormatting>
  <conditionalFormatting sqref="E5">
    <cfRule type="cellIs" dxfId="518" priority="25" operator="greaterThan">
      <formula>0.072</formula>
    </cfRule>
    <cfRule type="cellIs" dxfId="517" priority="26" operator="greaterThan">
      <formula>7.2</formula>
    </cfRule>
    <cfRule type="cellIs" dxfId="516" priority="14" operator="greaterThan">
      <formula>0.0025</formula>
    </cfRule>
  </conditionalFormatting>
  <conditionalFormatting sqref="G5">
    <cfRule type="cellIs" dxfId="515" priority="3" operator="greaterThan">
      <formula>7.2</formula>
    </cfRule>
    <cfRule type="cellIs" dxfId="514" priority="2" operator="greaterThan">
      <formula>0.072</formula>
    </cfRule>
    <cfRule type="cellIs" dxfId="513" priority="1" operator="greaterThan">
      <formula>0.0025</formula>
    </cfRule>
  </conditionalFormatting>
  <conditionalFormatting sqref="H12:H22">
    <cfRule type="cellIs" dxfId="512" priority="15" operator="greaterThan">
      <formula>1.1</formula>
    </cfRule>
  </conditionalFormatting>
  <conditionalFormatting sqref="H28:H37">
    <cfRule type="cellIs" dxfId="511" priority="4" operator="greaterThan">
      <formula>1.1</formula>
    </cfRule>
  </conditionalFormatting>
  <conditionalFormatting sqref="I5">
    <cfRule type="cellIs" dxfId="51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C64D-7BFA-407D-8955-964790540754}">
  <sheetPr>
    <tabColor rgb="FFFF0000"/>
    <pageSetUpPr fitToPage="1"/>
  </sheetPr>
  <dimension ref="A1:Q56"/>
  <sheetViews>
    <sheetView topLeftCell="F16" zoomScale="70" zoomScaleNormal="70" workbookViewId="0">
      <selection activeCell="Q28" sqref="Q28:Q37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45884</v>
      </c>
      <c r="B3" s="150"/>
      <c r="C3" s="151">
        <v>6364780.2199999997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15365.392200000002</v>
      </c>
      <c r="E5" s="25">
        <f>D5/C3</f>
        <v>2.4141276947344465E-3</v>
      </c>
      <c r="F5" s="24">
        <v>52005.885399999985</v>
      </c>
      <c r="G5" s="26">
        <f>F5/C3</f>
        <v>8.1708847128110235E-3</v>
      </c>
      <c r="H5" s="27">
        <f>SUM(C12:C21)</f>
        <v>4258.2772000000004</v>
      </c>
      <c r="I5" s="28">
        <f>H5/D5</f>
        <v>0.27713429924684901</v>
      </c>
      <c r="J5" s="27">
        <f>SUM(C28:C37)</f>
        <v>14153.417699999995</v>
      </c>
      <c r="K5" s="29">
        <f>J5/F5</f>
        <v>0.27215030743424279</v>
      </c>
      <c r="L5" s="30">
        <v>3010.4886999999999</v>
      </c>
      <c r="M5" s="31">
        <f>L5/D5</f>
        <v>0.19592657712960945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91</v>
      </c>
      <c r="C12" s="37">
        <v>695.25</v>
      </c>
      <c r="D12" s="38">
        <v>3010</v>
      </c>
      <c r="E12" s="38">
        <v>3055</v>
      </c>
      <c r="F12" s="38">
        <v>0</v>
      </c>
      <c r="G12" s="37">
        <v>15.45</v>
      </c>
      <c r="H12" s="39">
        <f>(E12+F12)/D12</f>
        <v>1.0149501661129567</v>
      </c>
      <c r="I12" s="37">
        <v>695.25</v>
      </c>
      <c r="J12" s="38">
        <v>45</v>
      </c>
      <c r="K12" s="40">
        <f>J12/D12</f>
        <v>1.4950166112956811E-2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221</v>
      </c>
      <c r="Q12" s="45" t="s">
        <v>94</v>
      </c>
    </row>
    <row r="13" spans="1:17" s="46" customFormat="1" ht="24.95" customHeight="1">
      <c r="A13" s="47">
        <v>2</v>
      </c>
      <c r="B13" s="36" t="s">
        <v>186</v>
      </c>
      <c r="C13" s="37">
        <v>552.36509999999998</v>
      </c>
      <c r="D13" s="38">
        <v>166.18</v>
      </c>
      <c r="E13" s="38">
        <v>178.69</v>
      </c>
      <c r="F13" s="38">
        <v>0</v>
      </c>
      <c r="G13" s="37">
        <v>61.17</v>
      </c>
      <c r="H13" s="39">
        <f t="shared" ref="H13:H21" si="1">(E13+F13)/D13</f>
        <v>1.0752798170658322</v>
      </c>
      <c r="I13" s="37">
        <v>765.23669999999947</v>
      </c>
      <c r="J13" s="38">
        <v>9.0299999999999994</v>
      </c>
      <c r="K13" s="40">
        <f>J13/D13</f>
        <v>5.4338668913226619E-2</v>
      </c>
      <c r="L13" s="41">
        <f t="shared" ref="L13:L21" si="2">((E13+F13)-D13)-J13</f>
        <v>3.4799999999999915</v>
      </c>
      <c r="M13" s="42">
        <f t="shared" ref="M13:M21" si="3">L13/D13</f>
        <v>2.0941148152605556E-2</v>
      </c>
      <c r="N13" s="43">
        <f t="shared" si="0"/>
        <v>212.87159999999949</v>
      </c>
      <c r="O13" s="44" t="s">
        <v>88</v>
      </c>
      <c r="P13" s="44" t="s">
        <v>222</v>
      </c>
      <c r="Q13" s="45" t="s">
        <v>189</v>
      </c>
    </row>
    <row r="14" spans="1:17" s="46" customFormat="1" ht="24.95" customHeight="1">
      <c r="A14" s="47">
        <v>3</v>
      </c>
      <c r="B14" s="36" t="s">
        <v>101</v>
      </c>
      <c r="C14" s="37">
        <v>412.80399999999997</v>
      </c>
      <c r="D14" s="38">
        <v>448.7</v>
      </c>
      <c r="E14" s="38">
        <v>447.88</v>
      </c>
      <c r="F14" s="38">
        <v>9.3800000000000008</v>
      </c>
      <c r="G14" s="37">
        <v>147.43</v>
      </c>
      <c r="H14" s="39">
        <f>(E14+F14)/D14</f>
        <v>1.0190773345219524</v>
      </c>
      <c r="I14" s="37">
        <v>1262.0008000000005</v>
      </c>
      <c r="J14" s="38">
        <v>2.8</v>
      </c>
      <c r="K14" s="40">
        <f t="shared" ref="K14:K21" si="4">J14/D14</f>
        <v>6.2402496099843987E-3</v>
      </c>
      <c r="L14" s="41">
        <f t="shared" si="2"/>
        <v>5.7600000000000025</v>
      </c>
      <c r="M14" s="42">
        <f t="shared" si="3"/>
        <v>1.2837084911967913E-2</v>
      </c>
      <c r="N14" s="43">
        <f t="shared" si="0"/>
        <v>849.19680000000039</v>
      </c>
      <c r="O14" s="44" t="s">
        <v>88</v>
      </c>
      <c r="P14" s="44" t="s">
        <v>47</v>
      </c>
      <c r="Q14" s="45" t="s">
        <v>103</v>
      </c>
    </row>
    <row r="15" spans="1:17" s="46" customFormat="1" ht="24.95" customHeight="1">
      <c r="A15" s="35">
        <v>4</v>
      </c>
      <c r="B15" s="36" t="s">
        <v>98</v>
      </c>
      <c r="C15" s="37">
        <v>405.99</v>
      </c>
      <c r="D15" s="38">
        <v>5841</v>
      </c>
      <c r="E15" s="38">
        <v>5880</v>
      </c>
      <c r="F15" s="38">
        <v>0</v>
      </c>
      <c r="G15" s="37">
        <v>10.41</v>
      </c>
      <c r="H15" s="39">
        <f>(E15+F15)/D15</f>
        <v>1.0066769388803287</v>
      </c>
      <c r="I15" s="37">
        <v>405.99</v>
      </c>
      <c r="J15" s="38">
        <v>39</v>
      </c>
      <c r="K15" s="40">
        <f t="shared" si="4"/>
        <v>6.6769388803287104E-3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88</v>
      </c>
      <c r="P15" s="44" t="s">
        <v>223</v>
      </c>
      <c r="Q15" s="45" t="s">
        <v>100</v>
      </c>
    </row>
    <row r="16" spans="1:17" s="46" customFormat="1" ht="24.95" customHeight="1">
      <c r="A16" s="47">
        <v>5</v>
      </c>
      <c r="B16" s="36" t="s">
        <v>242</v>
      </c>
      <c r="C16" s="37">
        <v>392.34800000000001</v>
      </c>
      <c r="D16" s="38">
        <v>40.11</v>
      </c>
      <c r="E16" s="38">
        <v>44.51</v>
      </c>
      <c r="F16" s="38">
        <v>0</v>
      </c>
      <c r="G16" s="37">
        <v>89.17</v>
      </c>
      <c r="H16" s="39">
        <f t="shared" si="1"/>
        <v>1.1096983295936176</v>
      </c>
      <c r="I16" s="37">
        <v>392.3479999999999</v>
      </c>
      <c r="J16" s="38">
        <v>4.4000000000000004</v>
      </c>
      <c r="K16" s="40">
        <f t="shared" si="4"/>
        <v>0.10969832959361757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88</v>
      </c>
      <c r="P16" s="44" t="s">
        <v>89</v>
      </c>
      <c r="Q16" s="45" t="s">
        <v>211</v>
      </c>
    </row>
    <row r="17" spans="1:17" s="46" customFormat="1" ht="24.95" customHeight="1">
      <c r="A17" s="35">
        <v>6</v>
      </c>
      <c r="B17" s="36" t="s">
        <v>143</v>
      </c>
      <c r="C17" s="37">
        <v>371.37959999999998</v>
      </c>
      <c r="D17" s="38">
        <v>85.61</v>
      </c>
      <c r="E17" s="38">
        <v>88.350000000000009</v>
      </c>
      <c r="F17" s="38">
        <v>0</v>
      </c>
      <c r="G17" s="37">
        <v>135.54</v>
      </c>
      <c r="H17" s="39">
        <f t="shared" si="1"/>
        <v>1.032005606821633</v>
      </c>
      <c r="I17" s="37">
        <v>371.37960000000123</v>
      </c>
      <c r="J17" s="38">
        <v>2.74</v>
      </c>
      <c r="K17" s="40">
        <f t="shared" si="4"/>
        <v>3.200560682163299E-2</v>
      </c>
      <c r="L17" s="41">
        <f t="shared" si="2"/>
        <v>8.8817841970012523E-15</v>
      </c>
      <c r="M17" s="42">
        <f t="shared" si="3"/>
        <v>1.0374704119847275E-16</v>
      </c>
      <c r="N17" s="43">
        <f t="shared" si="0"/>
        <v>1.2038370300615496E-12</v>
      </c>
      <c r="O17" s="44" t="s">
        <v>88</v>
      </c>
      <c r="P17" s="44" t="s">
        <v>96</v>
      </c>
      <c r="Q17" s="45" t="s">
        <v>103</v>
      </c>
    </row>
    <row r="18" spans="1:17" s="46" customFormat="1" ht="24.95" customHeight="1">
      <c r="A18" s="47">
        <v>7</v>
      </c>
      <c r="B18" s="36" t="s">
        <v>171</v>
      </c>
      <c r="C18" s="37">
        <v>367.40199999999999</v>
      </c>
      <c r="D18" s="38">
        <v>108.49</v>
      </c>
      <c r="E18" s="38">
        <v>111.71</v>
      </c>
      <c r="F18" s="38">
        <v>0</v>
      </c>
      <c r="G18" s="37">
        <v>114.1</v>
      </c>
      <c r="H18" s="39">
        <f t="shared" si="1"/>
        <v>1.0296801548529819</v>
      </c>
      <c r="I18" s="37">
        <v>367.40199999999987</v>
      </c>
      <c r="J18" s="38">
        <v>3.22</v>
      </c>
      <c r="K18" s="40">
        <f t="shared" si="4"/>
        <v>2.9680154852981845E-2</v>
      </c>
      <c r="L18" s="41">
        <f>((E18+F18)-D18)-J18</f>
        <v>0</v>
      </c>
      <c r="M18" s="42">
        <f t="shared" si="3"/>
        <v>0</v>
      </c>
      <c r="N18" s="43">
        <f t="shared" si="0"/>
        <v>0</v>
      </c>
      <c r="O18" s="44" t="s">
        <v>88</v>
      </c>
      <c r="P18" s="44" t="s">
        <v>89</v>
      </c>
      <c r="Q18" s="45" t="s">
        <v>172</v>
      </c>
    </row>
    <row r="19" spans="1:17" s="46" customFormat="1" ht="24.95" customHeight="1">
      <c r="A19" s="35">
        <v>8</v>
      </c>
      <c r="B19" s="36" t="s">
        <v>150</v>
      </c>
      <c r="C19" s="37">
        <v>361.25849999999997</v>
      </c>
      <c r="D19" s="38">
        <v>108</v>
      </c>
      <c r="E19" s="38">
        <v>108.47</v>
      </c>
      <c r="F19" s="38">
        <v>3.6</v>
      </c>
      <c r="G19" s="37">
        <v>141.66999999999999</v>
      </c>
      <c r="H19" s="39">
        <f t="shared" si="1"/>
        <v>1.0376851851851852</v>
      </c>
      <c r="I19" s="37">
        <v>576.59689999999898</v>
      </c>
      <c r="J19" s="38">
        <v>2.5499999999999998</v>
      </c>
      <c r="K19" s="40">
        <f t="shared" si="4"/>
        <v>2.361111111111111E-2</v>
      </c>
      <c r="L19" s="41">
        <f t="shared" si="2"/>
        <v>1.5199999999999934</v>
      </c>
      <c r="M19" s="42">
        <f t="shared" si="3"/>
        <v>1.4074074074074013E-2</v>
      </c>
      <c r="N19" s="43">
        <f t="shared" si="0"/>
        <v>215.33839999999904</v>
      </c>
      <c r="O19" s="44" t="s">
        <v>88</v>
      </c>
      <c r="P19" s="44" t="s">
        <v>89</v>
      </c>
      <c r="Q19" s="45" t="s">
        <v>133</v>
      </c>
    </row>
    <row r="20" spans="1:17" s="46" customFormat="1" ht="24.95" customHeight="1">
      <c r="A20" s="47">
        <v>9</v>
      </c>
      <c r="B20" s="36" t="s">
        <v>190</v>
      </c>
      <c r="C20" s="37">
        <v>350.13</v>
      </c>
      <c r="D20" s="38">
        <v>1187</v>
      </c>
      <c r="E20" s="38">
        <v>1220</v>
      </c>
      <c r="F20" s="38">
        <v>0</v>
      </c>
      <c r="G20" s="37">
        <v>10.61</v>
      </c>
      <c r="H20" s="39">
        <f t="shared" si="1"/>
        <v>1.0278011794439763</v>
      </c>
      <c r="I20" s="37">
        <v>350.13</v>
      </c>
      <c r="J20" s="38">
        <v>33</v>
      </c>
      <c r="K20" s="40">
        <f t="shared" si="4"/>
        <v>2.780117944397641E-2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88</v>
      </c>
      <c r="P20" s="44" t="s">
        <v>223</v>
      </c>
      <c r="Q20" s="45" t="s">
        <v>189</v>
      </c>
    </row>
    <row r="21" spans="1:17" s="46" customFormat="1" ht="24.95" customHeight="1" thickBot="1">
      <c r="A21" s="48">
        <v>10</v>
      </c>
      <c r="B21" s="49" t="s">
        <v>168</v>
      </c>
      <c r="C21" s="50">
        <v>349.34999999999997</v>
      </c>
      <c r="D21" s="51">
        <v>11229</v>
      </c>
      <c r="E21" s="51">
        <v>11152</v>
      </c>
      <c r="F21" s="51">
        <v>488</v>
      </c>
      <c r="G21" s="50">
        <v>0.85</v>
      </c>
      <c r="H21" s="52">
        <f t="shared" si="1"/>
        <v>1.0366016564253273</v>
      </c>
      <c r="I21" s="50">
        <v>349.34999999999997</v>
      </c>
      <c r="J21" s="51">
        <v>411</v>
      </c>
      <c r="K21" s="53">
        <f t="shared" si="4"/>
        <v>3.6601656425327277E-2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88</v>
      </c>
      <c r="P21" s="57" t="s">
        <v>223</v>
      </c>
      <c r="Q21" s="58" t="s">
        <v>103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170</v>
      </c>
      <c r="C28" s="37">
        <v>2902.3147999999974</v>
      </c>
      <c r="D28" s="38">
        <v>82.37</v>
      </c>
      <c r="E28" s="38">
        <v>83.26</v>
      </c>
      <c r="F28" s="38">
        <v>6.93</v>
      </c>
      <c r="G28" s="37">
        <v>371.14</v>
      </c>
      <c r="H28" s="68">
        <f t="shared" ref="H28:H37" si="5">(E28+F28)/D28</f>
        <v>1.0949374772368581</v>
      </c>
      <c r="I28" s="37">
        <v>2902.3147999999974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7.8199999999999932</v>
      </c>
      <c r="N28" s="42">
        <f t="shared" ref="N28:N37" si="9">M28/D28</f>
        <v>9.4937477236857998E-2</v>
      </c>
      <c r="O28" s="44" t="s">
        <v>116</v>
      </c>
      <c r="P28" s="44" t="s">
        <v>89</v>
      </c>
      <c r="Q28" s="45" t="s">
        <v>103</v>
      </c>
    </row>
    <row r="29" spans="1:17" s="67" customFormat="1" ht="24.95" customHeight="1">
      <c r="A29" s="47">
        <v>2</v>
      </c>
      <c r="B29" s="36" t="s">
        <v>155</v>
      </c>
      <c r="C29" s="37">
        <v>1612.2102000000007</v>
      </c>
      <c r="D29" s="38">
        <v>52.44</v>
      </c>
      <c r="E29" s="38">
        <v>52.5</v>
      </c>
      <c r="F29" s="38">
        <v>2.4</v>
      </c>
      <c r="G29" s="37">
        <v>655.37</v>
      </c>
      <c r="H29" s="68">
        <f t="shared" si="5"/>
        <v>1.0469107551487415</v>
      </c>
      <c r="I29" s="37">
        <v>1612.2102000000007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2.4600000000000009</v>
      </c>
      <c r="N29" s="42">
        <f t="shared" si="9"/>
        <v>4.6910755148741434E-2</v>
      </c>
      <c r="O29" s="44" t="s">
        <v>116</v>
      </c>
      <c r="P29" s="44" t="s">
        <v>89</v>
      </c>
      <c r="Q29" s="45" t="s">
        <v>122</v>
      </c>
    </row>
    <row r="30" spans="1:17" s="67" customFormat="1" ht="24.95" customHeight="1">
      <c r="A30" s="47">
        <v>3</v>
      </c>
      <c r="B30" s="36" t="s">
        <v>151</v>
      </c>
      <c r="C30" s="37">
        <v>1536.396800000005</v>
      </c>
      <c r="D30" s="38">
        <v>38.94</v>
      </c>
      <c r="E30" s="38">
        <v>39.06</v>
      </c>
      <c r="F30" s="38">
        <v>2.2000000000000002</v>
      </c>
      <c r="G30" s="37">
        <v>662.24</v>
      </c>
      <c r="H30" s="68">
        <f t="shared" si="5"/>
        <v>1.0595788392398564</v>
      </c>
      <c r="I30" s="37">
        <v>1536.396800000005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2.3200000000000074</v>
      </c>
      <c r="N30" s="42">
        <f t="shared" si="9"/>
        <v>5.9578839239856379E-2</v>
      </c>
      <c r="O30" s="44" t="s">
        <v>116</v>
      </c>
      <c r="P30" s="44" t="s">
        <v>89</v>
      </c>
      <c r="Q30" s="45" t="s">
        <v>100</v>
      </c>
    </row>
    <row r="31" spans="1:17" s="67" customFormat="1" ht="24.95" customHeight="1">
      <c r="A31" s="35">
        <v>4</v>
      </c>
      <c r="B31" s="36" t="s">
        <v>167</v>
      </c>
      <c r="C31" s="37">
        <v>1432.4039999999991</v>
      </c>
      <c r="D31" s="38">
        <v>12.97</v>
      </c>
      <c r="E31" s="38">
        <v>13.27</v>
      </c>
      <c r="F31" s="38">
        <v>1.5</v>
      </c>
      <c r="G31" s="37">
        <v>795.78</v>
      </c>
      <c r="H31" s="68">
        <f t="shared" si="5"/>
        <v>1.1387818041634541</v>
      </c>
      <c r="I31" s="37">
        <v>1432.4039999999991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1.7999999999999989</v>
      </c>
      <c r="N31" s="42">
        <f t="shared" si="9"/>
        <v>0.13878180416345404</v>
      </c>
      <c r="O31" s="44" t="s">
        <v>116</v>
      </c>
      <c r="P31" s="44" t="s">
        <v>89</v>
      </c>
      <c r="Q31" s="45" t="s">
        <v>147</v>
      </c>
    </row>
    <row r="32" spans="1:17" s="67" customFormat="1" ht="24.95" customHeight="1">
      <c r="A32" s="47">
        <v>5</v>
      </c>
      <c r="B32" s="36" t="s">
        <v>169</v>
      </c>
      <c r="C32" s="37">
        <v>1348.9261999999985</v>
      </c>
      <c r="D32" s="38">
        <v>281.82</v>
      </c>
      <c r="E32" s="38">
        <v>282.83</v>
      </c>
      <c r="F32" s="38">
        <v>18.2</v>
      </c>
      <c r="G32" s="37">
        <v>70.22</v>
      </c>
      <c r="H32" s="68">
        <f t="shared" si="5"/>
        <v>1.0681640763607976</v>
      </c>
      <c r="I32" s="37">
        <v>1348.9261999999985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19.20999999999998</v>
      </c>
      <c r="N32" s="42">
        <f t="shared" si="9"/>
        <v>6.8164076360797604E-2</v>
      </c>
      <c r="O32" s="44" t="s">
        <v>116</v>
      </c>
      <c r="P32" s="44" t="s">
        <v>121</v>
      </c>
      <c r="Q32" s="45" t="s">
        <v>90</v>
      </c>
    </row>
    <row r="33" spans="1:17" s="67" customFormat="1" ht="24.95" customHeight="1">
      <c r="A33" s="35">
        <v>6</v>
      </c>
      <c r="B33" s="36" t="s">
        <v>152</v>
      </c>
      <c r="C33" s="37">
        <v>1220.2599999999986</v>
      </c>
      <c r="D33" s="38">
        <v>23.44</v>
      </c>
      <c r="E33" s="38">
        <v>25.38</v>
      </c>
      <c r="F33" s="38">
        <v>0</v>
      </c>
      <c r="G33" s="37">
        <v>629</v>
      </c>
      <c r="H33" s="68">
        <f t="shared" si="5"/>
        <v>1.0827645051194539</v>
      </c>
      <c r="I33" s="37">
        <v>1220.2599999999986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1.9399999999999977</v>
      </c>
      <c r="N33" s="42">
        <f t="shared" si="9"/>
        <v>8.2764505119453824E-2</v>
      </c>
      <c r="O33" s="44" t="s">
        <v>116</v>
      </c>
      <c r="P33" s="44" t="s">
        <v>89</v>
      </c>
      <c r="Q33" s="45" t="s">
        <v>105</v>
      </c>
    </row>
    <row r="34" spans="1:17" s="67" customFormat="1" ht="24.95" customHeight="1">
      <c r="A34" s="47">
        <v>7</v>
      </c>
      <c r="B34" s="36" t="s">
        <v>181</v>
      </c>
      <c r="C34" s="37">
        <v>1123.4050999999974</v>
      </c>
      <c r="D34" s="38">
        <v>64.17</v>
      </c>
      <c r="E34" s="38">
        <v>63.96</v>
      </c>
      <c r="F34" s="38">
        <v>3.28</v>
      </c>
      <c r="G34" s="37">
        <v>365.93</v>
      </c>
      <c r="H34" s="68">
        <f t="shared" si="5"/>
        <v>1.0478416705625682</v>
      </c>
      <c r="I34" s="37">
        <v>1123.4050999999974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3.0699999999999932</v>
      </c>
      <c r="N34" s="42">
        <f t="shared" si="9"/>
        <v>4.7841670562568071E-2</v>
      </c>
      <c r="O34" s="44" t="s">
        <v>116</v>
      </c>
      <c r="P34" s="44" t="s">
        <v>89</v>
      </c>
      <c r="Q34" s="45" t="s">
        <v>182</v>
      </c>
    </row>
    <row r="35" spans="1:17" s="67" customFormat="1" ht="24.95" customHeight="1">
      <c r="A35" s="35">
        <v>8</v>
      </c>
      <c r="B35" s="36" t="s">
        <v>142</v>
      </c>
      <c r="C35" s="37">
        <v>1073.1527999999937</v>
      </c>
      <c r="D35" s="38">
        <v>97.54</v>
      </c>
      <c r="E35" s="38">
        <v>97.55</v>
      </c>
      <c r="F35" s="38">
        <v>1.61</v>
      </c>
      <c r="G35" s="37">
        <v>662.44</v>
      </c>
      <c r="H35" s="68">
        <f t="shared" si="5"/>
        <v>1.016608570842731</v>
      </c>
      <c r="I35" s="37">
        <v>1073.1527999999937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1.6199999999999903</v>
      </c>
      <c r="N35" s="42">
        <f t="shared" si="9"/>
        <v>1.6608570842731086E-2</v>
      </c>
      <c r="O35" s="44" t="s">
        <v>116</v>
      </c>
      <c r="P35" s="44" t="s">
        <v>89</v>
      </c>
      <c r="Q35" s="45" t="s">
        <v>103</v>
      </c>
    </row>
    <row r="36" spans="1:17" s="67" customFormat="1" ht="24.95" customHeight="1">
      <c r="A36" s="47">
        <v>9</v>
      </c>
      <c r="B36" s="36" t="s">
        <v>119</v>
      </c>
      <c r="C36" s="37">
        <v>955.22760000000244</v>
      </c>
      <c r="D36" s="38">
        <v>557.17999999999995</v>
      </c>
      <c r="E36" s="38">
        <v>544.02</v>
      </c>
      <c r="F36" s="38">
        <v>42.08</v>
      </c>
      <c r="G36" s="37">
        <v>33.03</v>
      </c>
      <c r="H36" s="68">
        <f t="shared" si="5"/>
        <v>1.0519042320255574</v>
      </c>
      <c r="I36" s="37">
        <v>955.22760000000244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28.920000000000073</v>
      </c>
      <c r="N36" s="42">
        <f t="shared" si="9"/>
        <v>5.1904232025557405E-2</v>
      </c>
      <c r="O36" s="44" t="s">
        <v>131</v>
      </c>
      <c r="P36" s="69" t="s">
        <v>243</v>
      </c>
      <c r="Q36" s="45" t="s">
        <v>122</v>
      </c>
    </row>
    <row r="37" spans="1:17" s="67" customFormat="1" ht="24.95" customHeight="1" thickBot="1">
      <c r="A37" s="48">
        <v>10</v>
      </c>
      <c r="B37" s="49" t="s">
        <v>125</v>
      </c>
      <c r="C37" s="50">
        <v>949.12020000000075</v>
      </c>
      <c r="D37" s="51">
        <v>38.43</v>
      </c>
      <c r="E37" s="51">
        <v>38.42</v>
      </c>
      <c r="F37" s="51">
        <v>1.54</v>
      </c>
      <c r="G37" s="50">
        <v>620.34</v>
      </c>
      <c r="H37" s="70">
        <f t="shared" si="5"/>
        <v>1.0398126463700235</v>
      </c>
      <c r="I37" s="50">
        <v>949.12020000000075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1.5300000000000011</v>
      </c>
      <c r="N37" s="55">
        <f t="shared" si="9"/>
        <v>3.981264637002345E-2</v>
      </c>
      <c r="O37" s="57" t="s">
        <v>131</v>
      </c>
      <c r="P37" s="57" t="s">
        <v>89</v>
      </c>
      <c r="Q37" s="58" t="s">
        <v>126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101</v>
      </c>
      <c r="C44" s="37">
        <v>412.80399999999997</v>
      </c>
      <c r="D44" s="76">
        <f t="shared" ref="D44:D53" si="10">C44/$L$5</f>
        <v>0.13712192309507756</v>
      </c>
      <c r="E44" s="77"/>
    </row>
    <row r="45" spans="1:17" s="78" customFormat="1" ht="24.95" customHeight="1">
      <c r="A45" s="79">
        <v>2</v>
      </c>
      <c r="B45" s="36" t="s">
        <v>143</v>
      </c>
      <c r="C45" s="37">
        <v>371.37959999999998</v>
      </c>
      <c r="D45" s="76">
        <f t="shared" si="10"/>
        <v>0.12336189802007894</v>
      </c>
      <c r="E45" s="77"/>
    </row>
    <row r="46" spans="1:17" s="78" customFormat="1" ht="24.95" customHeight="1">
      <c r="A46" s="79">
        <v>3</v>
      </c>
      <c r="B46" s="36" t="s">
        <v>168</v>
      </c>
      <c r="C46" s="37">
        <v>349.34999999999997</v>
      </c>
      <c r="D46" s="76">
        <f t="shared" si="10"/>
        <v>0.11604428211273471</v>
      </c>
      <c r="E46" s="77"/>
    </row>
    <row r="47" spans="1:17" s="78" customFormat="1" ht="24.95" customHeight="1">
      <c r="A47" s="75">
        <v>4</v>
      </c>
      <c r="B47" s="36" t="s">
        <v>138</v>
      </c>
      <c r="C47" s="37">
        <v>343.97999999999996</v>
      </c>
      <c r="D47" s="76">
        <f t="shared" si="10"/>
        <v>0.11426051856630452</v>
      </c>
      <c r="E47" s="77"/>
    </row>
    <row r="48" spans="1:17" s="78" customFormat="1" ht="24.95" customHeight="1">
      <c r="A48" s="79">
        <v>5</v>
      </c>
      <c r="B48" s="36" t="s">
        <v>137</v>
      </c>
      <c r="C48" s="37">
        <v>311.15000000000003</v>
      </c>
      <c r="D48" s="76">
        <f t="shared" si="10"/>
        <v>0.10335531237835241</v>
      </c>
      <c r="E48" s="77"/>
    </row>
    <row r="49" spans="1:5" s="78" customFormat="1" ht="24.95" customHeight="1">
      <c r="A49" s="75">
        <v>6</v>
      </c>
      <c r="B49" s="36" t="s">
        <v>139</v>
      </c>
      <c r="C49" s="37">
        <v>264.62880000000001</v>
      </c>
      <c r="D49" s="76">
        <f t="shared" si="10"/>
        <v>8.79022731425632E-2</v>
      </c>
      <c r="E49" s="77"/>
    </row>
    <row r="50" spans="1:5" s="78" customFormat="1" ht="24.95" customHeight="1">
      <c r="A50" s="79">
        <v>7</v>
      </c>
      <c r="B50" s="36" t="s">
        <v>106</v>
      </c>
      <c r="C50" s="37">
        <v>186.345</v>
      </c>
      <c r="D50" s="76">
        <f t="shared" si="10"/>
        <v>6.1898588093022906E-2</v>
      </c>
      <c r="E50" s="77"/>
    </row>
    <row r="51" spans="1:5" s="78" customFormat="1" ht="24.95" customHeight="1">
      <c r="A51" s="75">
        <v>8</v>
      </c>
      <c r="B51" s="36" t="s">
        <v>159</v>
      </c>
      <c r="C51" s="37">
        <v>183.83799999999999</v>
      </c>
      <c r="D51" s="76">
        <f t="shared" si="10"/>
        <v>6.1065832932706239E-2</v>
      </c>
      <c r="E51" s="77"/>
    </row>
    <row r="52" spans="1:5" s="78" customFormat="1" ht="24.95" customHeight="1">
      <c r="A52" s="79">
        <v>9</v>
      </c>
      <c r="B52" s="36" t="s">
        <v>141</v>
      </c>
      <c r="C52" s="37">
        <v>177.93</v>
      </c>
      <c r="D52" s="76">
        <f t="shared" si="10"/>
        <v>5.9103360859650463E-2</v>
      </c>
      <c r="E52" s="77"/>
    </row>
    <row r="53" spans="1:5" s="78" customFormat="1" ht="24.95" customHeight="1" thickBot="1">
      <c r="A53" s="80">
        <v>10</v>
      </c>
      <c r="B53" s="49" t="s">
        <v>140</v>
      </c>
      <c r="C53" s="50">
        <v>140</v>
      </c>
      <c r="D53" s="81">
        <f t="shared" si="10"/>
        <v>4.650407756056351E-2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09" priority="34" operator="containsText" text="中華">
      <formula>NOT(ISERROR(SEARCH("中華",A12)))</formula>
    </cfRule>
    <cfRule type="containsText" dxfId="508" priority="33" operator="containsText" text="湯凍">
      <formula>NOT(ISERROR(SEARCH("湯凍",A12)))</formula>
    </cfRule>
    <cfRule type="containsText" dxfId="507" priority="32" operator="containsText" text=")川燙小青花菜">
      <formula>NOT(ISERROR(SEARCH(")川燙小青花菜",A12)))</formula>
    </cfRule>
    <cfRule type="containsText" dxfId="506" priority="31" operator="containsText" text="青蔥">
      <formula>NOT(ISERROR(SEARCH("青蔥",A12)))</formula>
    </cfRule>
    <cfRule type="containsText" dxfId="505" priority="30" operator="containsText" text="白醬">
      <formula>NOT(ISERROR(SEARCH("白醬",A12)))</formula>
    </cfRule>
    <cfRule type="containsText" dxfId="504" priority="29" operator="containsText" text="024">
      <formula>NOT(ISERROR(SEARCH("024",A12)))</formula>
    </cfRule>
    <cfRule type="containsText" dxfId="503" priority="28" operator="containsText" text="煮白細麵生(方#12)">
      <formula>NOT(ISERROR(SEARCH("煮白細麵生(方#12)",A12)))</formula>
    </cfRule>
    <cfRule type="containsText" dxfId="502" priority="27" operator="containsText" text="綠豆芽">
      <formula>NOT(ISERROR(SEARCH("綠豆芽",A12)))</formula>
    </cfRule>
  </conditionalFormatting>
  <conditionalFormatting sqref="A28:A37">
    <cfRule type="containsText" dxfId="501" priority="5" operator="containsText" text="綠豆芽">
      <formula>NOT(ISERROR(SEARCH("綠豆芽",A28)))</formula>
    </cfRule>
    <cfRule type="containsText" dxfId="500" priority="6" operator="containsText" text="煮白細麵生(方#12)">
      <formula>NOT(ISERROR(SEARCH("煮白細麵生(方#12)",A28)))</formula>
    </cfRule>
    <cfRule type="containsText" dxfId="499" priority="7" operator="containsText" text="024">
      <formula>NOT(ISERROR(SEARCH("024",A28)))</formula>
    </cfRule>
    <cfRule type="containsText" dxfId="498" priority="8" operator="containsText" text="白醬">
      <formula>NOT(ISERROR(SEARCH("白醬",A28)))</formula>
    </cfRule>
    <cfRule type="containsText" dxfId="497" priority="9" operator="containsText" text="青蔥">
      <formula>NOT(ISERROR(SEARCH("青蔥",A28)))</formula>
    </cfRule>
    <cfRule type="containsText" dxfId="496" priority="10" operator="containsText" text=")川燙小青花菜">
      <formula>NOT(ISERROR(SEARCH(")川燙小青花菜",A28)))</formula>
    </cfRule>
    <cfRule type="containsText" dxfId="495" priority="11" operator="containsText" text="湯凍">
      <formula>NOT(ISERROR(SEARCH("湯凍",A28)))</formula>
    </cfRule>
    <cfRule type="containsText" dxfId="494" priority="12" operator="containsText" text="中華">
      <formula>NOT(ISERROR(SEARCH("中華",A28)))</formula>
    </cfRule>
  </conditionalFormatting>
  <conditionalFormatting sqref="A44:A53">
    <cfRule type="containsText" dxfId="493" priority="17" operator="containsText" text="綠豆芽">
      <formula>NOT(ISERROR(SEARCH("綠豆芽",A44)))</formula>
    </cfRule>
    <cfRule type="containsText" dxfId="492" priority="18" operator="containsText" text="煮白細麵生(方#12)">
      <formula>NOT(ISERROR(SEARCH("煮白細麵生(方#12)",A44)))</formula>
    </cfRule>
    <cfRule type="containsText" dxfId="491" priority="19" operator="containsText" text="024">
      <formula>NOT(ISERROR(SEARCH("024",A44)))</formula>
    </cfRule>
    <cfRule type="containsText" dxfId="490" priority="20" operator="containsText" text="白醬">
      <formula>NOT(ISERROR(SEARCH("白醬",A44)))</formula>
    </cfRule>
    <cfRule type="containsText" dxfId="489" priority="21" operator="containsText" text="青蔥">
      <formula>NOT(ISERROR(SEARCH("青蔥",A44)))</formula>
    </cfRule>
    <cfRule type="containsText" dxfId="488" priority="22" operator="containsText" text=")川燙小青花菜">
      <formula>NOT(ISERROR(SEARCH(")川燙小青花菜",A44)))</formula>
    </cfRule>
    <cfRule type="containsText" dxfId="487" priority="23" operator="containsText" text="湯凍">
      <formula>NOT(ISERROR(SEARCH("湯凍",A44)))</formula>
    </cfRule>
    <cfRule type="containsText" dxfId="486" priority="24" operator="containsText" text="中華">
      <formula>NOT(ISERROR(SEARCH("中華",A44)))</formula>
    </cfRule>
  </conditionalFormatting>
  <conditionalFormatting sqref="D44:D53">
    <cfRule type="cellIs" dxfId="485" priority="16" operator="greaterThan">
      <formula>0.146</formula>
    </cfRule>
  </conditionalFormatting>
  <conditionalFormatting sqref="E5">
    <cfRule type="cellIs" dxfId="484" priority="25" operator="greaterThan">
      <formula>0.072</formula>
    </cfRule>
    <cfRule type="cellIs" dxfId="483" priority="26" operator="greaterThan">
      <formula>7.2</formula>
    </cfRule>
    <cfRule type="cellIs" dxfId="482" priority="14" operator="greaterThan">
      <formula>0.0025</formula>
    </cfRule>
  </conditionalFormatting>
  <conditionalFormatting sqref="G5">
    <cfRule type="cellIs" dxfId="481" priority="3" operator="greaterThan">
      <formula>7.2</formula>
    </cfRule>
    <cfRule type="cellIs" dxfId="480" priority="2" operator="greaterThan">
      <formula>0.072</formula>
    </cfRule>
    <cfRule type="cellIs" dxfId="479" priority="1" operator="greaterThan">
      <formula>0.0025</formula>
    </cfRule>
  </conditionalFormatting>
  <conditionalFormatting sqref="H12:H22">
    <cfRule type="cellIs" dxfId="478" priority="15" operator="greaterThan">
      <formula>1.1</formula>
    </cfRule>
  </conditionalFormatting>
  <conditionalFormatting sqref="H28:H37">
    <cfRule type="cellIs" dxfId="477" priority="4" operator="greaterThan">
      <formula>1.1</formula>
    </cfRule>
  </conditionalFormatting>
  <conditionalFormatting sqref="I5">
    <cfRule type="cellIs" dxfId="47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355F-0E60-4E5F-9B34-FA132BE4312B}">
  <sheetPr>
    <tabColor rgb="FFFF0000"/>
    <pageSetUpPr fitToPage="1"/>
  </sheetPr>
  <dimension ref="A1:Q56"/>
  <sheetViews>
    <sheetView topLeftCell="A13" zoomScale="70" zoomScaleNormal="70" workbookViewId="0">
      <selection activeCell="Q28" sqref="Q28:Q37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45883</v>
      </c>
      <c r="B3" s="150"/>
      <c r="C3" s="151">
        <v>7479649.0499999998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18102.072999999989</v>
      </c>
      <c r="E5" s="25">
        <f>D5/C3</f>
        <v>2.4201767862357111E-3</v>
      </c>
      <c r="F5" s="24">
        <v>61257.18829999998</v>
      </c>
      <c r="G5" s="26">
        <f>F5/C3</f>
        <v>8.1898479314346951E-3</v>
      </c>
      <c r="H5" s="27">
        <f>SUM(C12:C21)</f>
        <v>7271.5655000000006</v>
      </c>
      <c r="I5" s="28">
        <f>H5/D5</f>
        <v>0.40169794365540373</v>
      </c>
      <c r="J5" s="27">
        <f>SUM(C28:C37)</f>
        <v>23636.318300000006</v>
      </c>
      <c r="K5" s="29">
        <f>J5/F5</f>
        <v>0.38585379048486323</v>
      </c>
      <c r="L5" s="30">
        <v>4829.1512000000002</v>
      </c>
      <c r="M5" s="31">
        <f>L5/D5</f>
        <v>0.26677338004326923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134</v>
      </c>
      <c r="C12" s="37">
        <v>1686.0516</v>
      </c>
      <c r="D12" s="38">
        <v>295.45</v>
      </c>
      <c r="E12" s="38">
        <v>306.13</v>
      </c>
      <c r="F12" s="38">
        <v>0</v>
      </c>
      <c r="G12" s="37">
        <v>157.87</v>
      </c>
      <c r="H12" s="39">
        <f>(E12+F12)/D12</f>
        <v>1.0361482484345914</v>
      </c>
      <c r="I12" s="37">
        <v>1686.0516000000011</v>
      </c>
      <c r="J12" s="38">
        <v>10.68</v>
      </c>
      <c r="K12" s="40">
        <f>J12/D12</f>
        <v>3.6148248434591301E-2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89</v>
      </c>
      <c r="Q12" s="45" t="s">
        <v>103</v>
      </c>
    </row>
    <row r="13" spans="1:17" s="46" customFormat="1" ht="24.95" customHeight="1">
      <c r="A13" s="47">
        <v>2</v>
      </c>
      <c r="B13" s="36" t="s">
        <v>193</v>
      </c>
      <c r="C13" s="37">
        <v>1681.2528</v>
      </c>
      <c r="D13" s="38">
        <v>68.52</v>
      </c>
      <c r="E13" s="38">
        <v>83.949999999999989</v>
      </c>
      <c r="F13" s="38">
        <v>0</v>
      </c>
      <c r="G13" s="37">
        <v>108.96</v>
      </c>
      <c r="H13" s="39">
        <f t="shared" ref="H13:H21" si="1">(E13+F13)/D13</f>
        <v>1.2251897256275539</v>
      </c>
      <c r="I13" s="37">
        <v>1681.2527999999991</v>
      </c>
      <c r="J13" s="38">
        <v>15.43</v>
      </c>
      <c r="K13" s="40">
        <f>J13/D13</f>
        <v>0.22518972562755402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96</v>
      </c>
      <c r="Q13" s="45" t="s">
        <v>122</v>
      </c>
    </row>
    <row r="14" spans="1:17" s="46" customFormat="1" ht="24.95" customHeight="1">
      <c r="A14" s="47">
        <v>3</v>
      </c>
      <c r="B14" s="36" t="s">
        <v>91</v>
      </c>
      <c r="C14" s="37">
        <v>942.44999999999993</v>
      </c>
      <c r="D14" s="38">
        <v>4007</v>
      </c>
      <c r="E14" s="38">
        <v>4068</v>
      </c>
      <c r="F14" s="38">
        <v>0</v>
      </c>
      <c r="G14" s="37">
        <v>15.45</v>
      </c>
      <c r="H14" s="39">
        <f>(E14+F14)/D14</f>
        <v>1.0152233591215374</v>
      </c>
      <c r="I14" s="37">
        <v>942.44999999999993</v>
      </c>
      <c r="J14" s="38">
        <v>61</v>
      </c>
      <c r="K14" s="40">
        <f t="shared" ref="K14:K21" si="4">J14/D14</f>
        <v>1.522335912153731E-2</v>
      </c>
      <c r="L14" s="41">
        <f t="shared" si="2"/>
        <v>0</v>
      </c>
      <c r="M14" s="42">
        <f t="shared" si="3"/>
        <v>0</v>
      </c>
      <c r="N14" s="43">
        <f t="shared" si="0"/>
        <v>0</v>
      </c>
      <c r="O14" s="44" t="s">
        <v>88</v>
      </c>
      <c r="P14" s="44" t="s">
        <v>221</v>
      </c>
      <c r="Q14" s="45" t="s">
        <v>94</v>
      </c>
    </row>
    <row r="15" spans="1:17" s="46" customFormat="1" ht="24.95" customHeight="1">
      <c r="A15" s="35">
        <v>4</v>
      </c>
      <c r="B15" s="36" t="s">
        <v>143</v>
      </c>
      <c r="C15" s="37">
        <v>582.82199999999989</v>
      </c>
      <c r="D15" s="38">
        <v>97.5</v>
      </c>
      <c r="E15" s="38">
        <v>101.8</v>
      </c>
      <c r="F15" s="38">
        <v>0</v>
      </c>
      <c r="G15" s="37">
        <v>135.54</v>
      </c>
      <c r="H15" s="39">
        <f>(E15+F15)/D15</f>
        <v>1.0441025641025641</v>
      </c>
      <c r="I15" s="37">
        <v>582.82199999999955</v>
      </c>
      <c r="J15" s="38">
        <v>4.3</v>
      </c>
      <c r="K15" s="40">
        <f t="shared" si="4"/>
        <v>4.41025641025641E-2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88</v>
      </c>
      <c r="P15" s="44" t="s">
        <v>89</v>
      </c>
      <c r="Q15" s="45" t="s">
        <v>103</v>
      </c>
    </row>
    <row r="16" spans="1:17" s="46" customFormat="1" ht="24.95" customHeight="1">
      <c r="A16" s="47">
        <v>5</v>
      </c>
      <c r="B16" s="36" t="s">
        <v>215</v>
      </c>
      <c r="C16" s="37">
        <v>457.67039999999997</v>
      </c>
      <c r="D16" s="38">
        <v>247.25</v>
      </c>
      <c r="E16" s="38">
        <v>249.67</v>
      </c>
      <c r="F16" s="38">
        <v>0</v>
      </c>
      <c r="G16" s="37">
        <v>189.12</v>
      </c>
      <c r="H16" s="39">
        <f t="shared" si="1"/>
        <v>1.0097876643073811</v>
      </c>
      <c r="I16" s="37">
        <v>457.67039999999764</v>
      </c>
      <c r="J16" s="38">
        <v>2.42</v>
      </c>
      <c r="K16" s="40">
        <f t="shared" si="4"/>
        <v>9.7876643073811932E-3</v>
      </c>
      <c r="L16" s="41">
        <f t="shared" si="2"/>
        <v>-1.2434497875801753E-14</v>
      </c>
      <c r="M16" s="42">
        <f t="shared" si="3"/>
        <v>-5.0291194644294249E-17</v>
      </c>
      <c r="N16" s="43">
        <f t="shared" si="0"/>
        <v>-2.3516122382716278E-12</v>
      </c>
      <c r="O16" s="44" t="s">
        <v>88</v>
      </c>
      <c r="P16" s="44" t="s">
        <v>89</v>
      </c>
      <c r="Q16" s="45" t="s">
        <v>216</v>
      </c>
    </row>
    <row r="17" spans="1:17" s="46" customFormat="1" ht="24.95" customHeight="1">
      <c r="A17" s="35">
        <v>6</v>
      </c>
      <c r="B17" s="36" t="s">
        <v>186</v>
      </c>
      <c r="C17" s="37">
        <v>444.0942</v>
      </c>
      <c r="D17" s="38">
        <v>170.52</v>
      </c>
      <c r="E17" s="38">
        <v>178.56</v>
      </c>
      <c r="F17" s="38">
        <v>0</v>
      </c>
      <c r="G17" s="37">
        <v>61.17</v>
      </c>
      <c r="H17" s="39">
        <f t="shared" si="1"/>
        <v>1.0471498944405349</v>
      </c>
      <c r="I17" s="37">
        <v>491.80679999999955</v>
      </c>
      <c r="J17" s="38">
        <v>7.26</v>
      </c>
      <c r="K17" s="40">
        <f t="shared" si="4"/>
        <v>4.2575650950035182E-2</v>
      </c>
      <c r="L17" s="41">
        <f t="shared" si="2"/>
        <v>0.77999999999999226</v>
      </c>
      <c r="M17" s="42">
        <f t="shared" si="3"/>
        <v>4.5742434904996023E-3</v>
      </c>
      <c r="N17" s="43">
        <f t="shared" si="0"/>
        <v>47.712599999999526</v>
      </c>
      <c r="O17" s="44" t="s">
        <v>88</v>
      </c>
      <c r="P17" s="44" t="s">
        <v>222</v>
      </c>
      <c r="Q17" s="45" t="s">
        <v>189</v>
      </c>
    </row>
    <row r="18" spans="1:17" s="46" customFormat="1" ht="24.95" customHeight="1">
      <c r="A18" s="47">
        <v>7</v>
      </c>
      <c r="B18" s="36" t="s">
        <v>190</v>
      </c>
      <c r="C18" s="37">
        <v>371.34999999999997</v>
      </c>
      <c r="D18" s="38">
        <v>1218</v>
      </c>
      <c r="E18" s="38">
        <v>1253</v>
      </c>
      <c r="F18" s="38">
        <v>0</v>
      </c>
      <c r="G18" s="37">
        <v>10.61</v>
      </c>
      <c r="H18" s="39">
        <f t="shared" si="1"/>
        <v>1.0287356321839081</v>
      </c>
      <c r="I18" s="37">
        <v>371.34999999999997</v>
      </c>
      <c r="J18" s="38">
        <v>35</v>
      </c>
      <c r="K18" s="40">
        <f t="shared" si="4"/>
        <v>2.8735632183908046E-2</v>
      </c>
      <c r="L18" s="41">
        <f>((E18+F18)-D18)-J18</f>
        <v>0</v>
      </c>
      <c r="M18" s="42">
        <f t="shared" si="3"/>
        <v>0</v>
      </c>
      <c r="N18" s="43">
        <f t="shared" si="0"/>
        <v>0</v>
      </c>
      <c r="O18" s="44" t="s">
        <v>88</v>
      </c>
      <c r="P18" s="44" t="s">
        <v>223</v>
      </c>
      <c r="Q18" s="45" t="s">
        <v>189</v>
      </c>
    </row>
    <row r="19" spans="1:17" s="46" customFormat="1" ht="24.95" customHeight="1">
      <c r="A19" s="35">
        <v>8</v>
      </c>
      <c r="B19" s="36" t="s">
        <v>150</v>
      </c>
      <c r="C19" s="37">
        <v>371.17539999999997</v>
      </c>
      <c r="D19" s="38">
        <v>116.76</v>
      </c>
      <c r="E19" s="38">
        <v>121.3</v>
      </c>
      <c r="F19" s="38">
        <v>0</v>
      </c>
      <c r="G19" s="37">
        <v>141.66999999999999</v>
      </c>
      <c r="H19" s="39">
        <f t="shared" si="1"/>
        <v>1.038883179170949</v>
      </c>
      <c r="I19" s="37">
        <v>643.18179999999882</v>
      </c>
      <c r="J19" s="38">
        <v>2.62</v>
      </c>
      <c r="K19" s="40">
        <f t="shared" si="4"/>
        <v>2.2439191503939707E-2</v>
      </c>
      <c r="L19" s="41">
        <f t="shared" si="2"/>
        <v>1.9199999999999919</v>
      </c>
      <c r="M19" s="42">
        <f t="shared" si="3"/>
        <v>1.6443987667009181E-2</v>
      </c>
      <c r="N19" s="43">
        <f t="shared" si="0"/>
        <v>272.00639999999885</v>
      </c>
      <c r="O19" s="44" t="s">
        <v>88</v>
      </c>
      <c r="P19" s="44" t="s">
        <v>89</v>
      </c>
      <c r="Q19" s="45" t="s">
        <v>133</v>
      </c>
    </row>
    <row r="20" spans="1:17" s="46" customFormat="1" ht="24.95" customHeight="1">
      <c r="A20" s="47">
        <v>9</v>
      </c>
      <c r="B20" s="36" t="s">
        <v>101</v>
      </c>
      <c r="C20" s="37">
        <v>368.57500000000005</v>
      </c>
      <c r="D20" s="38">
        <v>608.6</v>
      </c>
      <c r="E20" s="38">
        <v>608.88</v>
      </c>
      <c r="F20" s="38">
        <v>34.6</v>
      </c>
      <c r="G20" s="37">
        <v>147.43</v>
      </c>
      <c r="H20" s="39">
        <f t="shared" si="1"/>
        <v>1.0573118632928031</v>
      </c>
      <c r="I20" s="37">
        <v>5142.3583999999992</v>
      </c>
      <c r="J20" s="38">
        <v>2.5</v>
      </c>
      <c r="K20" s="40">
        <f t="shared" si="4"/>
        <v>4.1077883667433451E-3</v>
      </c>
      <c r="L20" s="41">
        <f t="shared" si="2"/>
        <v>32.379999999999995</v>
      </c>
      <c r="M20" s="42">
        <f t="shared" si="3"/>
        <v>5.3204074926059802E-2</v>
      </c>
      <c r="N20" s="43">
        <f t="shared" si="0"/>
        <v>4773.7833999999993</v>
      </c>
      <c r="O20" s="44" t="s">
        <v>88</v>
      </c>
      <c r="P20" s="44" t="s">
        <v>47</v>
      </c>
      <c r="Q20" s="45" t="s">
        <v>103</v>
      </c>
    </row>
    <row r="21" spans="1:17" s="46" customFormat="1" ht="24.95" customHeight="1" thickBot="1">
      <c r="A21" s="48">
        <v>10</v>
      </c>
      <c r="B21" s="49" t="s">
        <v>104</v>
      </c>
      <c r="C21" s="50">
        <v>366.1241</v>
      </c>
      <c r="D21" s="51">
        <v>46.51</v>
      </c>
      <c r="E21" s="51">
        <v>50.02</v>
      </c>
      <c r="F21" s="51">
        <v>0</v>
      </c>
      <c r="G21" s="50">
        <v>153.19</v>
      </c>
      <c r="H21" s="52">
        <f t="shared" si="1"/>
        <v>1.075467641367448</v>
      </c>
      <c r="I21" s="50">
        <v>537.69690000000082</v>
      </c>
      <c r="J21" s="51">
        <v>2.39</v>
      </c>
      <c r="K21" s="53">
        <f t="shared" si="4"/>
        <v>5.1386798537948836E-2</v>
      </c>
      <c r="L21" s="54">
        <f t="shared" si="2"/>
        <v>1.120000000000005</v>
      </c>
      <c r="M21" s="55">
        <f t="shared" si="3"/>
        <v>2.4080842829499141E-2</v>
      </c>
      <c r="N21" s="56">
        <f t="shared" si="0"/>
        <v>171.57280000000077</v>
      </c>
      <c r="O21" s="57" t="s">
        <v>88</v>
      </c>
      <c r="P21" s="57" t="s">
        <v>96</v>
      </c>
      <c r="Q21" s="58" t="s">
        <v>105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101</v>
      </c>
      <c r="C28" s="37">
        <v>4773.7833999999993</v>
      </c>
      <c r="D28" s="38">
        <v>608.6</v>
      </c>
      <c r="E28" s="38">
        <v>608.88</v>
      </c>
      <c r="F28" s="38">
        <v>34.6</v>
      </c>
      <c r="G28" s="37">
        <v>147.43</v>
      </c>
      <c r="H28" s="68">
        <f t="shared" ref="H28:H37" si="5">(E28+F28)/D28</f>
        <v>1.0573118632928031</v>
      </c>
      <c r="I28" s="37">
        <v>5142.3583999999992</v>
      </c>
      <c r="J28" s="38">
        <v>2.5</v>
      </c>
      <c r="K28" s="40">
        <f t="shared" ref="K28:K37" si="6">J28/D28</f>
        <v>4.1077883667433451E-3</v>
      </c>
      <c r="L28" s="43">
        <f t="shared" ref="L28:L37" si="7">J28*G28</f>
        <v>368.57500000000005</v>
      </c>
      <c r="M28" s="41">
        <f t="shared" ref="M28:M37" si="8">((E28+F28)-D28)-J28</f>
        <v>32.379999999999995</v>
      </c>
      <c r="N28" s="42">
        <f t="shared" ref="N28:N37" si="9">M28/D28</f>
        <v>5.3204074926059802E-2</v>
      </c>
      <c r="O28" s="44" t="s">
        <v>116</v>
      </c>
      <c r="P28" s="44" t="s">
        <v>224</v>
      </c>
      <c r="Q28" s="45" t="s">
        <v>103</v>
      </c>
    </row>
    <row r="29" spans="1:17" s="67" customFormat="1" ht="24.95" customHeight="1">
      <c r="A29" s="47">
        <v>2</v>
      </c>
      <c r="B29" s="36" t="s">
        <v>130</v>
      </c>
      <c r="C29" s="37">
        <v>4531.2344000000112</v>
      </c>
      <c r="D29" s="38">
        <v>209.19</v>
      </c>
      <c r="E29" s="38">
        <v>209.36</v>
      </c>
      <c r="F29" s="38">
        <v>7.31</v>
      </c>
      <c r="G29" s="37">
        <v>605.78</v>
      </c>
      <c r="H29" s="68">
        <f t="shared" si="5"/>
        <v>1.0357569673502558</v>
      </c>
      <c r="I29" s="37">
        <v>4531.2344000000112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7.4800000000000182</v>
      </c>
      <c r="N29" s="42">
        <f t="shared" si="9"/>
        <v>3.5756967350255839E-2</v>
      </c>
      <c r="O29" s="44" t="s">
        <v>116</v>
      </c>
      <c r="P29" s="69" t="s">
        <v>225</v>
      </c>
      <c r="Q29" s="45" t="s">
        <v>133</v>
      </c>
    </row>
    <row r="30" spans="1:17" s="67" customFormat="1" ht="24.95" customHeight="1">
      <c r="A30" s="47">
        <v>3</v>
      </c>
      <c r="B30" s="36" t="s">
        <v>155</v>
      </c>
      <c r="C30" s="37">
        <v>2700.1244000000029</v>
      </c>
      <c r="D30" s="38">
        <v>58.73</v>
      </c>
      <c r="E30" s="38">
        <v>59.25</v>
      </c>
      <c r="F30" s="38">
        <v>3.6</v>
      </c>
      <c r="G30" s="37">
        <v>655.37</v>
      </c>
      <c r="H30" s="68">
        <f t="shared" si="5"/>
        <v>1.0701515409501108</v>
      </c>
      <c r="I30" s="37">
        <v>2700.1244000000029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4.1200000000000045</v>
      </c>
      <c r="N30" s="42">
        <f t="shared" si="9"/>
        <v>7.0151540950110752E-2</v>
      </c>
      <c r="O30" s="44" t="s">
        <v>116</v>
      </c>
      <c r="P30" s="44" t="s">
        <v>89</v>
      </c>
      <c r="Q30" s="45" t="s">
        <v>122</v>
      </c>
    </row>
    <row r="31" spans="1:17" s="67" customFormat="1" ht="24.95" customHeight="1">
      <c r="A31" s="35">
        <v>4</v>
      </c>
      <c r="B31" s="36" t="s">
        <v>153</v>
      </c>
      <c r="C31" s="37">
        <v>2696.701999999998</v>
      </c>
      <c r="D31" s="38">
        <v>66.53</v>
      </c>
      <c r="E31" s="38">
        <v>66.89</v>
      </c>
      <c r="F31" s="38">
        <v>3.94</v>
      </c>
      <c r="G31" s="37">
        <v>627.14</v>
      </c>
      <c r="H31" s="68">
        <f t="shared" si="5"/>
        <v>1.0646324966180669</v>
      </c>
      <c r="I31" s="37">
        <v>2696.701999999998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4.2999999999999972</v>
      </c>
      <c r="N31" s="42">
        <f t="shared" si="9"/>
        <v>6.4632496618066998E-2</v>
      </c>
      <c r="O31" s="44" t="s">
        <v>116</v>
      </c>
      <c r="P31" s="44" t="s">
        <v>89</v>
      </c>
      <c r="Q31" s="45" t="s">
        <v>154</v>
      </c>
    </row>
    <row r="32" spans="1:17" s="67" customFormat="1" ht="24.95" customHeight="1">
      <c r="A32" s="47">
        <v>5</v>
      </c>
      <c r="B32" s="36" t="s">
        <v>142</v>
      </c>
      <c r="C32" s="37">
        <v>2159.5544000000036</v>
      </c>
      <c r="D32" s="38">
        <v>111.95</v>
      </c>
      <c r="E32" s="38">
        <v>110.43</v>
      </c>
      <c r="F32" s="38">
        <v>4.78</v>
      </c>
      <c r="G32" s="37">
        <v>662.44</v>
      </c>
      <c r="H32" s="68">
        <f t="shared" si="5"/>
        <v>1.0291201429209469</v>
      </c>
      <c r="I32" s="37">
        <v>2159.5544000000036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3.2600000000000051</v>
      </c>
      <c r="N32" s="42">
        <f t="shared" si="9"/>
        <v>2.9120142920946897E-2</v>
      </c>
      <c r="O32" s="44" t="s">
        <v>116</v>
      </c>
      <c r="P32" s="44" t="s">
        <v>89</v>
      </c>
      <c r="Q32" s="45" t="s">
        <v>103</v>
      </c>
    </row>
    <row r="33" spans="1:17" s="67" customFormat="1" ht="24.95" customHeight="1">
      <c r="A33" s="35">
        <v>6</v>
      </c>
      <c r="B33" s="36" t="s">
        <v>117</v>
      </c>
      <c r="C33" s="37">
        <v>1813.4324999999999</v>
      </c>
      <c r="D33" s="38">
        <v>110.9</v>
      </c>
      <c r="E33" s="38">
        <v>115.15</v>
      </c>
      <c r="F33" s="38">
        <v>0</v>
      </c>
      <c r="G33" s="37">
        <v>426.69</v>
      </c>
      <c r="H33" s="68">
        <f t="shared" si="5"/>
        <v>1.0383228133453561</v>
      </c>
      <c r="I33" s="37">
        <v>1813.4324999999999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4.25</v>
      </c>
      <c r="N33" s="42">
        <f t="shared" si="9"/>
        <v>3.8322813345356171E-2</v>
      </c>
      <c r="O33" s="44" t="s">
        <v>116</v>
      </c>
      <c r="P33" s="44" t="s">
        <v>89</v>
      </c>
      <c r="Q33" s="45" t="s">
        <v>97</v>
      </c>
    </row>
    <row r="34" spans="1:17" s="67" customFormat="1" ht="24.95" customHeight="1">
      <c r="A34" s="47">
        <v>7</v>
      </c>
      <c r="B34" s="36" t="s">
        <v>226</v>
      </c>
      <c r="C34" s="37">
        <v>1495.9308000000015</v>
      </c>
      <c r="D34" s="38">
        <v>29.25</v>
      </c>
      <c r="E34" s="38">
        <v>29.37</v>
      </c>
      <c r="F34" s="38">
        <v>4</v>
      </c>
      <c r="G34" s="37">
        <v>363.09</v>
      </c>
      <c r="H34" s="68">
        <f t="shared" si="5"/>
        <v>1.140854700854701</v>
      </c>
      <c r="I34" s="37">
        <v>1495.9308000000015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4.1200000000000045</v>
      </c>
      <c r="N34" s="42">
        <f t="shared" si="9"/>
        <v>0.140854700854701</v>
      </c>
      <c r="O34" s="44" t="s">
        <v>116</v>
      </c>
      <c r="P34" s="44" t="s">
        <v>89</v>
      </c>
      <c r="Q34" s="45" t="s">
        <v>166</v>
      </c>
    </row>
    <row r="35" spans="1:17" s="67" customFormat="1" ht="24.95" customHeight="1">
      <c r="A35" s="35">
        <v>8</v>
      </c>
      <c r="B35" s="36" t="s">
        <v>95</v>
      </c>
      <c r="C35" s="37">
        <v>1280.0449999999994</v>
      </c>
      <c r="D35" s="38">
        <v>180.22</v>
      </c>
      <c r="E35" s="38">
        <v>188.6</v>
      </c>
      <c r="F35" s="38">
        <v>0</v>
      </c>
      <c r="G35" s="37">
        <v>152.75</v>
      </c>
      <c r="H35" s="68">
        <f t="shared" si="5"/>
        <v>1.0464987237820442</v>
      </c>
      <c r="I35" s="37">
        <v>1280.0449999999994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8.3799999999999955</v>
      </c>
      <c r="N35" s="42">
        <f t="shared" si="9"/>
        <v>4.6498723782044143E-2</v>
      </c>
      <c r="O35" s="44" t="s">
        <v>116</v>
      </c>
      <c r="P35" s="44" t="s">
        <v>89</v>
      </c>
      <c r="Q35" s="45" t="s">
        <v>97</v>
      </c>
    </row>
    <row r="36" spans="1:17" s="67" customFormat="1" ht="24.95" customHeight="1">
      <c r="A36" s="47">
        <v>9</v>
      </c>
      <c r="B36" s="36" t="s">
        <v>179</v>
      </c>
      <c r="C36" s="37">
        <v>1268.0713999999939</v>
      </c>
      <c r="D36" s="38">
        <v>188.9</v>
      </c>
      <c r="E36" s="38">
        <v>188.51</v>
      </c>
      <c r="F36" s="38">
        <v>3.5</v>
      </c>
      <c r="G36" s="37">
        <v>407.74</v>
      </c>
      <c r="H36" s="68">
        <f t="shared" si="5"/>
        <v>1.0164637374272101</v>
      </c>
      <c r="I36" s="37">
        <v>1268.0713999999939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3.1099999999999852</v>
      </c>
      <c r="N36" s="42">
        <f t="shared" si="9"/>
        <v>1.6463737427210086E-2</v>
      </c>
      <c r="O36" s="44" t="s">
        <v>131</v>
      </c>
      <c r="P36" s="69" t="s">
        <v>225</v>
      </c>
      <c r="Q36" s="45" t="s">
        <v>180</v>
      </c>
    </row>
    <row r="37" spans="1:17" s="67" customFormat="1" ht="24.95" customHeight="1" thickBot="1">
      <c r="A37" s="48">
        <v>10</v>
      </c>
      <c r="B37" s="49" t="s">
        <v>244</v>
      </c>
      <c r="C37" s="50">
        <v>917.43999999999994</v>
      </c>
      <c r="D37" s="51">
        <v>2964</v>
      </c>
      <c r="E37" s="51">
        <v>3152</v>
      </c>
      <c r="F37" s="51">
        <v>0</v>
      </c>
      <c r="G37" s="50">
        <v>4.88</v>
      </c>
      <c r="H37" s="70">
        <f t="shared" si="5"/>
        <v>1.0634278002699056</v>
      </c>
      <c r="I37" s="50">
        <v>917.43999999999994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188</v>
      </c>
      <c r="N37" s="55">
        <f t="shared" si="9"/>
        <v>6.3427800269905535E-2</v>
      </c>
      <c r="O37" s="57" t="s">
        <v>131</v>
      </c>
      <c r="P37" s="57" t="s">
        <v>89</v>
      </c>
      <c r="Q37" s="58" t="s">
        <v>245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134</v>
      </c>
      <c r="C44" s="37">
        <v>1686.0516</v>
      </c>
      <c r="D44" s="76">
        <f t="shared" ref="D44:D53" si="10">C44/$L$5</f>
        <v>0.34914036238915025</v>
      </c>
      <c r="E44" s="77"/>
    </row>
    <row r="45" spans="1:17" s="78" customFormat="1" ht="24.95" customHeight="1">
      <c r="A45" s="79">
        <v>2</v>
      </c>
      <c r="B45" s="36" t="s">
        <v>143</v>
      </c>
      <c r="C45" s="37">
        <v>582.82199999999989</v>
      </c>
      <c r="D45" s="76">
        <f t="shared" si="10"/>
        <v>0.12068828990071792</v>
      </c>
      <c r="E45" s="77"/>
    </row>
    <row r="46" spans="1:17" s="78" customFormat="1" ht="24.95" customHeight="1">
      <c r="A46" s="79">
        <v>3</v>
      </c>
      <c r="B46" s="36" t="s">
        <v>101</v>
      </c>
      <c r="C46" s="37">
        <v>368.57500000000005</v>
      </c>
      <c r="D46" s="76">
        <f t="shared" si="10"/>
        <v>7.6322936419965487E-2</v>
      </c>
      <c r="E46" s="77"/>
    </row>
    <row r="47" spans="1:17" s="78" customFormat="1" ht="24.95" customHeight="1">
      <c r="A47" s="75">
        <v>4</v>
      </c>
      <c r="B47" s="36" t="s">
        <v>137</v>
      </c>
      <c r="C47" s="37">
        <v>362.6</v>
      </c>
      <c r="D47" s="76">
        <f t="shared" si="10"/>
        <v>7.5085658945613462E-2</v>
      </c>
      <c r="E47" s="77"/>
    </row>
    <row r="48" spans="1:17" s="78" customFormat="1" ht="24.95" customHeight="1">
      <c r="A48" s="79">
        <v>5</v>
      </c>
      <c r="B48" s="36" t="s">
        <v>138</v>
      </c>
      <c r="C48" s="37">
        <v>329.94</v>
      </c>
      <c r="D48" s="76">
        <f t="shared" si="10"/>
        <v>6.8322565671582194E-2</v>
      </c>
      <c r="E48" s="77"/>
    </row>
    <row r="49" spans="1:5" s="78" customFormat="1" ht="24.95" customHeight="1">
      <c r="A49" s="75">
        <v>6</v>
      </c>
      <c r="B49" s="36" t="s">
        <v>106</v>
      </c>
      <c r="C49" s="37">
        <v>250.94460000000001</v>
      </c>
      <c r="D49" s="76">
        <f t="shared" si="10"/>
        <v>5.1964535713853816E-2</v>
      </c>
      <c r="E49" s="77"/>
    </row>
    <row r="50" spans="1:5" s="78" customFormat="1" ht="24.95" customHeight="1">
      <c r="A50" s="79">
        <v>7</v>
      </c>
      <c r="B50" s="36" t="s">
        <v>246</v>
      </c>
      <c r="C50" s="37">
        <v>190.2988</v>
      </c>
      <c r="D50" s="76">
        <f t="shared" si="10"/>
        <v>3.9406262533258428E-2</v>
      </c>
      <c r="E50" s="77"/>
    </row>
    <row r="51" spans="1:5" s="78" customFormat="1" ht="24.95" customHeight="1">
      <c r="A51" s="75">
        <v>8</v>
      </c>
      <c r="B51" s="36" t="s">
        <v>168</v>
      </c>
      <c r="C51" s="37">
        <v>178.5</v>
      </c>
      <c r="D51" s="76">
        <f t="shared" si="10"/>
        <v>3.6963017434616663E-2</v>
      </c>
      <c r="E51" s="77"/>
    </row>
    <row r="52" spans="1:5" s="78" customFormat="1" ht="24.95" customHeight="1">
      <c r="A52" s="79">
        <v>9</v>
      </c>
      <c r="B52" s="36" t="s">
        <v>233</v>
      </c>
      <c r="C52" s="37">
        <v>136.07999999999998</v>
      </c>
      <c r="D52" s="76">
        <f t="shared" si="10"/>
        <v>2.8178865056037172E-2</v>
      </c>
      <c r="E52" s="77"/>
    </row>
    <row r="53" spans="1:5" s="78" customFormat="1" ht="24.95" customHeight="1" thickBot="1">
      <c r="A53" s="80">
        <v>10</v>
      </c>
      <c r="B53" s="49" t="s">
        <v>129</v>
      </c>
      <c r="C53" s="50">
        <v>113.4432</v>
      </c>
      <c r="D53" s="81">
        <f t="shared" si="10"/>
        <v>2.3491333218144009E-2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475" priority="34" operator="containsText" text="中華">
      <formula>NOT(ISERROR(SEARCH("中華",A12)))</formula>
    </cfRule>
    <cfRule type="containsText" dxfId="474" priority="33" operator="containsText" text="湯凍">
      <formula>NOT(ISERROR(SEARCH("湯凍",A12)))</formula>
    </cfRule>
    <cfRule type="containsText" dxfId="473" priority="32" operator="containsText" text=")川燙小青花菜">
      <formula>NOT(ISERROR(SEARCH(")川燙小青花菜",A12)))</formula>
    </cfRule>
    <cfRule type="containsText" dxfId="472" priority="31" operator="containsText" text="青蔥">
      <formula>NOT(ISERROR(SEARCH("青蔥",A12)))</formula>
    </cfRule>
    <cfRule type="containsText" dxfId="471" priority="30" operator="containsText" text="白醬">
      <formula>NOT(ISERROR(SEARCH("白醬",A12)))</formula>
    </cfRule>
    <cfRule type="containsText" dxfId="470" priority="29" operator="containsText" text="024">
      <formula>NOT(ISERROR(SEARCH("024",A12)))</formula>
    </cfRule>
    <cfRule type="containsText" dxfId="469" priority="28" operator="containsText" text="煮白細麵生(方#12)">
      <formula>NOT(ISERROR(SEARCH("煮白細麵生(方#12)",A12)))</formula>
    </cfRule>
    <cfRule type="containsText" dxfId="468" priority="27" operator="containsText" text="綠豆芽">
      <formula>NOT(ISERROR(SEARCH("綠豆芽",A12)))</formula>
    </cfRule>
  </conditionalFormatting>
  <conditionalFormatting sqref="A28:A37">
    <cfRule type="containsText" dxfId="467" priority="5" operator="containsText" text="綠豆芽">
      <formula>NOT(ISERROR(SEARCH("綠豆芽",A28)))</formula>
    </cfRule>
    <cfRule type="containsText" dxfId="466" priority="6" operator="containsText" text="煮白細麵生(方#12)">
      <formula>NOT(ISERROR(SEARCH("煮白細麵生(方#12)",A28)))</formula>
    </cfRule>
    <cfRule type="containsText" dxfId="465" priority="7" operator="containsText" text="024">
      <formula>NOT(ISERROR(SEARCH("024",A28)))</formula>
    </cfRule>
    <cfRule type="containsText" dxfId="464" priority="8" operator="containsText" text="白醬">
      <formula>NOT(ISERROR(SEARCH("白醬",A28)))</formula>
    </cfRule>
    <cfRule type="containsText" dxfId="463" priority="9" operator="containsText" text="青蔥">
      <formula>NOT(ISERROR(SEARCH("青蔥",A28)))</formula>
    </cfRule>
    <cfRule type="containsText" dxfId="462" priority="10" operator="containsText" text=")川燙小青花菜">
      <formula>NOT(ISERROR(SEARCH(")川燙小青花菜",A28)))</formula>
    </cfRule>
    <cfRule type="containsText" dxfId="461" priority="11" operator="containsText" text="湯凍">
      <formula>NOT(ISERROR(SEARCH("湯凍",A28)))</formula>
    </cfRule>
    <cfRule type="containsText" dxfId="460" priority="12" operator="containsText" text="中華">
      <formula>NOT(ISERROR(SEARCH("中華",A28)))</formula>
    </cfRule>
  </conditionalFormatting>
  <conditionalFormatting sqref="A44:A53">
    <cfRule type="containsText" dxfId="459" priority="17" operator="containsText" text="綠豆芽">
      <formula>NOT(ISERROR(SEARCH("綠豆芽",A44)))</formula>
    </cfRule>
    <cfRule type="containsText" dxfId="458" priority="18" operator="containsText" text="煮白細麵生(方#12)">
      <formula>NOT(ISERROR(SEARCH("煮白細麵生(方#12)",A44)))</formula>
    </cfRule>
    <cfRule type="containsText" dxfId="457" priority="19" operator="containsText" text="024">
      <formula>NOT(ISERROR(SEARCH("024",A44)))</formula>
    </cfRule>
    <cfRule type="containsText" dxfId="456" priority="20" operator="containsText" text="白醬">
      <formula>NOT(ISERROR(SEARCH("白醬",A44)))</formula>
    </cfRule>
    <cfRule type="containsText" dxfId="455" priority="21" operator="containsText" text="青蔥">
      <formula>NOT(ISERROR(SEARCH("青蔥",A44)))</formula>
    </cfRule>
    <cfRule type="containsText" dxfId="454" priority="22" operator="containsText" text=")川燙小青花菜">
      <formula>NOT(ISERROR(SEARCH(")川燙小青花菜",A44)))</formula>
    </cfRule>
    <cfRule type="containsText" dxfId="453" priority="23" operator="containsText" text="湯凍">
      <formula>NOT(ISERROR(SEARCH("湯凍",A44)))</formula>
    </cfRule>
    <cfRule type="containsText" dxfId="452" priority="24" operator="containsText" text="中華">
      <formula>NOT(ISERROR(SEARCH("中華",A44)))</formula>
    </cfRule>
  </conditionalFormatting>
  <conditionalFormatting sqref="D44:D53">
    <cfRule type="cellIs" dxfId="451" priority="16" operator="greaterThan">
      <formula>0.146</formula>
    </cfRule>
  </conditionalFormatting>
  <conditionalFormatting sqref="E5">
    <cfRule type="cellIs" dxfId="450" priority="25" operator="greaterThan">
      <formula>0.072</formula>
    </cfRule>
    <cfRule type="cellIs" dxfId="449" priority="26" operator="greaterThan">
      <formula>7.2</formula>
    </cfRule>
    <cfRule type="cellIs" dxfId="448" priority="14" operator="greaterThan">
      <formula>0.0025</formula>
    </cfRule>
  </conditionalFormatting>
  <conditionalFormatting sqref="G5">
    <cfRule type="cellIs" dxfId="447" priority="3" operator="greaterThan">
      <formula>7.2</formula>
    </cfRule>
    <cfRule type="cellIs" dxfId="446" priority="2" operator="greaterThan">
      <formula>0.072</formula>
    </cfRule>
    <cfRule type="cellIs" dxfId="445" priority="1" operator="greaterThan">
      <formula>0.0025</formula>
    </cfRule>
  </conditionalFormatting>
  <conditionalFormatting sqref="H12:H22">
    <cfRule type="cellIs" dxfId="444" priority="15" operator="greaterThan">
      <formula>1.1</formula>
    </cfRule>
  </conditionalFormatting>
  <conditionalFormatting sqref="H28:H37">
    <cfRule type="cellIs" dxfId="443" priority="4" operator="greaterThan">
      <formula>1.1</formula>
    </cfRule>
  </conditionalFormatting>
  <conditionalFormatting sqref="I5">
    <cfRule type="cellIs" dxfId="44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75D9-B440-4896-B9CC-FD19E0472750}">
  <sheetPr>
    <tabColor rgb="FFFF0000"/>
    <pageSetUpPr fitToPage="1"/>
  </sheetPr>
  <dimension ref="A1:Q56"/>
  <sheetViews>
    <sheetView topLeftCell="G19" zoomScale="70" zoomScaleNormal="70" workbookViewId="0">
      <selection activeCell="Q28" sqref="Q28:Q37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45882</v>
      </c>
      <c r="B3" s="150"/>
      <c r="C3" s="151">
        <v>7976719.9199999999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19336.48569999999</v>
      </c>
      <c r="E5" s="25">
        <f>D5/C3</f>
        <v>2.4241149111325438E-3</v>
      </c>
      <c r="F5" s="24">
        <v>64898.550600000068</v>
      </c>
      <c r="G5" s="26">
        <f>F5/C3</f>
        <v>8.1359946507937649E-3</v>
      </c>
      <c r="H5" s="27">
        <f>SUM(C12:C21)</f>
        <v>6901.5355000000009</v>
      </c>
      <c r="I5" s="28">
        <f>H5/D5</f>
        <v>0.35691777746356484</v>
      </c>
      <c r="J5" s="27">
        <f>SUM(C28:C37)</f>
        <v>20197.400100000017</v>
      </c>
      <c r="K5" s="29">
        <f>J5/F5</f>
        <v>0.3112149641751783</v>
      </c>
      <c r="L5" s="30">
        <v>2721.018599999999</v>
      </c>
      <c r="M5" s="31">
        <f>L5/D5</f>
        <v>0.14071939659645602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95</v>
      </c>
      <c r="C12" s="37">
        <v>1102.855</v>
      </c>
      <c r="D12" s="38">
        <v>188.17</v>
      </c>
      <c r="E12" s="38">
        <v>204.49</v>
      </c>
      <c r="F12" s="38">
        <v>0</v>
      </c>
      <c r="G12" s="37">
        <v>152.75</v>
      </c>
      <c r="H12" s="39">
        <f>(E12+F12)/D12</f>
        <v>1.0867300844980603</v>
      </c>
      <c r="I12" s="37">
        <v>2492.8800000000033</v>
      </c>
      <c r="J12" s="38">
        <v>7.22</v>
      </c>
      <c r="K12" s="40">
        <f>J12/D12</f>
        <v>3.8369559440931074E-2</v>
      </c>
      <c r="L12" s="41">
        <f>((E12+F12)-D12)-J12</f>
        <v>9.1000000000000227</v>
      </c>
      <c r="M12" s="42">
        <f>L12/D12</f>
        <v>4.8360525057129317E-2</v>
      </c>
      <c r="N12" s="43">
        <f t="shared" ref="N12:N21" si="0">L12*G12</f>
        <v>1390.0250000000035</v>
      </c>
      <c r="O12" s="44" t="s">
        <v>88</v>
      </c>
      <c r="P12" s="44" t="s">
        <v>96</v>
      </c>
      <c r="Q12" s="45" t="s">
        <v>97</v>
      </c>
    </row>
    <row r="13" spans="1:17" s="46" customFormat="1" ht="24.95" customHeight="1">
      <c r="A13" s="47">
        <v>2</v>
      </c>
      <c r="B13" s="36" t="s">
        <v>215</v>
      </c>
      <c r="C13" s="37">
        <v>1004.2271999999999</v>
      </c>
      <c r="D13" s="38">
        <v>258.76</v>
      </c>
      <c r="E13" s="38">
        <v>264.07</v>
      </c>
      <c r="F13" s="38">
        <v>0</v>
      </c>
      <c r="G13" s="37">
        <v>189.12</v>
      </c>
      <c r="H13" s="39">
        <f t="shared" ref="H13:H21" si="1">(E13+F13)/D13</f>
        <v>1.0205209460503941</v>
      </c>
      <c r="I13" s="37">
        <v>1004.2272000000005</v>
      </c>
      <c r="J13" s="38">
        <v>5.31</v>
      </c>
      <c r="K13" s="40">
        <f>J13/D13</f>
        <v>2.0520946050394187E-2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89</v>
      </c>
      <c r="Q13" s="45" t="s">
        <v>216</v>
      </c>
    </row>
    <row r="14" spans="1:17" s="46" customFormat="1" ht="24.95" customHeight="1">
      <c r="A14" s="47">
        <v>3</v>
      </c>
      <c r="B14" s="36" t="s">
        <v>91</v>
      </c>
      <c r="C14" s="37">
        <v>911.55</v>
      </c>
      <c r="D14" s="38">
        <v>4062</v>
      </c>
      <c r="E14" s="38">
        <v>4121</v>
      </c>
      <c r="F14" s="38">
        <v>0</v>
      </c>
      <c r="G14" s="37">
        <v>15.45</v>
      </c>
      <c r="H14" s="39">
        <f>(E14+F14)/D14</f>
        <v>1.0145248645987199</v>
      </c>
      <c r="I14" s="37">
        <v>911.55</v>
      </c>
      <c r="J14" s="38">
        <v>59</v>
      </c>
      <c r="K14" s="40">
        <f t="shared" ref="K14:K21" si="4">J14/D14</f>
        <v>1.4524864598719843E-2</v>
      </c>
      <c r="L14" s="41">
        <f t="shared" si="2"/>
        <v>0</v>
      </c>
      <c r="M14" s="42">
        <f t="shared" si="3"/>
        <v>0</v>
      </c>
      <c r="N14" s="43">
        <f t="shared" si="0"/>
        <v>0</v>
      </c>
      <c r="O14" s="44" t="s">
        <v>88</v>
      </c>
      <c r="P14" s="44" t="s">
        <v>221</v>
      </c>
      <c r="Q14" s="45" t="s">
        <v>94</v>
      </c>
    </row>
    <row r="15" spans="1:17" s="46" customFormat="1" ht="24.95" customHeight="1">
      <c r="A15" s="35">
        <v>4</v>
      </c>
      <c r="B15" s="36" t="s">
        <v>247</v>
      </c>
      <c r="C15" s="37">
        <v>866.41000000000008</v>
      </c>
      <c r="D15" s="38">
        <v>82.65</v>
      </c>
      <c r="E15" s="38">
        <v>94.15</v>
      </c>
      <c r="F15" s="38">
        <v>0</v>
      </c>
      <c r="G15" s="37">
        <v>75.34</v>
      </c>
      <c r="H15" s="39">
        <f>(E15+F15)/D15</f>
        <v>1.1391409558378705</v>
      </c>
      <c r="I15" s="37">
        <v>866.41000000000008</v>
      </c>
      <c r="J15" s="38">
        <v>11.5</v>
      </c>
      <c r="K15" s="40">
        <f t="shared" si="4"/>
        <v>0.13914095583787053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88</v>
      </c>
      <c r="P15" s="44" t="s">
        <v>96</v>
      </c>
      <c r="Q15" s="45" t="s">
        <v>126</v>
      </c>
    </row>
    <row r="16" spans="1:17" s="46" customFormat="1" ht="24.95" customHeight="1">
      <c r="A16" s="47">
        <v>5</v>
      </c>
      <c r="B16" s="36" t="s">
        <v>214</v>
      </c>
      <c r="C16" s="37">
        <v>776.14139999999998</v>
      </c>
      <c r="D16" s="38">
        <v>23.28</v>
      </c>
      <c r="E16" s="38">
        <v>25.86</v>
      </c>
      <c r="F16" s="38">
        <v>0</v>
      </c>
      <c r="G16" s="37">
        <v>300.83</v>
      </c>
      <c r="H16" s="39">
        <f t="shared" si="1"/>
        <v>1.1108247422680411</v>
      </c>
      <c r="I16" s="37">
        <v>776.14139999999941</v>
      </c>
      <c r="J16" s="38">
        <v>2.58</v>
      </c>
      <c r="K16" s="40">
        <f t="shared" si="4"/>
        <v>0.11082474226804123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88</v>
      </c>
      <c r="P16" s="44" t="s">
        <v>96</v>
      </c>
      <c r="Q16" s="45" t="s">
        <v>162</v>
      </c>
    </row>
    <row r="17" spans="1:17" s="46" customFormat="1" ht="24.95" customHeight="1">
      <c r="A17" s="35">
        <v>6</v>
      </c>
      <c r="B17" s="36" t="s">
        <v>98</v>
      </c>
      <c r="C17" s="37">
        <v>707.88</v>
      </c>
      <c r="D17" s="38">
        <v>7065</v>
      </c>
      <c r="E17" s="38">
        <v>7133</v>
      </c>
      <c r="F17" s="38">
        <v>0</v>
      </c>
      <c r="G17" s="37">
        <v>10.41</v>
      </c>
      <c r="H17" s="39">
        <f t="shared" si="1"/>
        <v>1.0096249115357396</v>
      </c>
      <c r="I17" s="37">
        <v>707.88</v>
      </c>
      <c r="J17" s="38">
        <v>68</v>
      </c>
      <c r="K17" s="40">
        <f t="shared" si="4"/>
        <v>9.624911535739562E-3</v>
      </c>
      <c r="L17" s="41">
        <f t="shared" si="2"/>
        <v>0</v>
      </c>
      <c r="M17" s="42">
        <f t="shared" si="3"/>
        <v>0</v>
      </c>
      <c r="N17" s="43">
        <f t="shared" si="0"/>
        <v>0</v>
      </c>
      <c r="O17" s="44" t="s">
        <v>88</v>
      </c>
      <c r="P17" s="44" t="s">
        <v>89</v>
      </c>
      <c r="Q17" s="45" t="s">
        <v>100</v>
      </c>
    </row>
    <row r="18" spans="1:17" s="46" customFormat="1" ht="24.95" customHeight="1">
      <c r="A18" s="47">
        <v>7</v>
      </c>
      <c r="B18" s="36" t="s">
        <v>150</v>
      </c>
      <c r="C18" s="37">
        <v>487.34479999999996</v>
      </c>
      <c r="D18" s="38">
        <v>133.37</v>
      </c>
      <c r="E18" s="38">
        <v>138.35</v>
      </c>
      <c r="F18" s="38">
        <v>0</v>
      </c>
      <c r="G18" s="37">
        <v>141.66999999999999</v>
      </c>
      <c r="H18" s="39">
        <f t="shared" si="1"/>
        <v>1.0373397315738171</v>
      </c>
      <c r="I18" s="37">
        <v>705.51659999999845</v>
      </c>
      <c r="J18" s="38">
        <v>3.44</v>
      </c>
      <c r="K18" s="40">
        <f t="shared" si="4"/>
        <v>2.5792906950588588E-2</v>
      </c>
      <c r="L18" s="41">
        <f>((E18+F18)-D18)-J18</f>
        <v>1.5399999999999898</v>
      </c>
      <c r="M18" s="42">
        <f t="shared" si="3"/>
        <v>1.1546824623228535E-2</v>
      </c>
      <c r="N18" s="43">
        <f t="shared" si="0"/>
        <v>218.17179999999854</v>
      </c>
      <c r="O18" s="44" t="s">
        <v>88</v>
      </c>
      <c r="P18" s="44" t="s">
        <v>89</v>
      </c>
      <c r="Q18" s="45" t="s">
        <v>133</v>
      </c>
    </row>
    <row r="19" spans="1:17" s="46" customFormat="1" ht="24.95" customHeight="1">
      <c r="A19" s="35">
        <v>8</v>
      </c>
      <c r="B19" s="36" t="s">
        <v>101</v>
      </c>
      <c r="C19" s="37">
        <v>352.35770000000002</v>
      </c>
      <c r="D19" s="38">
        <v>678.56</v>
      </c>
      <c r="E19" s="38">
        <v>688.24</v>
      </c>
      <c r="F19" s="38">
        <v>5.2</v>
      </c>
      <c r="G19" s="37">
        <v>147.43</v>
      </c>
      <c r="H19" s="39">
        <f t="shared" si="1"/>
        <v>1.0219287903796277</v>
      </c>
      <c r="I19" s="37">
        <v>2193.7584000000161</v>
      </c>
      <c r="J19" s="38">
        <v>2.39</v>
      </c>
      <c r="K19" s="40">
        <f t="shared" si="4"/>
        <v>3.5221645838245702E-3</v>
      </c>
      <c r="L19" s="41">
        <f t="shared" si="2"/>
        <v>12.490000000000109</v>
      </c>
      <c r="M19" s="42">
        <f t="shared" si="3"/>
        <v>1.8406625795803037E-2</v>
      </c>
      <c r="N19" s="43">
        <f t="shared" si="0"/>
        <v>1841.4007000000161</v>
      </c>
      <c r="O19" s="44" t="s">
        <v>88</v>
      </c>
      <c r="P19" s="44" t="s">
        <v>47</v>
      </c>
      <c r="Q19" s="45" t="s">
        <v>103</v>
      </c>
    </row>
    <row r="20" spans="1:17" s="46" customFormat="1" ht="24.95" customHeight="1">
      <c r="A20" s="47">
        <v>9</v>
      </c>
      <c r="B20" s="36" t="s">
        <v>111</v>
      </c>
      <c r="C20" s="37">
        <v>346.56</v>
      </c>
      <c r="D20" s="38">
        <v>125.16</v>
      </c>
      <c r="E20" s="38">
        <v>128.77000000000001</v>
      </c>
      <c r="F20" s="38">
        <v>0</v>
      </c>
      <c r="G20" s="37">
        <v>96</v>
      </c>
      <c r="H20" s="39">
        <f t="shared" si="1"/>
        <v>1.0288430808565039</v>
      </c>
      <c r="I20" s="37">
        <v>346.56000000000131</v>
      </c>
      <c r="J20" s="38">
        <v>3.61</v>
      </c>
      <c r="K20" s="40">
        <f t="shared" si="4"/>
        <v>2.8843080856503674E-2</v>
      </c>
      <c r="L20" s="41">
        <f t="shared" si="2"/>
        <v>1.3766765505351941E-14</v>
      </c>
      <c r="M20" s="42">
        <f t="shared" si="3"/>
        <v>1.0999333257711683E-16</v>
      </c>
      <c r="N20" s="43">
        <f t="shared" si="0"/>
        <v>1.3216094885137863E-12</v>
      </c>
      <c r="O20" s="44" t="s">
        <v>88</v>
      </c>
      <c r="P20" s="44" t="s">
        <v>112</v>
      </c>
      <c r="Q20" s="45" t="s">
        <v>113</v>
      </c>
    </row>
    <row r="21" spans="1:17" s="46" customFormat="1" ht="24.95" customHeight="1" thickBot="1">
      <c r="A21" s="48">
        <v>10</v>
      </c>
      <c r="B21" s="49" t="s">
        <v>104</v>
      </c>
      <c r="C21" s="50">
        <v>346.20939999999996</v>
      </c>
      <c r="D21" s="51">
        <v>47.92</v>
      </c>
      <c r="E21" s="51">
        <v>51.68</v>
      </c>
      <c r="F21" s="51">
        <v>0</v>
      </c>
      <c r="G21" s="50">
        <v>153.19</v>
      </c>
      <c r="H21" s="52">
        <f t="shared" si="1"/>
        <v>1.0784641068447411</v>
      </c>
      <c r="I21" s="50">
        <v>575.9943999999997</v>
      </c>
      <c r="J21" s="51">
        <v>2.2599999999999998</v>
      </c>
      <c r="K21" s="53">
        <f t="shared" si="4"/>
        <v>4.7161936560934883E-2</v>
      </c>
      <c r="L21" s="54">
        <f t="shared" si="2"/>
        <v>1.4999999999999982</v>
      </c>
      <c r="M21" s="55">
        <f t="shared" si="3"/>
        <v>3.1302170283806309E-2</v>
      </c>
      <c r="N21" s="56">
        <f t="shared" si="0"/>
        <v>229.78499999999971</v>
      </c>
      <c r="O21" s="57" t="s">
        <v>88</v>
      </c>
      <c r="P21" s="57" t="s">
        <v>96</v>
      </c>
      <c r="Q21" s="58" t="s">
        <v>105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179</v>
      </c>
      <c r="C28" s="37">
        <v>4986.6601999999957</v>
      </c>
      <c r="D28" s="38">
        <v>216.65</v>
      </c>
      <c r="E28" s="38">
        <v>220.13</v>
      </c>
      <c r="F28" s="38">
        <v>8.75</v>
      </c>
      <c r="G28" s="37">
        <v>407.74</v>
      </c>
      <c r="H28" s="68">
        <f t="shared" ref="H28:H37" si="5">(E28+F28)/D28</f>
        <v>1.0564504961920147</v>
      </c>
      <c r="I28" s="37">
        <v>4986.6601999999957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12.22999999999999</v>
      </c>
      <c r="N28" s="42">
        <f t="shared" ref="N28:N37" si="9">M28/D28</f>
        <v>5.6450496192014719E-2</v>
      </c>
      <c r="O28" s="44" t="s">
        <v>116</v>
      </c>
      <c r="P28" s="69" t="s">
        <v>225</v>
      </c>
      <c r="Q28" s="45" t="s">
        <v>180</v>
      </c>
    </row>
    <row r="29" spans="1:17" s="67" customFormat="1" ht="24.95" customHeight="1">
      <c r="A29" s="47">
        <v>2</v>
      </c>
      <c r="B29" s="36" t="s">
        <v>130</v>
      </c>
      <c r="C29" s="37">
        <v>2635.1430000000137</v>
      </c>
      <c r="D29" s="38">
        <v>238.95</v>
      </c>
      <c r="E29" s="38">
        <v>239</v>
      </c>
      <c r="F29" s="38">
        <v>4.3</v>
      </c>
      <c r="G29" s="37">
        <v>605.78</v>
      </c>
      <c r="H29" s="68">
        <f t="shared" si="5"/>
        <v>1.0182046453232896</v>
      </c>
      <c r="I29" s="37">
        <v>2635.1430000000137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4.3500000000000227</v>
      </c>
      <c r="N29" s="42">
        <f t="shared" si="9"/>
        <v>1.8204645323289487E-2</v>
      </c>
      <c r="O29" s="44" t="s">
        <v>116</v>
      </c>
      <c r="P29" s="69" t="s">
        <v>225</v>
      </c>
      <c r="Q29" s="45" t="s">
        <v>133</v>
      </c>
    </row>
    <row r="30" spans="1:17" s="67" customFormat="1" ht="24.95" customHeight="1">
      <c r="A30" s="47">
        <v>3</v>
      </c>
      <c r="B30" s="36" t="s">
        <v>140</v>
      </c>
      <c r="C30" s="37">
        <v>2372.0000000000027</v>
      </c>
      <c r="D30" s="38">
        <v>143.13999999999999</v>
      </c>
      <c r="E30" s="38">
        <v>145.44999999999999</v>
      </c>
      <c r="F30" s="38">
        <v>9.5500000000000007</v>
      </c>
      <c r="G30" s="37">
        <v>200</v>
      </c>
      <c r="H30" s="68">
        <f t="shared" si="5"/>
        <v>1.0828559452284479</v>
      </c>
      <c r="I30" s="37">
        <v>2372.0000000000027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11.860000000000014</v>
      </c>
      <c r="N30" s="42">
        <f t="shared" si="9"/>
        <v>8.2855945228447775E-2</v>
      </c>
      <c r="O30" s="44" t="s">
        <v>116</v>
      </c>
      <c r="P30" s="44" t="s">
        <v>89</v>
      </c>
      <c r="Q30" s="45" t="s">
        <v>103</v>
      </c>
    </row>
    <row r="31" spans="1:17" s="67" customFormat="1" ht="24.95" customHeight="1">
      <c r="A31" s="35">
        <v>4</v>
      </c>
      <c r="B31" s="36" t="s">
        <v>101</v>
      </c>
      <c r="C31" s="37">
        <v>1841.4007000000161</v>
      </c>
      <c r="D31" s="38">
        <v>678.56</v>
      </c>
      <c r="E31" s="38">
        <v>688.24</v>
      </c>
      <c r="F31" s="38">
        <v>5.2</v>
      </c>
      <c r="G31" s="37">
        <v>147.43</v>
      </c>
      <c r="H31" s="68">
        <f t="shared" si="5"/>
        <v>1.0219287903796277</v>
      </c>
      <c r="I31" s="37">
        <v>2193.7584000000161</v>
      </c>
      <c r="J31" s="38">
        <v>2.39</v>
      </c>
      <c r="K31" s="40">
        <f t="shared" si="6"/>
        <v>3.5221645838245702E-3</v>
      </c>
      <c r="L31" s="43">
        <f t="shared" si="7"/>
        <v>352.35770000000002</v>
      </c>
      <c r="M31" s="41">
        <f t="shared" si="8"/>
        <v>12.490000000000109</v>
      </c>
      <c r="N31" s="42">
        <f t="shared" si="9"/>
        <v>1.8406625795803037E-2</v>
      </c>
      <c r="O31" s="44" t="s">
        <v>116</v>
      </c>
      <c r="P31" s="44" t="s">
        <v>224</v>
      </c>
      <c r="Q31" s="45" t="s">
        <v>103</v>
      </c>
    </row>
    <row r="32" spans="1:17" s="67" customFormat="1" ht="24.95" customHeight="1">
      <c r="A32" s="47">
        <v>5</v>
      </c>
      <c r="B32" s="36" t="s">
        <v>142</v>
      </c>
      <c r="C32" s="37">
        <v>1609.7291999999859</v>
      </c>
      <c r="D32" s="38">
        <v>128.71</v>
      </c>
      <c r="E32" s="38">
        <v>128.38</v>
      </c>
      <c r="F32" s="38">
        <v>2.76</v>
      </c>
      <c r="G32" s="37">
        <v>662.44</v>
      </c>
      <c r="H32" s="68">
        <f t="shared" si="5"/>
        <v>1.0188796519306969</v>
      </c>
      <c r="I32" s="37">
        <v>1609.7291999999859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2.4299999999999784</v>
      </c>
      <c r="N32" s="42">
        <f t="shared" si="9"/>
        <v>1.8879651930696746E-2</v>
      </c>
      <c r="O32" s="44" t="s">
        <v>116</v>
      </c>
      <c r="P32" s="44" t="s">
        <v>89</v>
      </c>
      <c r="Q32" s="45" t="s">
        <v>103</v>
      </c>
    </row>
    <row r="33" spans="1:17" s="67" customFormat="1" ht="24.95" customHeight="1">
      <c r="A33" s="35">
        <v>6</v>
      </c>
      <c r="B33" s="36" t="s">
        <v>151</v>
      </c>
      <c r="C33" s="37">
        <v>1450.3055999999985</v>
      </c>
      <c r="D33" s="38">
        <v>47.1</v>
      </c>
      <c r="E33" s="38">
        <v>47.29</v>
      </c>
      <c r="F33" s="38">
        <v>2</v>
      </c>
      <c r="G33" s="37">
        <v>662.24</v>
      </c>
      <c r="H33" s="68">
        <f t="shared" si="5"/>
        <v>1.0464968152866241</v>
      </c>
      <c r="I33" s="37">
        <v>1450.3055999999985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2.1899999999999977</v>
      </c>
      <c r="N33" s="42">
        <f t="shared" si="9"/>
        <v>4.6496815286624152E-2</v>
      </c>
      <c r="O33" s="44" t="s">
        <v>116</v>
      </c>
      <c r="P33" s="44" t="s">
        <v>89</v>
      </c>
      <c r="Q33" s="45" t="s">
        <v>100</v>
      </c>
    </row>
    <row r="34" spans="1:17" s="67" customFormat="1" ht="24.95" customHeight="1">
      <c r="A34" s="47">
        <v>7</v>
      </c>
      <c r="B34" s="36" t="s">
        <v>123</v>
      </c>
      <c r="C34" s="37">
        <v>1412.8835999999947</v>
      </c>
      <c r="D34" s="38">
        <v>64.78</v>
      </c>
      <c r="E34" s="38">
        <v>65.02</v>
      </c>
      <c r="F34" s="38">
        <v>1.8</v>
      </c>
      <c r="G34" s="37">
        <v>692.59</v>
      </c>
      <c r="H34" s="68">
        <f t="shared" si="5"/>
        <v>1.0314912009879591</v>
      </c>
      <c r="I34" s="37">
        <v>1412.8835999999947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2.039999999999992</v>
      </c>
      <c r="N34" s="42">
        <f t="shared" si="9"/>
        <v>3.1491200987959121E-2</v>
      </c>
      <c r="O34" s="44" t="s">
        <v>116</v>
      </c>
      <c r="P34" s="44" t="s">
        <v>89</v>
      </c>
      <c r="Q34" s="45" t="s">
        <v>124</v>
      </c>
    </row>
    <row r="35" spans="1:17" s="67" customFormat="1" ht="24.95" customHeight="1">
      <c r="A35" s="35">
        <v>8</v>
      </c>
      <c r="B35" s="36" t="s">
        <v>95</v>
      </c>
      <c r="C35" s="37">
        <v>1390.0250000000033</v>
      </c>
      <c r="D35" s="38">
        <v>188.17</v>
      </c>
      <c r="E35" s="38">
        <v>204.49</v>
      </c>
      <c r="F35" s="38">
        <v>0</v>
      </c>
      <c r="G35" s="37">
        <v>152.75</v>
      </c>
      <c r="H35" s="68">
        <f t="shared" si="5"/>
        <v>1.0867300844980603</v>
      </c>
      <c r="I35" s="37">
        <v>2492.8800000000033</v>
      </c>
      <c r="J35" s="38">
        <v>7.22</v>
      </c>
      <c r="K35" s="40">
        <f t="shared" si="6"/>
        <v>3.8369559440931074E-2</v>
      </c>
      <c r="L35" s="43">
        <f t="shared" si="7"/>
        <v>1102.855</v>
      </c>
      <c r="M35" s="41">
        <f t="shared" si="8"/>
        <v>9.1000000000000227</v>
      </c>
      <c r="N35" s="42">
        <f t="shared" si="9"/>
        <v>4.8360525057129317E-2</v>
      </c>
      <c r="O35" s="44" t="s">
        <v>116</v>
      </c>
      <c r="P35" s="44" t="s">
        <v>89</v>
      </c>
      <c r="Q35" s="45" t="s">
        <v>97</v>
      </c>
    </row>
    <row r="36" spans="1:17" s="67" customFormat="1" ht="24.95" customHeight="1">
      <c r="A36" s="47">
        <v>9</v>
      </c>
      <c r="B36" s="36" t="s">
        <v>117</v>
      </c>
      <c r="C36" s="37">
        <v>1322.7390000000037</v>
      </c>
      <c r="D36" s="38">
        <v>115.8</v>
      </c>
      <c r="E36" s="38">
        <v>118.9</v>
      </c>
      <c r="F36" s="38">
        <v>0</v>
      </c>
      <c r="G36" s="37">
        <v>426.69</v>
      </c>
      <c r="H36" s="68">
        <f t="shared" si="5"/>
        <v>1.0267702936096719</v>
      </c>
      <c r="I36" s="37">
        <v>1322.7390000000037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3.1000000000000085</v>
      </c>
      <c r="N36" s="42">
        <f t="shared" si="9"/>
        <v>2.6770293609671921E-2</v>
      </c>
      <c r="O36" s="44" t="s">
        <v>131</v>
      </c>
      <c r="P36" s="44" t="s">
        <v>89</v>
      </c>
      <c r="Q36" s="45" t="s">
        <v>97</v>
      </c>
    </row>
    <row r="37" spans="1:17" s="67" customFormat="1" ht="24.95" customHeight="1" thickBot="1">
      <c r="A37" s="48">
        <v>10</v>
      </c>
      <c r="B37" s="49" t="s">
        <v>170</v>
      </c>
      <c r="C37" s="50">
        <v>1176.5138000000006</v>
      </c>
      <c r="D37" s="51">
        <v>100.3</v>
      </c>
      <c r="E37" s="51">
        <v>100.22</v>
      </c>
      <c r="F37" s="51">
        <v>3.25</v>
      </c>
      <c r="G37" s="50">
        <v>371.14</v>
      </c>
      <c r="H37" s="70">
        <f t="shared" si="5"/>
        <v>1.0316051844466601</v>
      </c>
      <c r="I37" s="50">
        <v>1176.5138000000006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3.1700000000000017</v>
      </c>
      <c r="N37" s="55">
        <f t="shared" si="9"/>
        <v>3.1605184446660037E-2</v>
      </c>
      <c r="O37" s="57" t="s">
        <v>131</v>
      </c>
      <c r="P37" s="57" t="s">
        <v>89</v>
      </c>
      <c r="Q37" s="58" t="s">
        <v>103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101</v>
      </c>
      <c r="C44" s="37">
        <v>352.35770000000002</v>
      </c>
      <c r="D44" s="76">
        <f t="shared" ref="D44:D53" si="10">C44/$L$5</f>
        <v>0.12949477816873436</v>
      </c>
      <c r="E44" s="77"/>
    </row>
    <row r="45" spans="1:17" s="78" customFormat="1" ht="24.95" customHeight="1">
      <c r="A45" s="79">
        <v>2</v>
      </c>
      <c r="B45" s="36" t="s">
        <v>137</v>
      </c>
      <c r="C45" s="37">
        <v>345.45000000000005</v>
      </c>
      <c r="D45" s="76">
        <f t="shared" si="10"/>
        <v>0.12695613326568225</v>
      </c>
      <c r="E45" s="77"/>
    </row>
    <row r="46" spans="1:17" s="78" customFormat="1" ht="24.95" customHeight="1">
      <c r="A46" s="79">
        <v>3</v>
      </c>
      <c r="B46" s="36" t="s">
        <v>141</v>
      </c>
      <c r="C46" s="37">
        <v>329.5</v>
      </c>
      <c r="D46" s="76">
        <f t="shared" si="10"/>
        <v>0.12109435782614647</v>
      </c>
      <c r="E46" s="77"/>
    </row>
    <row r="47" spans="1:17" s="78" customFormat="1" ht="24.95" customHeight="1">
      <c r="A47" s="75">
        <v>4</v>
      </c>
      <c r="B47" s="36" t="s">
        <v>138</v>
      </c>
      <c r="C47" s="37">
        <v>270.27</v>
      </c>
      <c r="D47" s="76">
        <f t="shared" si="10"/>
        <v>9.9326774171995771E-2</v>
      </c>
      <c r="E47" s="77"/>
    </row>
    <row r="48" spans="1:17" s="78" customFormat="1" ht="24.95" customHeight="1">
      <c r="A48" s="79">
        <v>5</v>
      </c>
      <c r="B48" s="36" t="s">
        <v>134</v>
      </c>
      <c r="C48" s="37">
        <v>251.01330000000002</v>
      </c>
      <c r="D48" s="76">
        <f t="shared" si="10"/>
        <v>9.2249755293844785E-2</v>
      </c>
      <c r="E48" s="77"/>
    </row>
    <row r="49" spans="1:5" s="78" customFormat="1" ht="24.95" customHeight="1">
      <c r="A49" s="75">
        <v>6</v>
      </c>
      <c r="B49" s="36" t="s">
        <v>168</v>
      </c>
      <c r="C49" s="37">
        <v>209.1</v>
      </c>
      <c r="D49" s="76">
        <f t="shared" si="10"/>
        <v>7.6846222219870183E-2</v>
      </c>
      <c r="E49" s="77"/>
    </row>
    <row r="50" spans="1:5" s="78" customFormat="1" ht="24.95" customHeight="1">
      <c r="A50" s="79">
        <v>7</v>
      </c>
      <c r="B50" s="36" t="s">
        <v>246</v>
      </c>
      <c r="C50" s="37">
        <v>190.2988</v>
      </c>
      <c r="D50" s="76">
        <f t="shared" si="10"/>
        <v>6.9936603887970503E-2</v>
      </c>
      <c r="E50" s="77"/>
    </row>
    <row r="51" spans="1:5" s="78" customFormat="1" ht="24.95" customHeight="1">
      <c r="A51" s="75">
        <v>8</v>
      </c>
      <c r="B51" s="36" t="s">
        <v>233</v>
      </c>
      <c r="C51" s="37">
        <v>136.07999999999998</v>
      </c>
      <c r="D51" s="76">
        <f t="shared" si="10"/>
        <v>5.0010683499186678E-2</v>
      </c>
      <c r="E51" s="77"/>
    </row>
    <row r="52" spans="1:5" s="78" customFormat="1" ht="24.95" customHeight="1">
      <c r="A52" s="79">
        <v>9</v>
      </c>
      <c r="B52" s="36" t="s">
        <v>129</v>
      </c>
      <c r="C52" s="37">
        <v>113.4432</v>
      </c>
      <c r="D52" s="76">
        <f t="shared" si="10"/>
        <v>4.1691445990115629E-2</v>
      </c>
      <c r="E52" s="77"/>
    </row>
    <row r="53" spans="1:5" s="78" customFormat="1" ht="24.95" customHeight="1" thickBot="1">
      <c r="A53" s="80">
        <v>10</v>
      </c>
      <c r="B53" s="49" t="s">
        <v>143</v>
      </c>
      <c r="C53" s="50">
        <v>103.01039999999999</v>
      </c>
      <c r="D53" s="81">
        <f t="shared" si="10"/>
        <v>3.7857293588511316E-2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441" priority="34" operator="containsText" text="中華">
      <formula>NOT(ISERROR(SEARCH("中華",A12)))</formula>
    </cfRule>
    <cfRule type="containsText" dxfId="440" priority="33" operator="containsText" text="湯凍">
      <formula>NOT(ISERROR(SEARCH("湯凍",A12)))</formula>
    </cfRule>
    <cfRule type="containsText" dxfId="439" priority="32" operator="containsText" text=")川燙小青花菜">
      <formula>NOT(ISERROR(SEARCH(")川燙小青花菜",A12)))</formula>
    </cfRule>
    <cfRule type="containsText" dxfId="438" priority="31" operator="containsText" text="青蔥">
      <formula>NOT(ISERROR(SEARCH("青蔥",A12)))</formula>
    </cfRule>
    <cfRule type="containsText" dxfId="437" priority="30" operator="containsText" text="白醬">
      <formula>NOT(ISERROR(SEARCH("白醬",A12)))</formula>
    </cfRule>
    <cfRule type="containsText" dxfId="436" priority="29" operator="containsText" text="024">
      <formula>NOT(ISERROR(SEARCH("024",A12)))</formula>
    </cfRule>
    <cfRule type="containsText" dxfId="435" priority="28" operator="containsText" text="煮白細麵生(方#12)">
      <formula>NOT(ISERROR(SEARCH("煮白細麵生(方#12)",A12)))</formula>
    </cfRule>
    <cfRule type="containsText" dxfId="434" priority="27" operator="containsText" text="綠豆芽">
      <formula>NOT(ISERROR(SEARCH("綠豆芽",A12)))</formula>
    </cfRule>
  </conditionalFormatting>
  <conditionalFormatting sqref="A28:A37">
    <cfRule type="containsText" dxfId="433" priority="5" operator="containsText" text="綠豆芽">
      <formula>NOT(ISERROR(SEARCH("綠豆芽",A28)))</formula>
    </cfRule>
    <cfRule type="containsText" dxfId="432" priority="6" operator="containsText" text="煮白細麵生(方#12)">
      <formula>NOT(ISERROR(SEARCH("煮白細麵生(方#12)",A28)))</formula>
    </cfRule>
    <cfRule type="containsText" dxfId="431" priority="7" operator="containsText" text="024">
      <formula>NOT(ISERROR(SEARCH("024",A28)))</formula>
    </cfRule>
    <cfRule type="containsText" dxfId="430" priority="8" operator="containsText" text="白醬">
      <formula>NOT(ISERROR(SEARCH("白醬",A28)))</formula>
    </cfRule>
    <cfRule type="containsText" dxfId="429" priority="9" operator="containsText" text="青蔥">
      <formula>NOT(ISERROR(SEARCH("青蔥",A28)))</formula>
    </cfRule>
    <cfRule type="containsText" dxfId="428" priority="10" operator="containsText" text=")川燙小青花菜">
      <formula>NOT(ISERROR(SEARCH(")川燙小青花菜",A28)))</formula>
    </cfRule>
    <cfRule type="containsText" dxfId="427" priority="11" operator="containsText" text="湯凍">
      <formula>NOT(ISERROR(SEARCH("湯凍",A28)))</formula>
    </cfRule>
    <cfRule type="containsText" dxfId="426" priority="12" operator="containsText" text="中華">
      <formula>NOT(ISERROR(SEARCH("中華",A28)))</formula>
    </cfRule>
  </conditionalFormatting>
  <conditionalFormatting sqref="A44:A53">
    <cfRule type="containsText" dxfId="425" priority="17" operator="containsText" text="綠豆芽">
      <formula>NOT(ISERROR(SEARCH("綠豆芽",A44)))</formula>
    </cfRule>
    <cfRule type="containsText" dxfId="424" priority="18" operator="containsText" text="煮白細麵生(方#12)">
      <formula>NOT(ISERROR(SEARCH("煮白細麵生(方#12)",A44)))</formula>
    </cfRule>
    <cfRule type="containsText" dxfId="423" priority="19" operator="containsText" text="024">
      <formula>NOT(ISERROR(SEARCH("024",A44)))</formula>
    </cfRule>
    <cfRule type="containsText" dxfId="422" priority="20" operator="containsText" text="白醬">
      <formula>NOT(ISERROR(SEARCH("白醬",A44)))</formula>
    </cfRule>
    <cfRule type="containsText" dxfId="421" priority="21" operator="containsText" text="青蔥">
      <formula>NOT(ISERROR(SEARCH("青蔥",A44)))</formula>
    </cfRule>
    <cfRule type="containsText" dxfId="420" priority="22" operator="containsText" text=")川燙小青花菜">
      <formula>NOT(ISERROR(SEARCH(")川燙小青花菜",A44)))</formula>
    </cfRule>
    <cfRule type="containsText" dxfId="419" priority="23" operator="containsText" text="湯凍">
      <formula>NOT(ISERROR(SEARCH("湯凍",A44)))</formula>
    </cfRule>
    <cfRule type="containsText" dxfId="418" priority="24" operator="containsText" text="中華">
      <formula>NOT(ISERROR(SEARCH("中華",A44)))</formula>
    </cfRule>
  </conditionalFormatting>
  <conditionalFormatting sqref="D44:D53">
    <cfRule type="cellIs" dxfId="417" priority="16" operator="greaterThan">
      <formula>0.146</formula>
    </cfRule>
  </conditionalFormatting>
  <conditionalFormatting sqref="E5">
    <cfRule type="cellIs" dxfId="416" priority="25" operator="greaterThan">
      <formula>0.072</formula>
    </cfRule>
    <cfRule type="cellIs" dxfId="415" priority="26" operator="greaterThan">
      <formula>7.2</formula>
    </cfRule>
    <cfRule type="cellIs" dxfId="414" priority="14" operator="greaterThan">
      <formula>0.0025</formula>
    </cfRule>
  </conditionalFormatting>
  <conditionalFormatting sqref="G5">
    <cfRule type="cellIs" dxfId="413" priority="3" operator="greaterThan">
      <formula>7.2</formula>
    </cfRule>
    <cfRule type="cellIs" dxfId="412" priority="2" operator="greaterThan">
      <formula>0.072</formula>
    </cfRule>
    <cfRule type="cellIs" dxfId="411" priority="1" operator="greaterThan">
      <formula>0.0025</formula>
    </cfRule>
  </conditionalFormatting>
  <conditionalFormatting sqref="H12:H22">
    <cfRule type="cellIs" dxfId="410" priority="15" operator="greaterThan">
      <formula>1.1</formula>
    </cfRule>
  </conditionalFormatting>
  <conditionalFormatting sqref="H28:H37">
    <cfRule type="cellIs" dxfId="409" priority="4" operator="greaterThan">
      <formula>1.1</formula>
    </cfRule>
  </conditionalFormatting>
  <conditionalFormatting sqref="I5">
    <cfRule type="cellIs" dxfId="40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9D72-4AB5-441F-867F-73D97B9EBDC3}">
  <sheetPr>
    <tabColor rgb="FFFF0000"/>
    <pageSetUpPr fitToPage="1"/>
  </sheetPr>
  <dimension ref="A1:Q56"/>
  <sheetViews>
    <sheetView topLeftCell="G13" zoomScale="70" zoomScaleNormal="70" workbookViewId="0">
      <selection activeCell="Q28" sqref="Q28:Q37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45881</v>
      </c>
      <c r="B3" s="150"/>
      <c r="C3" s="151">
        <v>7841558.5099999998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18989.922799999993</v>
      </c>
      <c r="E5" s="25">
        <f>D5/C3</f>
        <v>2.4217026214601303E-3</v>
      </c>
      <c r="F5" s="24">
        <v>66433.736746000068</v>
      </c>
      <c r="G5" s="26">
        <f>F5/C3</f>
        <v>8.4720067651449654E-3</v>
      </c>
      <c r="H5" s="27">
        <f>SUM(C12:C21)</f>
        <v>6434.6202000000012</v>
      </c>
      <c r="I5" s="28">
        <f>H5/D5</f>
        <v>0.33884393674312374</v>
      </c>
      <c r="J5" s="27">
        <f>SUM(C28:C37)</f>
        <v>17858.852099999993</v>
      </c>
      <c r="K5" s="29">
        <f>J5/F5</f>
        <v>0.26882203191852311</v>
      </c>
      <c r="L5" s="30">
        <v>3211.2648999999992</v>
      </c>
      <c r="M5" s="31">
        <f>L5/D5</f>
        <v>0.16910363111112808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164</v>
      </c>
      <c r="C12" s="37">
        <v>1367.7717</v>
      </c>
      <c r="D12" s="38">
        <v>41.52</v>
      </c>
      <c r="E12" s="38">
        <v>47.81</v>
      </c>
      <c r="F12" s="38">
        <v>0</v>
      </c>
      <c r="G12" s="37">
        <v>236.23</v>
      </c>
      <c r="H12" s="39">
        <f>(E12+F12)/D12</f>
        <v>1.1514932562620424</v>
      </c>
      <c r="I12" s="37">
        <v>1485.8866999999998</v>
      </c>
      <c r="J12" s="38">
        <v>5.79</v>
      </c>
      <c r="K12" s="40">
        <f>J12/D12</f>
        <v>0.13945086705202311</v>
      </c>
      <c r="L12" s="41">
        <f>((E12+F12)-D12)-J12</f>
        <v>0.49999999999999911</v>
      </c>
      <c r="M12" s="42">
        <f>L12/D12</f>
        <v>1.2042389210019246E-2</v>
      </c>
      <c r="N12" s="43">
        <f t="shared" ref="N12:N21" si="0">L12*G12</f>
        <v>118.11499999999978</v>
      </c>
      <c r="O12" s="44" t="s">
        <v>88</v>
      </c>
      <c r="P12" s="44" t="s">
        <v>96</v>
      </c>
      <c r="Q12" s="45" t="s">
        <v>124</v>
      </c>
    </row>
    <row r="13" spans="1:17" s="46" customFormat="1" ht="24.95" customHeight="1">
      <c r="A13" s="47">
        <v>2</v>
      </c>
      <c r="B13" s="36" t="s">
        <v>91</v>
      </c>
      <c r="C13" s="37">
        <v>1236</v>
      </c>
      <c r="D13" s="38">
        <v>3799</v>
      </c>
      <c r="E13" s="38">
        <v>3879</v>
      </c>
      <c r="F13" s="38">
        <v>0</v>
      </c>
      <c r="G13" s="37">
        <v>15.45</v>
      </c>
      <c r="H13" s="39">
        <f t="shared" ref="H13:H21" si="1">(E13+F13)/D13</f>
        <v>1.0210581732034747</v>
      </c>
      <c r="I13" s="37">
        <v>1236</v>
      </c>
      <c r="J13" s="38">
        <v>80</v>
      </c>
      <c r="K13" s="40">
        <f>J13/D13</f>
        <v>2.1058173203474598E-2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221</v>
      </c>
      <c r="Q13" s="45" t="s">
        <v>94</v>
      </c>
    </row>
    <row r="14" spans="1:17" s="46" customFormat="1" ht="24.95" customHeight="1">
      <c r="A14" s="47">
        <v>3</v>
      </c>
      <c r="B14" s="36" t="s">
        <v>232</v>
      </c>
      <c r="C14" s="37">
        <v>781.10760000000005</v>
      </c>
      <c r="D14" s="38">
        <v>26.16</v>
      </c>
      <c r="E14" s="38">
        <v>27.77</v>
      </c>
      <c r="F14" s="38">
        <v>0</v>
      </c>
      <c r="G14" s="37">
        <v>485.16</v>
      </c>
      <c r="H14" s="39">
        <f>(E14+F14)/D14</f>
        <v>1.0615443425076452</v>
      </c>
      <c r="I14" s="37">
        <v>781.10759999999982</v>
      </c>
      <c r="J14" s="38">
        <v>1.61</v>
      </c>
      <c r="K14" s="40">
        <f t="shared" ref="K14:K21" si="4">J14/D14</f>
        <v>6.1544342507645261E-2</v>
      </c>
      <c r="L14" s="41">
        <f t="shared" si="2"/>
        <v>0</v>
      </c>
      <c r="M14" s="42">
        <f t="shared" si="3"/>
        <v>0</v>
      </c>
      <c r="N14" s="43">
        <f t="shared" si="0"/>
        <v>0</v>
      </c>
      <c r="O14" s="44" t="s">
        <v>88</v>
      </c>
      <c r="P14" s="44" t="s">
        <v>96</v>
      </c>
      <c r="Q14" s="45" t="s">
        <v>90</v>
      </c>
    </row>
    <row r="15" spans="1:17" s="46" customFormat="1" ht="24.95" customHeight="1">
      <c r="A15" s="35">
        <v>4</v>
      </c>
      <c r="B15" s="36" t="s">
        <v>248</v>
      </c>
      <c r="C15" s="37">
        <v>633.52350000000001</v>
      </c>
      <c r="D15" s="38">
        <v>21.26</v>
      </c>
      <c r="E15" s="38">
        <v>24.71</v>
      </c>
      <c r="F15" s="38">
        <v>0</v>
      </c>
      <c r="G15" s="37">
        <v>183.63</v>
      </c>
      <c r="H15" s="39">
        <f>(E15+F15)/D15</f>
        <v>1.1622765757290687</v>
      </c>
      <c r="I15" s="37">
        <v>633.5234999999999</v>
      </c>
      <c r="J15" s="38">
        <v>3.45</v>
      </c>
      <c r="K15" s="40">
        <f t="shared" si="4"/>
        <v>0.16227657572906867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88</v>
      </c>
      <c r="P15" s="44" t="s">
        <v>96</v>
      </c>
      <c r="Q15" s="45" t="s">
        <v>211</v>
      </c>
    </row>
    <row r="16" spans="1:17" s="46" customFormat="1" ht="24.95" customHeight="1">
      <c r="A16" s="47">
        <v>5</v>
      </c>
      <c r="B16" s="36" t="s">
        <v>87</v>
      </c>
      <c r="C16" s="37">
        <v>429.07200000000006</v>
      </c>
      <c r="D16" s="38">
        <v>21.4</v>
      </c>
      <c r="E16" s="38">
        <v>22.2</v>
      </c>
      <c r="F16" s="38">
        <v>0</v>
      </c>
      <c r="G16" s="37">
        <v>536.34</v>
      </c>
      <c r="H16" s="39">
        <f t="shared" si="1"/>
        <v>1.0373831775700935</v>
      </c>
      <c r="I16" s="37">
        <v>429.0720000000004</v>
      </c>
      <c r="J16" s="38">
        <v>0.8</v>
      </c>
      <c r="K16" s="40">
        <f t="shared" si="4"/>
        <v>3.7383177570093462E-2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88</v>
      </c>
      <c r="P16" s="44" t="s">
        <v>89</v>
      </c>
      <c r="Q16" s="45" t="s">
        <v>90</v>
      </c>
    </row>
    <row r="17" spans="1:17" s="46" customFormat="1" ht="24.95" customHeight="1">
      <c r="A17" s="35">
        <v>6</v>
      </c>
      <c r="B17" s="36" t="s">
        <v>134</v>
      </c>
      <c r="C17" s="37">
        <v>408.88329999999996</v>
      </c>
      <c r="D17" s="38">
        <v>320.95999999999998</v>
      </c>
      <c r="E17" s="38">
        <v>325.99</v>
      </c>
      <c r="F17" s="38">
        <v>0</v>
      </c>
      <c r="G17" s="37">
        <v>157.87</v>
      </c>
      <c r="H17" s="39">
        <f t="shared" si="1"/>
        <v>1.0156717347956132</v>
      </c>
      <c r="I17" s="37">
        <v>794.08610000000465</v>
      </c>
      <c r="J17" s="38">
        <v>2.59</v>
      </c>
      <c r="K17" s="40">
        <f t="shared" si="4"/>
        <v>8.0695413758723831E-3</v>
      </c>
      <c r="L17" s="41">
        <f t="shared" si="2"/>
        <v>2.4400000000000297</v>
      </c>
      <c r="M17" s="42">
        <f t="shared" si="3"/>
        <v>7.6021934197408707E-3</v>
      </c>
      <c r="N17" s="43">
        <f t="shared" si="0"/>
        <v>385.20280000000469</v>
      </c>
      <c r="O17" s="44" t="s">
        <v>88</v>
      </c>
      <c r="P17" s="44" t="s">
        <v>89</v>
      </c>
      <c r="Q17" s="45" t="s">
        <v>103</v>
      </c>
    </row>
    <row r="18" spans="1:17" s="46" customFormat="1" ht="24.95" customHeight="1">
      <c r="A18" s="47">
        <v>7</v>
      </c>
      <c r="B18" s="36" t="s">
        <v>104</v>
      </c>
      <c r="C18" s="37">
        <v>396.76209999999998</v>
      </c>
      <c r="D18" s="38">
        <v>47.46</v>
      </c>
      <c r="E18" s="38">
        <v>51.16</v>
      </c>
      <c r="F18" s="38">
        <v>0</v>
      </c>
      <c r="G18" s="37">
        <v>153.19</v>
      </c>
      <c r="H18" s="39">
        <f t="shared" si="1"/>
        <v>1.0779603876949009</v>
      </c>
      <c r="I18" s="37">
        <v>566.80299999999932</v>
      </c>
      <c r="J18" s="38">
        <v>2.59</v>
      </c>
      <c r="K18" s="40">
        <f t="shared" si="4"/>
        <v>5.4572271386430678E-2</v>
      </c>
      <c r="L18" s="41">
        <f>((E18+F18)-D18)-J18</f>
        <v>1.1099999999999959</v>
      </c>
      <c r="M18" s="42">
        <f t="shared" si="3"/>
        <v>2.3388116308470205E-2</v>
      </c>
      <c r="N18" s="43">
        <f t="shared" si="0"/>
        <v>170.04089999999937</v>
      </c>
      <c r="O18" s="44" t="s">
        <v>88</v>
      </c>
      <c r="P18" s="44" t="s">
        <v>96</v>
      </c>
      <c r="Q18" s="45" t="s">
        <v>105</v>
      </c>
    </row>
    <row r="19" spans="1:17" s="46" customFormat="1" ht="24.95" customHeight="1">
      <c r="A19" s="35">
        <v>8</v>
      </c>
      <c r="B19" s="36" t="s">
        <v>168</v>
      </c>
      <c r="C19" s="37">
        <v>395.25</v>
      </c>
      <c r="D19" s="38">
        <v>11934</v>
      </c>
      <c r="E19" s="38">
        <v>11924</v>
      </c>
      <c r="F19" s="38">
        <v>475</v>
      </c>
      <c r="G19" s="37">
        <v>0.85</v>
      </c>
      <c r="H19" s="39">
        <f t="shared" si="1"/>
        <v>1.0389643036701861</v>
      </c>
      <c r="I19" s="37">
        <v>395.25</v>
      </c>
      <c r="J19" s="38">
        <v>465</v>
      </c>
      <c r="K19" s="40">
        <f t="shared" si="4"/>
        <v>3.8964303670186023E-2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88</v>
      </c>
      <c r="P19" s="44" t="s">
        <v>223</v>
      </c>
      <c r="Q19" s="45" t="s">
        <v>103</v>
      </c>
    </row>
    <row r="20" spans="1:17" s="46" customFormat="1" ht="24.95" customHeight="1">
      <c r="A20" s="47">
        <v>9</v>
      </c>
      <c r="B20" s="36" t="s">
        <v>197</v>
      </c>
      <c r="C20" s="37">
        <v>393.68000000000006</v>
      </c>
      <c r="D20" s="38">
        <v>11.19</v>
      </c>
      <c r="E20" s="38">
        <v>12.79</v>
      </c>
      <c r="F20" s="38">
        <v>0</v>
      </c>
      <c r="G20" s="37">
        <v>246.05</v>
      </c>
      <c r="H20" s="39">
        <f t="shared" si="1"/>
        <v>1.1429848078641645</v>
      </c>
      <c r="I20" s="37">
        <v>393.67999999999995</v>
      </c>
      <c r="J20" s="38">
        <v>1.6</v>
      </c>
      <c r="K20" s="40">
        <f t="shared" si="4"/>
        <v>0.14298480786416445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88</v>
      </c>
      <c r="P20" s="44" t="s">
        <v>96</v>
      </c>
      <c r="Q20" s="45" t="s">
        <v>154</v>
      </c>
    </row>
    <row r="21" spans="1:17" s="46" customFormat="1" ht="24.95" customHeight="1" thickBot="1">
      <c r="A21" s="48">
        <v>10</v>
      </c>
      <c r="B21" s="49" t="s">
        <v>190</v>
      </c>
      <c r="C21" s="50">
        <v>392.57</v>
      </c>
      <c r="D21" s="51">
        <v>1441</v>
      </c>
      <c r="E21" s="51">
        <v>1478</v>
      </c>
      <c r="F21" s="51">
        <v>0</v>
      </c>
      <c r="G21" s="50">
        <v>10.61</v>
      </c>
      <c r="H21" s="52">
        <f t="shared" si="1"/>
        <v>1.025676613462873</v>
      </c>
      <c r="I21" s="50">
        <v>392.57</v>
      </c>
      <c r="J21" s="51">
        <v>37</v>
      </c>
      <c r="K21" s="53">
        <f t="shared" si="4"/>
        <v>2.5676613462873005E-2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88</v>
      </c>
      <c r="P21" s="57" t="s">
        <v>223</v>
      </c>
      <c r="Q21" s="58" t="s">
        <v>189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179</v>
      </c>
      <c r="C28" s="37">
        <v>2911.2636000000061</v>
      </c>
      <c r="D28" s="38">
        <v>219.06</v>
      </c>
      <c r="E28" s="38">
        <v>218.15</v>
      </c>
      <c r="F28" s="38">
        <v>8.0500000000000007</v>
      </c>
      <c r="G28" s="37">
        <v>407.74</v>
      </c>
      <c r="H28" s="68">
        <f t="shared" ref="H28:H37" si="5">(E28+F28)/D28</f>
        <v>1.0325938099150918</v>
      </c>
      <c r="I28" s="37">
        <v>2911.2636000000061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7.1400000000000148</v>
      </c>
      <c r="N28" s="42">
        <f t="shared" ref="N28:N37" si="9">M28/D28</f>
        <v>3.2593809915091823E-2</v>
      </c>
      <c r="O28" s="44" t="s">
        <v>116</v>
      </c>
      <c r="P28" s="69" t="s">
        <v>225</v>
      </c>
      <c r="Q28" s="45" t="s">
        <v>180</v>
      </c>
    </row>
    <row r="29" spans="1:17" s="67" customFormat="1" ht="24.95" customHeight="1">
      <c r="A29" s="47">
        <v>2</v>
      </c>
      <c r="B29" s="36" t="s">
        <v>101</v>
      </c>
      <c r="C29" s="37">
        <v>2776.1068999999893</v>
      </c>
      <c r="D29" s="38">
        <v>673.87</v>
      </c>
      <c r="E29" s="38">
        <v>673.8</v>
      </c>
      <c r="F29" s="38">
        <v>18.899999999999999</v>
      </c>
      <c r="G29" s="37">
        <v>147.43</v>
      </c>
      <c r="H29" s="68">
        <f t="shared" si="5"/>
        <v>1.0279430750738272</v>
      </c>
      <c r="I29" s="37">
        <v>2776.1068999999893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18.829999999999927</v>
      </c>
      <c r="N29" s="42">
        <f t="shared" si="9"/>
        <v>2.7943075073827189E-2</v>
      </c>
      <c r="O29" s="44" t="s">
        <v>116</v>
      </c>
      <c r="P29" s="44" t="s">
        <v>224</v>
      </c>
      <c r="Q29" s="45" t="s">
        <v>103</v>
      </c>
    </row>
    <row r="30" spans="1:17" s="67" customFormat="1" ht="24.95" customHeight="1">
      <c r="A30" s="47">
        <v>3</v>
      </c>
      <c r="B30" s="36" t="s">
        <v>155</v>
      </c>
      <c r="C30" s="37">
        <v>1913.6804000000011</v>
      </c>
      <c r="D30" s="38">
        <v>60.91</v>
      </c>
      <c r="E30" s="38">
        <v>61.19</v>
      </c>
      <c r="F30" s="38">
        <v>2.64</v>
      </c>
      <c r="G30" s="37">
        <v>655.37</v>
      </c>
      <c r="H30" s="68">
        <f t="shared" si="5"/>
        <v>1.0479395829912987</v>
      </c>
      <c r="I30" s="37">
        <v>1913.6804000000011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2.9200000000000017</v>
      </c>
      <c r="N30" s="42">
        <f t="shared" si="9"/>
        <v>4.793958299129867E-2</v>
      </c>
      <c r="O30" s="44" t="s">
        <v>116</v>
      </c>
      <c r="P30" s="44" t="s">
        <v>89</v>
      </c>
      <c r="Q30" s="45" t="s">
        <v>122</v>
      </c>
    </row>
    <row r="31" spans="1:17" s="67" customFormat="1" ht="24.95" customHeight="1">
      <c r="A31" s="35">
        <v>4</v>
      </c>
      <c r="B31" s="36" t="s">
        <v>140</v>
      </c>
      <c r="C31" s="37">
        <v>1734.0000000000032</v>
      </c>
      <c r="D31" s="38">
        <v>145.32</v>
      </c>
      <c r="E31" s="38">
        <v>148.74</v>
      </c>
      <c r="F31" s="38">
        <v>5.25</v>
      </c>
      <c r="G31" s="37">
        <v>200</v>
      </c>
      <c r="H31" s="68">
        <f t="shared" si="5"/>
        <v>1.0596614368290671</v>
      </c>
      <c r="I31" s="37">
        <v>1734.0000000000032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8.6700000000000159</v>
      </c>
      <c r="N31" s="42">
        <f t="shared" si="9"/>
        <v>5.9661436829067001E-2</v>
      </c>
      <c r="O31" s="44" t="s">
        <v>116</v>
      </c>
      <c r="P31" s="44" t="s">
        <v>89</v>
      </c>
      <c r="Q31" s="45" t="s">
        <v>103</v>
      </c>
    </row>
    <row r="32" spans="1:17" s="67" customFormat="1" ht="24.95" customHeight="1">
      <c r="A32" s="47">
        <v>5</v>
      </c>
      <c r="B32" s="36" t="s">
        <v>196</v>
      </c>
      <c r="C32" s="37">
        <v>1698.191999999993</v>
      </c>
      <c r="D32" s="38">
        <v>78.28</v>
      </c>
      <c r="E32" s="38">
        <v>78.319999999999993</v>
      </c>
      <c r="F32" s="38">
        <v>2.66</v>
      </c>
      <c r="G32" s="37">
        <v>628.96</v>
      </c>
      <c r="H32" s="68">
        <f t="shared" si="5"/>
        <v>1.0344915687276441</v>
      </c>
      <c r="I32" s="37">
        <v>1698.191999999993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2.6999999999999886</v>
      </c>
      <c r="N32" s="42">
        <f t="shared" si="9"/>
        <v>3.4491568727644209E-2</v>
      </c>
      <c r="O32" s="44" t="s">
        <v>116</v>
      </c>
      <c r="P32" s="44" t="s">
        <v>89</v>
      </c>
      <c r="Q32" s="45" t="s">
        <v>110</v>
      </c>
    </row>
    <row r="33" spans="1:17" s="67" customFormat="1" ht="24.95" customHeight="1">
      <c r="A33" s="35">
        <v>6</v>
      </c>
      <c r="B33" s="36" t="s">
        <v>219</v>
      </c>
      <c r="C33" s="37">
        <v>1569.1286000000002</v>
      </c>
      <c r="D33" s="38">
        <v>197.22</v>
      </c>
      <c r="E33" s="38">
        <v>195.42</v>
      </c>
      <c r="F33" s="38">
        <v>15.58</v>
      </c>
      <c r="G33" s="37">
        <v>113.87</v>
      </c>
      <c r="H33" s="68">
        <f t="shared" si="5"/>
        <v>1.0698712098164487</v>
      </c>
      <c r="I33" s="37">
        <v>1569.1286000000002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13.780000000000001</v>
      </c>
      <c r="N33" s="42">
        <f t="shared" si="9"/>
        <v>6.9871209816448648E-2</v>
      </c>
      <c r="O33" s="44" t="s">
        <v>116</v>
      </c>
      <c r="P33" s="44" t="s">
        <v>89</v>
      </c>
      <c r="Q33" s="45" t="s">
        <v>124</v>
      </c>
    </row>
    <row r="34" spans="1:17" s="67" customFormat="1" ht="24.95" customHeight="1">
      <c r="A34" s="47">
        <v>7</v>
      </c>
      <c r="B34" s="36" t="s">
        <v>130</v>
      </c>
      <c r="C34" s="37">
        <v>1550.7968000000012</v>
      </c>
      <c r="D34" s="38">
        <v>233.83</v>
      </c>
      <c r="E34" s="38">
        <v>234.24</v>
      </c>
      <c r="F34" s="38">
        <v>2.15</v>
      </c>
      <c r="G34" s="37">
        <v>605.78</v>
      </c>
      <c r="H34" s="68">
        <f t="shared" si="5"/>
        <v>1.0109481247059831</v>
      </c>
      <c r="I34" s="37">
        <v>1550.7968000000012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2.5600000000000023</v>
      </c>
      <c r="N34" s="42">
        <f t="shared" si="9"/>
        <v>1.0948124705982987E-2</v>
      </c>
      <c r="O34" s="44" t="s">
        <v>116</v>
      </c>
      <c r="P34" s="69" t="s">
        <v>225</v>
      </c>
      <c r="Q34" s="45" t="s">
        <v>133</v>
      </c>
    </row>
    <row r="35" spans="1:17" s="67" customFormat="1" ht="24.95" customHeight="1">
      <c r="A35" s="35">
        <v>8</v>
      </c>
      <c r="B35" s="36" t="s">
        <v>125</v>
      </c>
      <c r="C35" s="37">
        <v>1370.9514000000006</v>
      </c>
      <c r="D35" s="38">
        <v>51.08</v>
      </c>
      <c r="E35" s="38">
        <v>49.99</v>
      </c>
      <c r="F35" s="38">
        <v>3.3</v>
      </c>
      <c r="G35" s="37">
        <v>620.34</v>
      </c>
      <c r="H35" s="68">
        <f t="shared" si="5"/>
        <v>1.043265465935787</v>
      </c>
      <c r="I35" s="37">
        <v>1370.9514000000006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2.2100000000000009</v>
      </c>
      <c r="N35" s="42">
        <f t="shared" si="9"/>
        <v>4.326546593578702E-2</v>
      </c>
      <c r="O35" s="44" t="s">
        <v>116</v>
      </c>
      <c r="P35" s="44" t="s">
        <v>89</v>
      </c>
      <c r="Q35" s="45" t="s">
        <v>126</v>
      </c>
    </row>
    <row r="36" spans="1:17" s="67" customFormat="1" ht="24.95" customHeight="1">
      <c r="A36" s="47">
        <v>9</v>
      </c>
      <c r="B36" s="36" t="s">
        <v>167</v>
      </c>
      <c r="C36" s="37">
        <v>1185.7121999999988</v>
      </c>
      <c r="D36" s="38">
        <v>17.68</v>
      </c>
      <c r="E36" s="38">
        <v>17.97</v>
      </c>
      <c r="F36" s="38">
        <v>1.2</v>
      </c>
      <c r="G36" s="37">
        <v>795.78</v>
      </c>
      <c r="H36" s="68">
        <f t="shared" si="5"/>
        <v>1.0842760180995474</v>
      </c>
      <c r="I36" s="37">
        <v>1185.7121999999988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1.4899999999999984</v>
      </c>
      <c r="N36" s="42">
        <f t="shared" si="9"/>
        <v>8.427601809954742E-2</v>
      </c>
      <c r="O36" s="44" t="s">
        <v>131</v>
      </c>
      <c r="P36" s="44" t="s">
        <v>89</v>
      </c>
      <c r="Q36" s="45" t="s">
        <v>147</v>
      </c>
    </row>
    <row r="37" spans="1:17" s="67" customFormat="1" ht="24.95" customHeight="1" thickBot="1">
      <c r="A37" s="48">
        <v>10</v>
      </c>
      <c r="B37" s="49" t="s">
        <v>181</v>
      </c>
      <c r="C37" s="50">
        <v>1149.0202000000002</v>
      </c>
      <c r="D37" s="51">
        <v>95.16</v>
      </c>
      <c r="E37" s="51">
        <v>94.61</v>
      </c>
      <c r="F37" s="51">
        <v>3.69</v>
      </c>
      <c r="G37" s="50">
        <v>365.93</v>
      </c>
      <c r="H37" s="70">
        <f t="shared" si="5"/>
        <v>1.0329970575872216</v>
      </c>
      <c r="I37" s="50">
        <v>1149.0202000000002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3.1400000000000006</v>
      </c>
      <c r="N37" s="55">
        <f t="shared" si="9"/>
        <v>3.2997057587221532E-2</v>
      </c>
      <c r="O37" s="57" t="s">
        <v>131</v>
      </c>
      <c r="P37" s="57" t="s">
        <v>89</v>
      </c>
      <c r="Q37" s="58" t="s">
        <v>182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134</v>
      </c>
      <c r="C44" s="37">
        <v>408.88329999999996</v>
      </c>
      <c r="D44" s="76">
        <f t="shared" ref="D44:D53" si="10">C44/$L$5</f>
        <v>0.12732780157750301</v>
      </c>
      <c r="E44" s="77"/>
    </row>
    <row r="45" spans="1:17" s="78" customFormat="1" ht="24.95" customHeight="1">
      <c r="A45" s="79">
        <v>2</v>
      </c>
      <c r="B45" s="36" t="s">
        <v>168</v>
      </c>
      <c r="C45" s="37">
        <v>395.25</v>
      </c>
      <c r="D45" s="76">
        <f t="shared" si="10"/>
        <v>0.12308234054437556</v>
      </c>
      <c r="E45" s="77"/>
    </row>
    <row r="46" spans="1:17" s="78" customFormat="1" ht="24.95" customHeight="1">
      <c r="A46" s="79">
        <v>3</v>
      </c>
      <c r="B46" s="36" t="s">
        <v>137</v>
      </c>
      <c r="C46" s="37">
        <v>392</v>
      </c>
      <c r="D46" s="76">
        <f t="shared" si="10"/>
        <v>0.12207027828815994</v>
      </c>
      <c r="E46" s="77"/>
    </row>
    <row r="47" spans="1:17" s="78" customFormat="1" ht="24.95" customHeight="1">
      <c r="A47" s="75">
        <v>4</v>
      </c>
      <c r="B47" s="36" t="s">
        <v>138</v>
      </c>
      <c r="C47" s="37">
        <v>372.06</v>
      </c>
      <c r="D47" s="76">
        <f t="shared" si="10"/>
        <v>0.11586088709156324</v>
      </c>
      <c r="E47" s="77"/>
    </row>
    <row r="48" spans="1:17" s="78" customFormat="1" ht="24.95" customHeight="1">
      <c r="A48" s="79">
        <v>5</v>
      </c>
      <c r="B48" s="36" t="s">
        <v>141</v>
      </c>
      <c r="C48" s="37">
        <v>355.86</v>
      </c>
      <c r="D48" s="76">
        <f t="shared" si="10"/>
        <v>0.11081614599904234</v>
      </c>
      <c r="E48" s="77"/>
    </row>
    <row r="49" spans="1:5" s="78" customFormat="1" ht="24.95" customHeight="1">
      <c r="A49" s="75">
        <v>6</v>
      </c>
      <c r="B49" s="36" t="s">
        <v>246</v>
      </c>
      <c r="C49" s="37">
        <v>190.2988</v>
      </c>
      <c r="D49" s="76">
        <f t="shared" si="10"/>
        <v>5.9259763964037988E-2</v>
      </c>
      <c r="E49" s="77"/>
    </row>
    <row r="50" spans="1:5" s="78" customFormat="1" ht="24.95" customHeight="1">
      <c r="A50" s="79">
        <v>7</v>
      </c>
      <c r="B50" s="36" t="s">
        <v>170</v>
      </c>
      <c r="C50" s="37">
        <v>178.1472</v>
      </c>
      <c r="D50" s="76">
        <f t="shared" si="10"/>
        <v>5.5475709898613487E-2</v>
      </c>
      <c r="E50" s="77"/>
    </row>
    <row r="51" spans="1:5" s="78" customFormat="1" ht="24.95" customHeight="1">
      <c r="A51" s="75">
        <v>8</v>
      </c>
      <c r="B51" s="36" t="s">
        <v>142</v>
      </c>
      <c r="C51" s="37">
        <v>145.73680000000002</v>
      </c>
      <c r="D51" s="76">
        <f t="shared" si="10"/>
        <v>4.5382989114351811E-2</v>
      </c>
      <c r="E51" s="77"/>
    </row>
    <row r="52" spans="1:5" s="78" customFormat="1" ht="24.95" customHeight="1">
      <c r="A52" s="79">
        <v>9</v>
      </c>
      <c r="B52" s="36" t="s">
        <v>233</v>
      </c>
      <c r="C52" s="37">
        <v>136.07999999999998</v>
      </c>
      <c r="D52" s="76">
        <f t="shared" si="10"/>
        <v>4.2375825177175516E-2</v>
      </c>
      <c r="E52" s="77"/>
    </row>
    <row r="53" spans="1:5" s="78" customFormat="1" ht="24.95" customHeight="1" thickBot="1">
      <c r="A53" s="80">
        <v>10</v>
      </c>
      <c r="B53" s="49" t="s">
        <v>129</v>
      </c>
      <c r="C53" s="50">
        <v>113.4432</v>
      </c>
      <c r="D53" s="81">
        <f t="shared" si="10"/>
        <v>3.5326640290559659E-2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07" priority="34" operator="containsText" text="中華">
      <formula>NOT(ISERROR(SEARCH("中華",A12)))</formula>
    </cfRule>
    <cfRule type="containsText" dxfId="406" priority="33" operator="containsText" text="湯凍">
      <formula>NOT(ISERROR(SEARCH("湯凍",A12)))</formula>
    </cfRule>
    <cfRule type="containsText" dxfId="405" priority="32" operator="containsText" text=")川燙小青花菜">
      <formula>NOT(ISERROR(SEARCH(")川燙小青花菜",A12)))</formula>
    </cfRule>
    <cfRule type="containsText" dxfId="404" priority="31" operator="containsText" text="青蔥">
      <formula>NOT(ISERROR(SEARCH("青蔥",A12)))</formula>
    </cfRule>
    <cfRule type="containsText" dxfId="403" priority="30" operator="containsText" text="白醬">
      <formula>NOT(ISERROR(SEARCH("白醬",A12)))</formula>
    </cfRule>
    <cfRule type="containsText" dxfId="402" priority="29" operator="containsText" text="024">
      <formula>NOT(ISERROR(SEARCH("024",A12)))</formula>
    </cfRule>
    <cfRule type="containsText" dxfId="401" priority="28" operator="containsText" text="煮白細麵生(方#12)">
      <formula>NOT(ISERROR(SEARCH("煮白細麵生(方#12)",A12)))</formula>
    </cfRule>
    <cfRule type="containsText" dxfId="400" priority="27" operator="containsText" text="綠豆芽">
      <formula>NOT(ISERROR(SEARCH("綠豆芽",A12)))</formula>
    </cfRule>
  </conditionalFormatting>
  <conditionalFormatting sqref="A28:A37">
    <cfRule type="containsText" dxfId="399" priority="5" operator="containsText" text="綠豆芽">
      <formula>NOT(ISERROR(SEARCH("綠豆芽",A28)))</formula>
    </cfRule>
    <cfRule type="containsText" dxfId="398" priority="6" operator="containsText" text="煮白細麵生(方#12)">
      <formula>NOT(ISERROR(SEARCH("煮白細麵生(方#12)",A28)))</formula>
    </cfRule>
    <cfRule type="containsText" dxfId="397" priority="7" operator="containsText" text="024">
      <formula>NOT(ISERROR(SEARCH("024",A28)))</formula>
    </cfRule>
    <cfRule type="containsText" dxfId="396" priority="8" operator="containsText" text="白醬">
      <formula>NOT(ISERROR(SEARCH("白醬",A28)))</formula>
    </cfRule>
    <cfRule type="containsText" dxfId="395" priority="9" operator="containsText" text="青蔥">
      <formula>NOT(ISERROR(SEARCH("青蔥",A28)))</formula>
    </cfRule>
    <cfRule type="containsText" dxfId="394" priority="10" operator="containsText" text=")川燙小青花菜">
      <formula>NOT(ISERROR(SEARCH(")川燙小青花菜",A28)))</formula>
    </cfRule>
    <cfRule type="containsText" dxfId="393" priority="11" operator="containsText" text="湯凍">
      <formula>NOT(ISERROR(SEARCH("湯凍",A28)))</formula>
    </cfRule>
    <cfRule type="containsText" dxfId="392" priority="12" operator="containsText" text="中華">
      <formula>NOT(ISERROR(SEARCH("中華",A28)))</formula>
    </cfRule>
  </conditionalFormatting>
  <conditionalFormatting sqref="A44:A53">
    <cfRule type="containsText" dxfId="391" priority="17" operator="containsText" text="綠豆芽">
      <formula>NOT(ISERROR(SEARCH("綠豆芽",A44)))</formula>
    </cfRule>
    <cfRule type="containsText" dxfId="390" priority="18" operator="containsText" text="煮白細麵生(方#12)">
      <formula>NOT(ISERROR(SEARCH("煮白細麵生(方#12)",A44)))</formula>
    </cfRule>
    <cfRule type="containsText" dxfId="389" priority="19" operator="containsText" text="024">
      <formula>NOT(ISERROR(SEARCH("024",A44)))</formula>
    </cfRule>
    <cfRule type="containsText" dxfId="388" priority="20" operator="containsText" text="白醬">
      <formula>NOT(ISERROR(SEARCH("白醬",A44)))</formula>
    </cfRule>
    <cfRule type="containsText" dxfId="387" priority="21" operator="containsText" text="青蔥">
      <formula>NOT(ISERROR(SEARCH("青蔥",A44)))</formula>
    </cfRule>
    <cfRule type="containsText" dxfId="386" priority="22" operator="containsText" text=")川燙小青花菜">
      <formula>NOT(ISERROR(SEARCH(")川燙小青花菜",A44)))</formula>
    </cfRule>
    <cfRule type="containsText" dxfId="385" priority="23" operator="containsText" text="湯凍">
      <formula>NOT(ISERROR(SEARCH("湯凍",A44)))</formula>
    </cfRule>
    <cfRule type="containsText" dxfId="384" priority="24" operator="containsText" text="中華">
      <formula>NOT(ISERROR(SEARCH("中華",A44)))</formula>
    </cfRule>
  </conditionalFormatting>
  <conditionalFormatting sqref="D44:D53">
    <cfRule type="cellIs" dxfId="383" priority="16" operator="greaterThan">
      <formula>0.146</formula>
    </cfRule>
  </conditionalFormatting>
  <conditionalFormatting sqref="E5">
    <cfRule type="cellIs" dxfId="382" priority="25" operator="greaterThan">
      <formula>0.072</formula>
    </cfRule>
    <cfRule type="cellIs" dxfId="381" priority="26" operator="greaterThan">
      <formula>7.2</formula>
    </cfRule>
    <cfRule type="cellIs" dxfId="380" priority="14" operator="greaterThan">
      <formula>0.0025</formula>
    </cfRule>
  </conditionalFormatting>
  <conditionalFormatting sqref="G5">
    <cfRule type="cellIs" dxfId="379" priority="3" operator="greaterThan">
      <formula>7.2</formula>
    </cfRule>
    <cfRule type="cellIs" dxfId="378" priority="2" operator="greaterThan">
      <formula>0.072</formula>
    </cfRule>
    <cfRule type="cellIs" dxfId="377" priority="1" operator="greaterThan">
      <formula>0.0025</formula>
    </cfRule>
  </conditionalFormatting>
  <conditionalFormatting sqref="H12:H22">
    <cfRule type="cellIs" dxfId="376" priority="15" operator="greaterThan">
      <formula>1.1</formula>
    </cfRule>
  </conditionalFormatting>
  <conditionalFormatting sqref="H28:H37">
    <cfRule type="cellIs" dxfId="375" priority="4" operator="greaterThan">
      <formula>1.1</formula>
    </cfRule>
  </conditionalFormatting>
  <conditionalFormatting sqref="I5">
    <cfRule type="cellIs" dxfId="37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1C1B-7E8C-4483-8FBD-97EF94CF90CA}">
  <sheetPr>
    <tabColor rgb="FFFF0000"/>
    <pageSetUpPr fitToPage="1"/>
  </sheetPr>
  <dimension ref="A1:Q56"/>
  <sheetViews>
    <sheetView zoomScale="70" zoomScaleNormal="70" workbookViewId="0">
      <selection activeCell="L5" sqref="L5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45880</v>
      </c>
      <c r="B3" s="150"/>
      <c r="C3" s="151">
        <v>7815178.2999999998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18915.579199999993</v>
      </c>
      <c r="E5" s="25">
        <f>D5/C3</f>
        <v>2.420364382473525E-3</v>
      </c>
      <c r="F5" s="24">
        <v>65473.776000000013</v>
      </c>
      <c r="G5" s="26">
        <f>F5/C3</f>
        <v>8.3777712403567319E-3</v>
      </c>
      <c r="H5" s="27">
        <f>SUM(C12:C21)</f>
        <v>5024.6253000000006</v>
      </c>
      <c r="I5" s="28">
        <f>H5/D5</f>
        <v>0.26563422916492047</v>
      </c>
      <c r="J5" s="27">
        <f>SUM(C28:C37)</f>
        <v>21910.520299999967</v>
      </c>
      <c r="K5" s="29">
        <f>J5/F5</f>
        <v>0.33464574122011786</v>
      </c>
      <c r="L5" s="30">
        <v>2437.3231000000001</v>
      </c>
      <c r="M5" s="31">
        <f>L5/D5</f>
        <v>0.12885268139185507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95</v>
      </c>
      <c r="C12" s="37">
        <v>1222</v>
      </c>
      <c r="D12" s="38">
        <v>195.12</v>
      </c>
      <c r="E12" s="38">
        <v>203.12</v>
      </c>
      <c r="F12" s="38">
        <v>0</v>
      </c>
      <c r="G12" s="37">
        <v>152.75</v>
      </c>
      <c r="H12" s="39">
        <f>(E12+F12)/D12</f>
        <v>1.0410004100040999</v>
      </c>
      <c r="I12" s="37">
        <v>1222</v>
      </c>
      <c r="J12" s="38">
        <v>8</v>
      </c>
      <c r="K12" s="40">
        <f>J12/D12</f>
        <v>4.1000410004100041E-2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89</v>
      </c>
      <c r="Q12" s="45" t="s">
        <v>97</v>
      </c>
    </row>
    <row r="13" spans="1:17" s="46" customFormat="1" ht="24.95" customHeight="1">
      <c r="A13" s="47">
        <v>2</v>
      </c>
      <c r="B13" s="36" t="s">
        <v>91</v>
      </c>
      <c r="C13" s="37">
        <v>710.69999999999993</v>
      </c>
      <c r="D13" s="38">
        <v>4132</v>
      </c>
      <c r="E13" s="38">
        <v>4178</v>
      </c>
      <c r="F13" s="38">
        <v>0</v>
      </c>
      <c r="G13" s="37">
        <v>15.45</v>
      </c>
      <c r="H13" s="39">
        <f t="shared" ref="H13:H21" si="1">(E13+F13)/D13</f>
        <v>1.011132623426912</v>
      </c>
      <c r="I13" s="37">
        <v>710.69999999999993</v>
      </c>
      <c r="J13" s="38">
        <v>46</v>
      </c>
      <c r="K13" s="40">
        <f>J13/D13</f>
        <v>1.1132623426911906E-2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221</v>
      </c>
      <c r="Q13" s="45" t="s">
        <v>94</v>
      </c>
    </row>
    <row r="14" spans="1:17" s="46" customFormat="1" ht="24.95" customHeight="1">
      <c r="A14" s="47">
        <v>3</v>
      </c>
      <c r="B14" s="36" t="s">
        <v>98</v>
      </c>
      <c r="C14" s="37">
        <v>624.6</v>
      </c>
      <c r="D14" s="38">
        <v>6666</v>
      </c>
      <c r="E14" s="38">
        <v>6597</v>
      </c>
      <c r="F14" s="38">
        <v>129</v>
      </c>
      <c r="G14" s="37">
        <v>10.41</v>
      </c>
      <c r="H14" s="39">
        <f>(E14+F14)/D14</f>
        <v>1.0090009000900091</v>
      </c>
      <c r="I14" s="37">
        <v>624.6</v>
      </c>
      <c r="J14" s="38">
        <v>60</v>
      </c>
      <c r="K14" s="40">
        <f t="shared" ref="K14:K21" si="4">J14/D14</f>
        <v>9.0009000900090012E-3</v>
      </c>
      <c r="L14" s="41">
        <f t="shared" si="2"/>
        <v>0</v>
      </c>
      <c r="M14" s="42">
        <f t="shared" si="3"/>
        <v>0</v>
      </c>
      <c r="N14" s="43">
        <f t="shared" si="0"/>
        <v>0</v>
      </c>
      <c r="O14" s="44" t="s">
        <v>88</v>
      </c>
      <c r="P14" s="44" t="s">
        <v>223</v>
      </c>
      <c r="Q14" s="45" t="s">
        <v>100</v>
      </c>
    </row>
    <row r="15" spans="1:17" s="46" customFormat="1" ht="24.95" customHeight="1">
      <c r="A15" s="35">
        <v>4</v>
      </c>
      <c r="B15" s="36" t="s">
        <v>167</v>
      </c>
      <c r="C15" s="37">
        <v>493.3836</v>
      </c>
      <c r="D15" s="38">
        <v>19.28</v>
      </c>
      <c r="E15" s="38">
        <v>19.900000000000002</v>
      </c>
      <c r="F15" s="38">
        <v>0</v>
      </c>
      <c r="G15" s="37">
        <v>795.78</v>
      </c>
      <c r="H15" s="39">
        <f>(E15+F15)/D15</f>
        <v>1.0321576763485478</v>
      </c>
      <c r="I15" s="37">
        <v>493.3836000000008</v>
      </c>
      <c r="J15" s="38">
        <v>0.62</v>
      </c>
      <c r="K15" s="40">
        <f t="shared" si="4"/>
        <v>3.2157676348547715E-2</v>
      </c>
      <c r="L15" s="41">
        <f t="shared" si="2"/>
        <v>9.9920072216264089E-16</v>
      </c>
      <c r="M15" s="42">
        <f t="shared" si="3"/>
        <v>5.1825763597647343E-17</v>
      </c>
      <c r="N15" s="43">
        <f t="shared" si="0"/>
        <v>7.9514395068258631E-13</v>
      </c>
      <c r="O15" s="44" t="s">
        <v>88</v>
      </c>
      <c r="P15" s="44" t="s">
        <v>89</v>
      </c>
      <c r="Q15" s="45" t="s">
        <v>147</v>
      </c>
    </row>
    <row r="16" spans="1:17" s="46" customFormat="1" ht="24.95" customHeight="1">
      <c r="A16" s="47">
        <v>5</v>
      </c>
      <c r="B16" s="36" t="s">
        <v>249</v>
      </c>
      <c r="C16" s="37">
        <v>402.16500000000002</v>
      </c>
      <c r="D16" s="38">
        <v>35.14</v>
      </c>
      <c r="E16" s="38">
        <v>40.22</v>
      </c>
      <c r="F16" s="38">
        <v>0</v>
      </c>
      <c r="G16" s="37">
        <v>89.37</v>
      </c>
      <c r="H16" s="39">
        <f t="shared" si="1"/>
        <v>1.1445645987478656</v>
      </c>
      <c r="I16" s="37">
        <v>453.99959999999987</v>
      </c>
      <c r="J16" s="38">
        <v>4.5</v>
      </c>
      <c r="K16" s="40">
        <f t="shared" si="4"/>
        <v>0.12805919180421171</v>
      </c>
      <c r="L16" s="41">
        <f t="shared" si="2"/>
        <v>0.57999999999999829</v>
      </c>
      <c r="M16" s="42">
        <f t="shared" si="3"/>
        <v>1.6505406943653905E-2</v>
      </c>
      <c r="N16" s="43">
        <f t="shared" si="0"/>
        <v>51.834599999999853</v>
      </c>
      <c r="O16" s="44" t="s">
        <v>88</v>
      </c>
      <c r="P16" s="44" t="s">
        <v>96</v>
      </c>
      <c r="Q16" s="45" t="s">
        <v>250</v>
      </c>
    </row>
    <row r="17" spans="1:17" s="46" customFormat="1" ht="24.95" customHeight="1">
      <c r="A17" s="35">
        <v>6</v>
      </c>
      <c r="B17" s="36" t="s">
        <v>161</v>
      </c>
      <c r="C17" s="37">
        <v>367.3</v>
      </c>
      <c r="D17" s="38">
        <v>49.87</v>
      </c>
      <c r="E17" s="38">
        <v>52.24</v>
      </c>
      <c r="F17" s="38">
        <v>0</v>
      </c>
      <c r="G17" s="37">
        <v>183.65</v>
      </c>
      <c r="H17" s="39">
        <f t="shared" si="1"/>
        <v>1.0475235612592741</v>
      </c>
      <c r="I17" s="37">
        <v>435.25050000000084</v>
      </c>
      <c r="J17" s="38">
        <v>2</v>
      </c>
      <c r="K17" s="40">
        <f t="shared" si="4"/>
        <v>4.010427110487267E-2</v>
      </c>
      <c r="L17" s="41">
        <f t="shared" si="2"/>
        <v>0.37000000000000455</v>
      </c>
      <c r="M17" s="42">
        <f t="shared" si="3"/>
        <v>7.4192901544015352E-3</v>
      </c>
      <c r="N17" s="43">
        <f t="shared" si="0"/>
        <v>67.950500000000844</v>
      </c>
      <c r="O17" s="44" t="s">
        <v>88</v>
      </c>
      <c r="P17" s="44" t="s">
        <v>89</v>
      </c>
      <c r="Q17" s="45" t="s">
        <v>162</v>
      </c>
    </row>
    <row r="18" spans="1:17" s="46" customFormat="1" ht="24.95" customHeight="1">
      <c r="A18" s="47">
        <v>7</v>
      </c>
      <c r="B18" s="36" t="s">
        <v>173</v>
      </c>
      <c r="C18" s="37">
        <v>347.82</v>
      </c>
      <c r="D18" s="38">
        <v>3522</v>
      </c>
      <c r="E18" s="38">
        <v>3584</v>
      </c>
      <c r="F18" s="38">
        <v>0</v>
      </c>
      <c r="G18" s="37">
        <v>5.61</v>
      </c>
      <c r="H18" s="39">
        <f t="shared" si="1"/>
        <v>1.0176036342986938</v>
      </c>
      <c r="I18" s="37">
        <v>347.82</v>
      </c>
      <c r="J18" s="38">
        <v>62</v>
      </c>
      <c r="K18" s="40">
        <f t="shared" si="4"/>
        <v>1.7603634298693924E-2</v>
      </c>
      <c r="L18" s="41">
        <f>((E18+F18)-D18)-J18</f>
        <v>0</v>
      </c>
      <c r="M18" s="42">
        <f t="shared" si="3"/>
        <v>0</v>
      </c>
      <c r="N18" s="43">
        <f t="shared" si="0"/>
        <v>0</v>
      </c>
      <c r="O18" s="44" t="s">
        <v>88</v>
      </c>
      <c r="P18" s="44" t="s">
        <v>223</v>
      </c>
      <c r="Q18" s="45" t="s">
        <v>174</v>
      </c>
    </row>
    <row r="19" spans="1:17" s="46" customFormat="1" ht="24.95" customHeight="1">
      <c r="A19" s="35">
        <v>8</v>
      </c>
      <c r="B19" s="36" t="s">
        <v>106</v>
      </c>
      <c r="C19" s="37">
        <v>298.15199999999999</v>
      </c>
      <c r="D19" s="38">
        <v>33.19</v>
      </c>
      <c r="E19" s="38">
        <v>34.93</v>
      </c>
      <c r="F19" s="38">
        <v>0</v>
      </c>
      <c r="G19" s="37">
        <v>248.46</v>
      </c>
      <c r="H19" s="39">
        <f t="shared" si="1"/>
        <v>1.0524254293461888</v>
      </c>
      <c r="I19" s="37">
        <v>432.32040000000052</v>
      </c>
      <c r="J19" s="38">
        <v>1.2</v>
      </c>
      <c r="K19" s="40">
        <f t="shared" si="4"/>
        <v>3.6155468514612835E-2</v>
      </c>
      <c r="L19" s="41">
        <f t="shared" si="2"/>
        <v>0.54000000000000203</v>
      </c>
      <c r="M19" s="42">
        <f t="shared" si="3"/>
        <v>1.6269960831575839E-2</v>
      </c>
      <c r="N19" s="43">
        <f t="shared" si="0"/>
        <v>134.1684000000005</v>
      </c>
      <c r="O19" s="44" t="s">
        <v>88</v>
      </c>
      <c r="P19" s="44" t="s">
        <v>96</v>
      </c>
      <c r="Q19" s="45" t="s">
        <v>103</v>
      </c>
    </row>
    <row r="20" spans="1:17" s="46" customFormat="1" ht="24.95" customHeight="1">
      <c r="A20" s="47">
        <v>9</v>
      </c>
      <c r="B20" s="36" t="s">
        <v>163</v>
      </c>
      <c r="C20" s="37">
        <v>297.08639999999997</v>
      </c>
      <c r="D20" s="38">
        <v>40.28</v>
      </c>
      <c r="E20" s="38">
        <v>41.47</v>
      </c>
      <c r="F20" s="38">
        <v>0</v>
      </c>
      <c r="G20" s="37">
        <v>253.92</v>
      </c>
      <c r="H20" s="39">
        <f t="shared" si="1"/>
        <v>1.0295431976166831</v>
      </c>
      <c r="I20" s="37">
        <v>302.16479999999939</v>
      </c>
      <c r="J20" s="38">
        <v>1.17</v>
      </c>
      <c r="K20" s="40">
        <f t="shared" si="4"/>
        <v>2.9046673286991061E-2</v>
      </c>
      <c r="L20" s="41">
        <f t="shared" si="2"/>
        <v>1.9999999999997797E-2</v>
      </c>
      <c r="M20" s="42">
        <f t="shared" si="3"/>
        <v>4.9652432969210026E-4</v>
      </c>
      <c r="N20" s="43">
        <f t="shared" si="0"/>
        <v>5.0783999999994407</v>
      </c>
      <c r="O20" s="44" t="s">
        <v>88</v>
      </c>
      <c r="P20" s="44" t="s">
        <v>89</v>
      </c>
      <c r="Q20" s="45" t="s">
        <v>162</v>
      </c>
    </row>
    <row r="21" spans="1:17" s="46" customFormat="1" ht="24.95" customHeight="1" thickBot="1">
      <c r="A21" s="48">
        <v>10</v>
      </c>
      <c r="B21" s="49" t="s">
        <v>109</v>
      </c>
      <c r="C21" s="50">
        <v>261.41830000000004</v>
      </c>
      <c r="D21" s="51">
        <v>28.88</v>
      </c>
      <c r="E21" s="51">
        <v>30.91</v>
      </c>
      <c r="F21" s="51">
        <v>0</v>
      </c>
      <c r="G21" s="50">
        <v>144.43</v>
      </c>
      <c r="H21" s="52">
        <f t="shared" si="1"/>
        <v>1.0702908587257618</v>
      </c>
      <c r="I21" s="50">
        <v>293.19290000000018</v>
      </c>
      <c r="J21" s="51">
        <v>1.81</v>
      </c>
      <c r="K21" s="53">
        <f t="shared" si="4"/>
        <v>6.2673130193905816E-2</v>
      </c>
      <c r="L21" s="54">
        <f t="shared" si="2"/>
        <v>0.22000000000000108</v>
      </c>
      <c r="M21" s="55">
        <f t="shared" si="3"/>
        <v>7.6177285318559931E-3</v>
      </c>
      <c r="N21" s="56">
        <f t="shared" si="0"/>
        <v>31.774600000000159</v>
      </c>
      <c r="O21" s="57" t="s">
        <v>88</v>
      </c>
      <c r="P21" s="57" t="s">
        <v>96</v>
      </c>
      <c r="Q21" s="58" t="s">
        <v>110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130</v>
      </c>
      <c r="C28" s="37">
        <v>3671.0267999999842</v>
      </c>
      <c r="D28" s="38">
        <v>218.74</v>
      </c>
      <c r="E28" s="38">
        <v>218.35</v>
      </c>
      <c r="F28" s="38">
        <v>6.45</v>
      </c>
      <c r="G28" s="37">
        <v>605.78</v>
      </c>
      <c r="H28" s="68">
        <f t="shared" ref="H28:H37" si="5">(E28+F28)/D28</f>
        <v>1.0277041236170794</v>
      </c>
      <c r="I28" s="37">
        <v>3671.0267999999842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6.0599999999999739</v>
      </c>
      <c r="N28" s="42">
        <f t="shared" ref="N28:N37" si="9">M28/D28</f>
        <v>2.7704123617079517E-2</v>
      </c>
      <c r="O28" s="44" t="s">
        <v>116</v>
      </c>
      <c r="P28" s="69" t="s">
        <v>225</v>
      </c>
      <c r="Q28" s="45" t="s">
        <v>133</v>
      </c>
    </row>
    <row r="29" spans="1:17" s="67" customFormat="1" ht="24.95" customHeight="1">
      <c r="A29" s="47">
        <v>2</v>
      </c>
      <c r="B29" s="36" t="s">
        <v>170</v>
      </c>
      <c r="C29" s="37">
        <v>2861.4893999999977</v>
      </c>
      <c r="D29" s="38">
        <v>99.56</v>
      </c>
      <c r="E29" s="38">
        <v>99.92</v>
      </c>
      <c r="F29" s="38">
        <v>7.35</v>
      </c>
      <c r="G29" s="37">
        <v>371.14</v>
      </c>
      <c r="H29" s="68">
        <f t="shared" si="5"/>
        <v>1.0774407392527119</v>
      </c>
      <c r="I29" s="37">
        <v>2861.4893999999977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7.7099999999999937</v>
      </c>
      <c r="N29" s="42">
        <f t="shared" si="9"/>
        <v>7.7440739252711874E-2</v>
      </c>
      <c r="O29" s="44" t="s">
        <v>116</v>
      </c>
      <c r="P29" s="44" t="s">
        <v>89</v>
      </c>
      <c r="Q29" s="45" t="s">
        <v>103</v>
      </c>
    </row>
    <row r="30" spans="1:17" s="67" customFormat="1" ht="24.95" customHeight="1">
      <c r="A30" s="47">
        <v>3</v>
      </c>
      <c r="B30" s="36" t="s">
        <v>155</v>
      </c>
      <c r="C30" s="37">
        <v>2844.3058000000024</v>
      </c>
      <c r="D30" s="38">
        <v>64.37</v>
      </c>
      <c r="E30" s="38">
        <v>64.150000000000006</v>
      </c>
      <c r="F30" s="38">
        <v>4.5599999999999996</v>
      </c>
      <c r="G30" s="37">
        <v>655.37</v>
      </c>
      <c r="H30" s="68">
        <f t="shared" si="5"/>
        <v>1.067422712443685</v>
      </c>
      <c r="I30" s="37">
        <v>2844.3058000000024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4.3400000000000034</v>
      </c>
      <c r="N30" s="42">
        <f t="shared" si="9"/>
        <v>6.7422712443685001E-2</v>
      </c>
      <c r="O30" s="44" t="s">
        <v>116</v>
      </c>
      <c r="P30" s="44" t="s">
        <v>89</v>
      </c>
      <c r="Q30" s="45" t="s">
        <v>122</v>
      </c>
    </row>
    <row r="31" spans="1:17" s="67" customFormat="1" ht="24.95" customHeight="1">
      <c r="A31" s="35">
        <v>4</v>
      </c>
      <c r="B31" s="36" t="s">
        <v>101</v>
      </c>
      <c r="C31" s="37">
        <v>2125.9406000000108</v>
      </c>
      <c r="D31" s="38">
        <v>677.41</v>
      </c>
      <c r="E31" s="38">
        <v>667.37</v>
      </c>
      <c r="F31" s="38">
        <v>24.46</v>
      </c>
      <c r="G31" s="37">
        <v>147.43</v>
      </c>
      <c r="H31" s="68">
        <f t="shared" si="5"/>
        <v>1.0212869606294563</v>
      </c>
      <c r="I31" s="37">
        <v>2125.9406000000108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14.420000000000073</v>
      </c>
      <c r="N31" s="42">
        <f t="shared" si="9"/>
        <v>2.1286960629456422E-2</v>
      </c>
      <c r="O31" s="44" t="s">
        <v>116</v>
      </c>
      <c r="P31" s="44" t="s">
        <v>224</v>
      </c>
      <c r="Q31" s="45" t="s">
        <v>103</v>
      </c>
    </row>
    <row r="32" spans="1:17" s="67" customFormat="1" ht="24.95" customHeight="1">
      <c r="A32" s="47">
        <v>5</v>
      </c>
      <c r="B32" s="36" t="s">
        <v>151</v>
      </c>
      <c r="C32" s="37">
        <v>2052.9440000000009</v>
      </c>
      <c r="D32" s="38">
        <v>44.44</v>
      </c>
      <c r="E32" s="38">
        <v>44.54</v>
      </c>
      <c r="F32" s="38">
        <v>3</v>
      </c>
      <c r="G32" s="37">
        <v>662.24</v>
      </c>
      <c r="H32" s="68">
        <f t="shared" si="5"/>
        <v>1.0697569756975698</v>
      </c>
      <c r="I32" s="37">
        <v>2052.9440000000009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3.1000000000000014</v>
      </c>
      <c r="N32" s="42">
        <f t="shared" si="9"/>
        <v>6.9756975697569792E-2</v>
      </c>
      <c r="O32" s="44" t="s">
        <v>116</v>
      </c>
      <c r="P32" s="44" t="s">
        <v>89</v>
      </c>
      <c r="Q32" s="45" t="s">
        <v>100</v>
      </c>
    </row>
    <row r="33" spans="1:17" s="67" customFormat="1" ht="24.95" customHeight="1">
      <c r="A33" s="35">
        <v>6</v>
      </c>
      <c r="B33" s="36" t="s">
        <v>129</v>
      </c>
      <c r="C33" s="37">
        <v>1825.7264999999786</v>
      </c>
      <c r="D33" s="38">
        <v>4700.8500000000004</v>
      </c>
      <c r="E33" s="38">
        <v>4671</v>
      </c>
      <c r="F33" s="38">
        <v>76.2</v>
      </c>
      <c r="G33" s="37">
        <v>39.39</v>
      </c>
      <c r="H33" s="68">
        <f t="shared" si="5"/>
        <v>1.0098599189508279</v>
      </c>
      <c r="I33" s="37">
        <v>1825.7264999999786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46.349999999999454</v>
      </c>
      <c r="N33" s="42">
        <f t="shared" si="9"/>
        <v>9.8599189508279256E-3</v>
      </c>
      <c r="O33" s="44" t="s">
        <v>116</v>
      </c>
      <c r="P33" s="69" t="s">
        <v>225</v>
      </c>
      <c r="Q33" s="45" t="s">
        <v>103</v>
      </c>
    </row>
    <row r="34" spans="1:17" s="67" customFormat="1" ht="24.95" customHeight="1">
      <c r="A34" s="47">
        <v>7</v>
      </c>
      <c r="B34" s="36" t="s">
        <v>179</v>
      </c>
      <c r="C34" s="37">
        <v>1789.9785999999945</v>
      </c>
      <c r="D34" s="38">
        <v>180.78</v>
      </c>
      <c r="E34" s="38">
        <v>174.67</v>
      </c>
      <c r="F34" s="38">
        <v>10.5</v>
      </c>
      <c r="G34" s="37">
        <v>407.74</v>
      </c>
      <c r="H34" s="68">
        <f t="shared" si="5"/>
        <v>1.024283659696869</v>
      </c>
      <c r="I34" s="37">
        <v>1789.9785999999945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4.3899999999999864</v>
      </c>
      <c r="N34" s="42">
        <f t="shared" si="9"/>
        <v>2.4283659696869048E-2</v>
      </c>
      <c r="O34" s="44" t="s">
        <v>116</v>
      </c>
      <c r="P34" s="69" t="s">
        <v>225</v>
      </c>
      <c r="Q34" s="45" t="s">
        <v>180</v>
      </c>
    </row>
    <row r="35" spans="1:17" s="67" customFormat="1" ht="24.95" customHeight="1">
      <c r="A35" s="35">
        <v>8</v>
      </c>
      <c r="B35" s="36" t="s">
        <v>125</v>
      </c>
      <c r="C35" s="37">
        <v>1619.0873999999997</v>
      </c>
      <c r="D35" s="38">
        <v>44.7</v>
      </c>
      <c r="E35" s="38">
        <v>44.67</v>
      </c>
      <c r="F35" s="38">
        <v>2.64</v>
      </c>
      <c r="G35" s="37">
        <v>620.34</v>
      </c>
      <c r="H35" s="68">
        <f t="shared" si="5"/>
        <v>1.0583892617449664</v>
      </c>
      <c r="I35" s="37">
        <v>1619.0873999999997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2.6099999999999994</v>
      </c>
      <c r="N35" s="42">
        <f t="shared" si="9"/>
        <v>5.8389261744966427E-2</v>
      </c>
      <c r="O35" s="44" t="s">
        <v>116</v>
      </c>
      <c r="P35" s="44" t="s">
        <v>89</v>
      </c>
      <c r="Q35" s="45" t="s">
        <v>126</v>
      </c>
    </row>
    <row r="36" spans="1:17" s="67" customFormat="1" ht="24.95" customHeight="1">
      <c r="A36" s="47">
        <v>9</v>
      </c>
      <c r="B36" s="36" t="s">
        <v>153</v>
      </c>
      <c r="C36" s="37">
        <v>1618.021199999999</v>
      </c>
      <c r="D36" s="38">
        <v>64.25</v>
      </c>
      <c r="E36" s="38">
        <v>64.67</v>
      </c>
      <c r="F36" s="38">
        <v>2.16</v>
      </c>
      <c r="G36" s="37">
        <v>627.14</v>
      </c>
      <c r="H36" s="68">
        <f t="shared" si="5"/>
        <v>1.0401556420233462</v>
      </c>
      <c r="I36" s="37">
        <v>1618.021199999999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2.5799999999999983</v>
      </c>
      <c r="N36" s="42">
        <f t="shared" si="9"/>
        <v>4.0155642023346275E-2</v>
      </c>
      <c r="O36" s="44" t="s">
        <v>131</v>
      </c>
      <c r="P36" s="44" t="s">
        <v>89</v>
      </c>
      <c r="Q36" s="45" t="s">
        <v>154</v>
      </c>
    </row>
    <row r="37" spans="1:17" s="67" customFormat="1" ht="24.95" customHeight="1" thickBot="1">
      <c r="A37" s="48">
        <v>10</v>
      </c>
      <c r="B37" s="49" t="s">
        <v>140</v>
      </c>
      <c r="C37" s="50">
        <v>1502</v>
      </c>
      <c r="D37" s="51">
        <v>145.75</v>
      </c>
      <c r="E37" s="51">
        <v>143.25</v>
      </c>
      <c r="F37" s="51">
        <v>10.75</v>
      </c>
      <c r="G37" s="50">
        <v>200</v>
      </c>
      <c r="H37" s="70">
        <f t="shared" si="5"/>
        <v>1.0566037735849056</v>
      </c>
      <c r="I37" s="50">
        <v>1650</v>
      </c>
      <c r="J37" s="51">
        <v>0.74</v>
      </c>
      <c r="K37" s="53">
        <f t="shared" si="6"/>
        <v>5.0771869639794171E-3</v>
      </c>
      <c r="L37" s="56">
        <f t="shared" si="7"/>
        <v>148</v>
      </c>
      <c r="M37" s="54">
        <f t="shared" si="8"/>
        <v>7.51</v>
      </c>
      <c r="N37" s="55">
        <f t="shared" si="9"/>
        <v>5.152658662092624E-2</v>
      </c>
      <c r="O37" s="57" t="s">
        <v>131</v>
      </c>
      <c r="P37" s="57" t="s">
        <v>89</v>
      </c>
      <c r="Q37" s="58" t="s">
        <v>103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106</v>
      </c>
      <c r="C44" s="37">
        <v>298.15199999999999</v>
      </c>
      <c r="D44" s="76">
        <f t="shared" ref="D44:D53" si="10">C44/$L$5</f>
        <v>0.12232764708134099</v>
      </c>
      <c r="E44" s="77"/>
    </row>
    <row r="45" spans="1:17" s="78" customFormat="1" ht="24.95" customHeight="1">
      <c r="A45" s="79">
        <v>2</v>
      </c>
      <c r="B45" s="36" t="s">
        <v>137</v>
      </c>
      <c r="C45" s="37">
        <v>235.20000000000002</v>
      </c>
      <c r="D45" s="76">
        <f t="shared" si="10"/>
        <v>9.6499311067949914E-2</v>
      </c>
      <c r="E45" s="77"/>
    </row>
    <row r="46" spans="1:17" s="78" customFormat="1" ht="24.95" customHeight="1">
      <c r="A46" s="79">
        <v>3</v>
      </c>
      <c r="B46" s="36" t="s">
        <v>168</v>
      </c>
      <c r="C46" s="37">
        <v>232.04999999999998</v>
      </c>
      <c r="D46" s="76">
        <f t="shared" si="10"/>
        <v>9.5206909580432722E-2</v>
      </c>
      <c r="E46" s="77"/>
    </row>
    <row r="47" spans="1:17" s="78" customFormat="1" ht="24.95" customHeight="1">
      <c r="A47" s="75">
        <v>4</v>
      </c>
      <c r="B47" s="36" t="s">
        <v>138</v>
      </c>
      <c r="C47" s="37">
        <v>231.66</v>
      </c>
      <c r="D47" s="76">
        <f t="shared" si="10"/>
        <v>9.5046897967692501E-2</v>
      </c>
      <c r="E47" s="77"/>
    </row>
    <row r="48" spans="1:17" s="78" customFormat="1" ht="24.95" customHeight="1">
      <c r="A48" s="79">
        <v>5</v>
      </c>
      <c r="B48" s="36" t="s">
        <v>141</v>
      </c>
      <c r="C48" s="37">
        <v>224.06</v>
      </c>
      <c r="D48" s="76">
        <f t="shared" si="10"/>
        <v>9.1928722950190722E-2</v>
      </c>
      <c r="E48" s="77"/>
    </row>
    <row r="49" spans="1:5" s="78" customFormat="1" ht="24.95" customHeight="1">
      <c r="A49" s="75">
        <v>6</v>
      </c>
      <c r="B49" s="36" t="s">
        <v>233</v>
      </c>
      <c r="C49" s="37">
        <v>184.67999999999998</v>
      </c>
      <c r="D49" s="76">
        <f t="shared" si="10"/>
        <v>7.5771652925293309E-2</v>
      </c>
      <c r="E49" s="77"/>
    </row>
    <row r="50" spans="1:5" s="78" customFormat="1" ht="24.95" customHeight="1">
      <c r="A50" s="79">
        <v>7</v>
      </c>
      <c r="B50" s="36" t="s">
        <v>159</v>
      </c>
      <c r="C50" s="37">
        <v>162.21</v>
      </c>
      <c r="D50" s="76">
        <f t="shared" si="10"/>
        <v>6.6552522314337392E-2</v>
      </c>
      <c r="E50" s="77"/>
    </row>
    <row r="51" spans="1:5" s="78" customFormat="1" ht="24.95" customHeight="1">
      <c r="A51" s="75">
        <v>8</v>
      </c>
      <c r="B51" s="36" t="s">
        <v>139</v>
      </c>
      <c r="C51" s="37">
        <v>159.80000000000001</v>
      </c>
      <c r="D51" s="76">
        <f t="shared" si="10"/>
        <v>6.5563732604840122E-2</v>
      </c>
      <c r="E51" s="77"/>
    </row>
    <row r="52" spans="1:5" s="78" customFormat="1" ht="24.95" customHeight="1">
      <c r="A52" s="79">
        <v>9</v>
      </c>
      <c r="B52" s="36" t="s">
        <v>140</v>
      </c>
      <c r="C52" s="37">
        <v>148</v>
      </c>
      <c r="D52" s="76">
        <f t="shared" si="10"/>
        <v>6.0722355603982085E-2</v>
      </c>
      <c r="E52" s="77"/>
    </row>
    <row r="53" spans="1:5" s="78" customFormat="1" ht="24.95" customHeight="1" thickBot="1">
      <c r="A53" s="80">
        <v>10</v>
      </c>
      <c r="B53" s="49" t="s">
        <v>246</v>
      </c>
      <c r="C53" s="50">
        <v>122.30000000000001</v>
      </c>
      <c r="D53" s="81">
        <f t="shared" si="10"/>
        <v>5.0178000610587907E-2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73" priority="34" operator="containsText" text="中華">
      <formula>NOT(ISERROR(SEARCH("中華",A12)))</formula>
    </cfRule>
    <cfRule type="containsText" dxfId="372" priority="33" operator="containsText" text="湯凍">
      <formula>NOT(ISERROR(SEARCH("湯凍",A12)))</formula>
    </cfRule>
    <cfRule type="containsText" dxfId="371" priority="32" operator="containsText" text=")川燙小青花菜">
      <formula>NOT(ISERROR(SEARCH(")川燙小青花菜",A12)))</formula>
    </cfRule>
    <cfRule type="containsText" dxfId="370" priority="31" operator="containsText" text="青蔥">
      <formula>NOT(ISERROR(SEARCH("青蔥",A12)))</formula>
    </cfRule>
    <cfRule type="containsText" dxfId="369" priority="30" operator="containsText" text="白醬">
      <formula>NOT(ISERROR(SEARCH("白醬",A12)))</formula>
    </cfRule>
    <cfRule type="containsText" dxfId="368" priority="29" operator="containsText" text="024">
      <formula>NOT(ISERROR(SEARCH("024",A12)))</formula>
    </cfRule>
    <cfRule type="containsText" dxfId="367" priority="28" operator="containsText" text="煮白細麵生(方#12)">
      <formula>NOT(ISERROR(SEARCH("煮白細麵生(方#12)",A12)))</formula>
    </cfRule>
    <cfRule type="containsText" dxfId="366" priority="27" operator="containsText" text="綠豆芽">
      <formula>NOT(ISERROR(SEARCH("綠豆芽",A12)))</formula>
    </cfRule>
  </conditionalFormatting>
  <conditionalFormatting sqref="A28:A37">
    <cfRule type="containsText" dxfId="365" priority="5" operator="containsText" text="綠豆芽">
      <formula>NOT(ISERROR(SEARCH("綠豆芽",A28)))</formula>
    </cfRule>
    <cfRule type="containsText" dxfId="364" priority="6" operator="containsText" text="煮白細麵生(方#12)">
      <formula>NOT(ISERROR(SEARCH("煮白細麵生(方#12)",A28)))</formula>
    </cfRule>
    <cfRule type="containsText" dxfId="363" priority="7" operator="containsText" text="024">
      <formula>NOT(ISERROR(SEARCH("024",A28)))</formula>
    </cfRule>
    <cfRule type="containsText" dxfId="362" priority="8" operator="containsText" text="白醬">
      <formula>NOT(ISERROR(SEARCH("白醬",A28)))</formula>
    </cfRule>
    <cfRule type="containsText" dxfId="361" priority="9" operator="containsText" text="青蔥">
      <formula>NOT(ISERROR(SEARCH("青蔥",A28)))</formula>
    </cfRule>
    <cfRule type="containsText" dxfId="360" priority="10" operator="containsText" text=")川燙小青花菜">
      <formula>NOT(ISERROR(SEARCH(")川燙小青花菜",A28)))</formula>
    </cfRule>
    <cfRule type="containsText" dxfId="359" priority="11" operator="containsText" text="湯凍">
      <formula>NOT(ISERROR(SEARCH("湯凍",A28)))</formula>
    </cfRule>
    <cfRule type="containsText" dxfId="358" priority="12" operator="containsText" text="中華">
      <formula>NOT(ISERROR(SEARCH("中華",A28)))</formula>
    </cfRule>
  </conditionalFormatting>
  <conditionalFormatting sqref="A44:A53">
    <cfRule type="containsText" dxfId="357" priority="17" operator="containsText" text="綠豆芽">
      <formula>NOT(ISERROR(SEARCH("綠豆芽",A44)))</formula>
    </cfRule>
    <cfRule type="containsText" dxfId="356" priority="18" operator="containsText" text="煮白細麵生(方#12)">
      <formula>NOT(ISERROR(SEARCH("煮白細麵生(方#12)",A44)))</formula>
    </cfRule>
    <cfRule type="containsText" dxfId="355" priority="19" operator="containsText" text="024">
      <formula>NOT(ISERROR(SEARCH("024",A44)))</formula>
    </cfRule>
    <cfRule type="containsText" dxfId="354" priority="20" operator="containsText" text="白醬">
      <formula>NOT(ISERROR(SEARCH("白醬",A44)))</formula>
    </cfRule>
    <cfRule type="containsText" dxfId="353" priority="21" operator="containsText" text="青蔥">
      <formula>NOT(ISERROR(SEARCH("青蔥",A44)))</formula>
    </cfRule>
    <cfRule type="containsText" dxfId="352" priority="22" operator="containsText" text=")川燙小青花菜">
      <formula>NOT(ISERROR(SEARCH(")川燙小青花菜",A44)))</formula>
    </cfRule>
    <cfRule type="containsText" dxfId="351" priority="23" operator="containsText" text="湯凍">
      <formula>NOT(ISERROR(SEARCH("湯凍",A44)))</formula>
    </cfRule>
    <cfRule type="containsText" dxfId="350" priority="24" operator="containsText" text="中華">
      <formula>NOT(ISERROR(SEARCH("中華",A44)))</formula>
    </cfRule>
  </conditionalFormatting>
  <conditionalFormatting sqref="D44:D53">
    <cfRule type="cellIs" dxfId="349" priority="16" operator="greaterThan">
      <formula>0.146</formula>
    </cfRule>
  </conditionalFormatting>
  <conditionalFormatting sqref="E5">
    <cfRule type="cellIs" dxfId="348" priority="25" operator="greaterThan">
      <formula>0.072</formula>
    </cfRule>
    <cfRule type="cellIs" dxfId="347" priority="26" operator="greaterThan">
      <formula>7.2</formula>
    </cfRule>
    <cfRule type="cellIs" dxfId="346" priority="14" operator="greaterThan">
      <formula>0.0025</formula>
    </cfRule>
  </conditionalFormatting>
  <conditionalFormatting sqref="G5">
    <cfRule type="cellIs" dxfId="345" priority="3" operator="greaterThan">
      <formula>7.2</formula>
    </cfRule>
    <cfRule type="cellIs" dxfId="344" priority="2" operator="greaterThan">
      <formula>0.072</formula>
    </cfRule>
    <cfRule type="cellIs" dxfId="343" priority="1" operator="greaterThan">
      <formula>0.0025</formula>
    </cfRule>
  </conditionalFormatting>
  <conditionalFormatting sqref="H12:H22">
    <cfRule type="cellIs" dxfId="342" priority="15" operator="greaterThan">
      <formula>1.1</formula>
    </cfRule>
  </conditionalFormatting>
  <conditionalFormatting sqref="H28:H37">
    <cfRule type="cellIs" dxfId="341" priority="4" operator="greaterThan">
      <formula>1.1</formula>
    </cfRule>
  </conditionalFormatting>
  <conditionalFormatting sqref="I5">
    <cfRule type="cellIs" dxfId="34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194F-7DD8-4E37-B08F-29AC429978B5}">
  <sheetPr>
    <tabColor rgb="FFFF0000"/>
    <pageSetUpPr fitToPage="1"/>
  </sheetPr>
  <dimension ref="A1:Q56"/>
  <sheetViews>
    <sheetView zoomScale="70" zoomScaleNormal="70" workbookViewId="0">
      <selection activeCell="L5" sqref="L5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45879</v>
      </c>
      <c r="B3" s="150"/>
      <c r="C3" s="151">
        <v>8170415.25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19791.179899999999</v>
      </c>
      <c r="E5" s="25">
        <f>D5/C3</f>
        <v>2.4222979242089315E-3</v>
      </c>
      <c r="F5" s="24">
        <v>69175.717199999912</v>
      </c>
      <c r="G5" s="26">
        <f>F5/C3</f>
        <v>8.4666097234164343E-3</v>
      </c>
      <c r="H5" s="27">
        <f>SUM(C12:C21)</f>
        <v>4749.1459999999988</v>
      </c>
      <c r="I5" s="28">
        <f>H5/D5</f>
        <v>0.2399627522965419</v>
      </c>
      <c r="J5" s="27">
        <f>SUM(C28:C37)</f>
        <v>22018.89039999996</v>
      </c>
      <c r="K5" s="29">
        <f>J5/F5</f>
        <v>0.31830375298226743</v>
      </c>
      <c r="L5" s="30">
        <v>2177.9221000000002</v>
      </c>
      <c r="M5" s="31">
        <f>L5/D5</f>
        <v>0.11004508629624454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91</v>
      </c>
      <c r="C12" s="37">
        <v>1545</v>
      </c>
      <c r="D12" s="38">
        <v>4208</v>
      </c>
      <c r="E12" s="38">
        <v>4308</v>
      </c>
      <c r="F12" s="38">
        <v>0</v>
      </c>
      <c r="G12" s="37">
        <v>15.45</v>
      </c>
      <c r="H12" s="39">
        <f>(E12+F12)/D12</f>
        <v>1.023764258555133</v>
      </c>
      <c r="I12" s="37">
        <v>1545</v>
      </c>
      <c r="J12" s="38">
        <v>100</v>
      </c>
      <c r="K12" s="40">
        <f>J12/D12</f>
        <v>2.3764258555133078E-2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221</v>
      </c>
      <c r="Q12" s="45" t="s">
        <v>94</v>
      </c>
    </row>
    <row r="13" spans="1:17" s="46" customFormat="1" ht="24.95" customHeight="1">
      <c r="A13" s="47">
        <v>2</v>
      </c>
      <c r="B13" s="36" t="s">
        <v>98</v>
      </c>
      <c r="C13" s="37">
        <v>624.6</v>
      </c>
      <c r="D13" s="38">
        <v>6837</v>
      </c>
      <c r="E13" s="38">
        <v>6897</v>
      </c>
      <c r="F13" s="38">
        <v>0</v>
      </c>
      <c r="G13" s="37">
        <v>10.41</v>
      </c>
      <c r="H13" s="39">
        <f t="shared" ref="H13:H21" si="1">(E13+F13)/D13</f>
        <v>1.0087757788503731</v>
      </c>
      <c r="I13" s="37">
        <v>624.6</v>
      </c>
      <c r="J13" s="38">
        <v>60</v>
      </c>
      <c r="K13" s="40">
        <f>J13/D13</f>
        <v>8.7757788503729714E-3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223</v>
      </c>
      <c r="Q13" s="45" t="s">
        <v>100</v>
      </c>
    </row>
    <row r="14" spans="1:17" s="46" customFormat="1" ht="24.95" customHeight="1">
      <c r="A14" s="47">
        <v>3</v>
      </c>
      <c r="B14" s="36" t="s">
        <v>186</v>
      </c>
      <c r="C14" s="37">
        <v>545.02470000000005</v>
      </c>
      <c r="D14" s="38">
        <v>206.78</v>
      </c>
      <c r="E14" s="38">
        <v>215.69</v>
      </c>
      <c r="F14" s="38">
        <v>0</v>
      </c>
      <c r="G14" s="37">
        <v>61.17</v>
      </c>
      <c r="H14" s="39">
        <f>(E14+F14)/D14</f>
        <v>1.0430892736241415</v>
      </c>
      <c r="I14" s="37">
        <v>545.02469999999983</v>
      </c>
      <c r="J14" s="38">
        <v>8.91</v>
      </c>
      <c r="K14" s="40">
        <f t="shared" ref="K14:K21" si="4">J14/D14</f>
        <v>4.3089273624141597E-2</v>
      </c>
      <c r="L14" s="41">
        <f t="shared" si="2"/>
        <v>0</v>
      </c>
      <c r="M14" s="42">
        <f t="shared" si="3"/>
        <v>0</v>
      </c>
      <c r="N14" s="43">
        <f t="shared" si="0"/>
        <v>0</v>
      </c>
      <c r="O14" s="44" t="s">
        <v>88</v>
      </c>
      <c r="P14" s="44" t="s">
        <v>222</v>
      </c>
      <c r="Q14" s="45" t="s">
        <v>189</v>
      </c>
    </row>
    <row r="15" spans="1:17" s="46" customFormat="1" ht="24.95" customHeight="1">
      <c r="A15" s="35">
        <v>4</v>
      </c>
      <c r="B15" s="36" t="s">
        <v>150</v>
      </c>
      <c r="C15" s="37">
        <v>298.92369999999994</v>
      </c>
      <c r="D15" s="38">
        <v>119.06</v>
      </c>
      <c r="E15" s="38">
        <v>122.56</v>
      </c>
      <c r="F15" s="38">
        <v>0</v>
      </c>
      <c r="G15" s="37">
        <v>141.66999999999999</v>
      </c>
      <c r="H15" s="39">
        <f>(E15+F15)/D15</f>
        <v>1.0293969427179572</v>
      </c>
      <c r="I15" s="37">
        <v>495.84499999999997</v>
      </c>
      <c r="J15" s="38">
        <v>2.11</v>
      </c>
      <c r="K15" s="40">
        <f t="shared" si="4"/>
        <v>1.7722156895682847E-2</v>
      </c>
      <c r="L15" s="41">
        <f t="shared" si="2"/>
        <v>1.3900000000000001</v>
      </c>
      <c r="M15" s="42">
        <f t="shared" si="3"/>
        <v>1.1674785822274485E-2</v>
      </c>
      <c r="N15" s="43">
        <f t="shared" si="0"/>
        <v>196.9213</v>
      </c>
      <c r="O15" s="44" t="s">
        <v>88</v>
      </c>
      <c r="P15" s="44" t="s">
        <v>89</v>
      </c>
      <c r="Q15" s="45" t="s">
        <v>133</v>
      </c>
    </row>
    <row r="16" spans="1:17" s="46" customFormat="1" ht="24.95" customHeight="1">
      <c r="A16" s="47">
        <v>5</v>
      </c>
      <c r="B16" s="36" t="s">
        <v>104</v>
      </c>
      <c r="C16" s="37">
        <v>291.06099999999998</v>
      </c>
      <c r="D16" s="38">
        <v>50.95</v>
      </c>
      <c r="E16" s="38">
        <v>54.41</v>
      </c>
      <c r="F16" s="38">
        <v>0</v>
      </c>
      <c r="G16" s="37">
        <v>153.19</v>
      </c>
      <c r="H16" s="39">
        <f t="shared" si="1"/>
        <v>1.0679097154072619</v>
      </c>
      <c r="I16" s="37">
        <v>530.03739999999902</v>
      </c>
      <c r="J16" s="38">
        <v>1.9</v>
      </c>
      <c r="K16" s="40">
        <f t="shared" si="4"/>
        <v>3.7291462217860644E-2</v>
      </c>
      <c r="L16" s="41">
        <f t="shared" si="2"/>
        <v>1.5599999999999938</v>
      </c>
      <c r="M16" s="42">
        <f t="shared" si="3"/>
        <v>3.061825318940125E-2</v>
      </c>
      <c r="N16" s="43">
        <f t="shared" si="0"/>
        <v>238.97639999999905</v>
      </c>
      <c r="O16" s="44" t="s">
        <v>88</v>
      </c>
      <c r="P16" s="44" t="s">
        <v>96</v>
      </c>
      <c r="Q16" s="45" t="s">
        <v>105</v>
      </c>
    </row>
    <row r="17" spans="1:17" s="46" customFormat="1" ht="24.95" customHeight="1">
      <c r="A17" s="35">
        <v>6</v>
      </c>
      <c r="B17" s="36" t="s">
        <v>109</v>
      </c>
      <c r="C17" s="37">
        <v>290.30429999999996</v>
      </c>
      <c r="D17" s="38">
        <v>29.07</v>
      </c>
      <c r="E17" s="38">
        <v>31.31</v>
      </c>
      <c r="F17" s="38">
        <v>0</v>
      </c>
      <c r="G17" s="37">
        <v>144.43</v>
      </c>
      <c r="H17" s="39">
        <f t="shared" si="1"/>
        <v>1.0770553835569314</v>
      </c>
      <c r="I17" s="37">
        <v>323.5231999999998</v>
      </c>
      <c r="J17" s="38">
        <v>2.0099999999999998</v>
      </c>
      <c r="K17" s="40">
        <f t="shared" si="4"/>
        <v>6.9143446852425169E-2</v>
      </c>
      <c r="L17" s="41">
        <f t="shared" si="2"/>
        <v>0.22999999999999865</v>
      </c>
      <c r="M17" s="42">
        <f t="shared" si="3"/>
        <v>7.9119367045063175E-3</v>
      </c>
      <c r="N17" s="43">
        <f t="shared" si="0"/>
        <v>33.218899999999806</v>
      </c>
      <c r="O17" s="44" t="s">
        <v>88</v>
      </c>
      <c r="P17" s="44" t="s">
        <v>96</v>
      </c>
      <c r="Q17" s="45" t="s">
        <v>110</v>
      </c>
    </row>
    <row r="18" spans="1:17" s="46" customFormat="1" ht="24.95" customHeight="1">
      <c r="A18" s="47">
        <v>7</v>
      </c>
      <c r="B18" s="36" t="s">
        <v>161</v>
      </c>
      <c r="C18" s="37">
        <v>290.16700000000003</v>
      </c>
      <c r="D18" s="38">
        <v>51.35</v>
      </c>
      <c r="E18" s="38">
        <v>53.66</v>
      </c>
      <c r="F18" s="38">
        <v>0</v>
      </c>
      <c r="G18" s="37">
        <v>183.65</v>
      </c>
      <c r="H18" s="39">
        <f t="shared" si="1"/>
        <v>1.0449853943524829</v>
      </c>
      <c r="I18" s="37">
        <v>424.23149999999913</v>
      </c>
      <c r="J18" s="38">
        <v>1.58</v>
      </c>
      <c r="K18" s="40">
        <f t="shared" si="4"/>
        <v>3.0769230769230771E-2</v>
      </c>
      <c r="L18" s="41">
        <f>((E18+F18)-D18)-J18</f>
        <v>0.7299999999999951</v>
      </c>
      <c r="M18" s="42">
        <f t="shared" si="3"/>
        <v>1.4216163583252095E-2</v>
      </c>
      <c r="N18" s="43">
        <f t="shared" si="0"/>
        <v>134.0644999999991</v>
      </c>
      <c r="O18" s="44" t="s">
        <v>88</v>
      </c>
      <c r="P18" s="44" t="s">
        <v>89</v>
      </c>
      <c r="Q18" s="45" t="s">
        <v>162</v>
      </c>
    </row>
    <row r="19" spans="1:17" s="46" customFormat="1" ht="24.95" customHeight="1">
      <c r="A19" s="35">
        <v>8</v>
      </c>
      <c r="B19" s="36" t="s">
        <v>242</v>
      </c>
      <c r="C19" s="37">
        <v>289.80250000000001</v>
      </c>
      <c r="D19" s="38">
        <v>50.23</v>
      </c>
      <c r="E19" s="38">
        <v>53.48</v>
      </c>
      <c r="F19" s="38">
        <v>0</v>
      </c>
      <c r="G19" s="37">
        <v>89.17</v>
      </c>
      <c r="H19" s="39">
        <f t="shared" si="1"/>
        <v>1.0647023691021302</v>
      </c>
      <c r="I19" s="37">
        <v>289.80250000000001</v>
      </c>
      <c r="J19" s="38">
        <v>3.25</v>
      </c>
      <c r="K19" s="40">
        <f t="shared" si="4"/>
        <v>6.4702369102130203E-2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88</v>
      </c>
      <c r="P19" s="44" t="s">
        <v>96</v>
      </c>
      <c r="Q19" s="45" t="s">
        <v>211</v>
      </c>
    </row>
    <row r="20" spans="1:17" s="46" customFormat="1" ht="24.95" customHeight="1">
      <c r="A20" s="47">
        <v>9</v>
      </c>
      <c r="B20" s="36" t="s">
        <v>148</v>
      </c>
      <c r="C20" s="37">
        <v>287.81279999999998</v>
      </c>
      <c r="D20" s="38">
        <v>48.14</v>
      </c>
      <c r="E20" s="38">
        <v>49.88</v>
      </c>
      <c r="F20" s="38">
        <v>0</v>
      </c>
      <c r="G20" s="37">
        <v>208.56</v>
      </c>
      <c r="H20" s="39">
        <f t="shared" si="1"/>
        <v>1.036144578313253</v>
      </c>
      <c r="I20" s="37">
        <v>362.89440000000042</v>
      </c>
      <c r="J20" s="38">
        <v>1.38</v>
      </c>
      <c r="K20" s="40">
        <f t="shared" si="4"/>
        <v>2.8666389696717903E-2</v>
      </c>
      <c r="L20" s="41">
        <f t="shared" si="2"/>
        <v>0.3600000000000021</v>
      </c>
      <c r="M20" s="42">
        <f t="shared" si="3"/>
        <v>7.4781886165351495E-3</v>
      </c>
      <c r="N20" s="43">
        <f t="shared" si="0"/>
        <v>75.081600000000435</v>
      </c>
      <c r="O20" s="44" t="s">
        <v>88</v>
      </c>
      <c r="P20" s="44" t="s">
        <v>89</v>
      </c>
      <c r="Q20" s="45" t="s">
        <v>149</v>
      </c>
    </row>
    <row r="21" spans="1:17" s="46" customFormat="1" ht="24.95" customHeight="1" thickBot="1">
      <c r="A21" s="48">
        <v>10</v>
      </c>
      <c r="B21" s="49" t="s">
        <v>168</v>
      </c>
      <c r="C21" s="50">
        <v>286.45</v>
      </c>
      <c r="D21" s="51">
        <v>14571</v>
      </c>
      <c r="E21" s="51">
        <v>14908</v>
      </c>
      <c r="F21" s="51">
        <v>0</v>
      </c>
      <c r="G21" s="50">
        <v>0.85</v>
      </c>
      <c r="H21" s="52">
        <f t="shared" si="1"/>
        <v>1.0231281312195457</v>
      </c>
      <c r="I21" s="50">
        <v>286.45</v>
      </c>
      <c r="J21" s="51">
        <v>337</v>
      </c>
      <c r="K21" s="53">
        <f t="shared" si="4"/>
        <v>2.3128131219545673E-2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88</v>
      </c>
      <c r="P21" s="57" t="s">
        <v>89</v>
      </c>
      <c r="Q21" s="58" t="s">
        <v>103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101</v>
      </c>
      <c r="C28" s="37">
        <v>3396.7871999999948</v>
      </c>
      <c r="D28" s="38">
        <v>724.83</v>
      </c>
      <c r="E28" s="38">
        <v>721.37</v>
      </c>
      <c r="F28" s="38">
        <v>26.5</v>
      </c>
      <c r="G28" s="37">
        <v>147.43</v>
      </c>
      <c r="H28" s="68">
        <f t="shared" ref="H28:H37" si="5">(E28+F28)/D28</f>
        <v>1.0317867637928892</v>
      </c>
      <c r="I28" s="37">
        <v>3396.7871999999948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23.039999999999964</v>
      </c>
      <c r="N28" s="42">
        <f t="shared" ref="N28:N37" si="9">M28/D28</f>
        <v>3.1786763792889312E-2</v>
      </c>
      <c r="O28" s="44" t="s">
        <v>116</v>
      </c>
      <c r="P28" s="44" t="s">
        <v>224</v>
      </c>
      <c r="Q28" s="45" t="s">
        <v>103</v>
      </c>
    </row>
    <row r="29" spans="1:17" s="67" customFormat="1" ht="24.95" customHeight="1">
      <c r="A29" s="47">
        <v>2</v>
      </c>
      <c r="B29" s="36" t="s">
        <v>142</v>
      </c>
      <c r="C29" s="37">
        <v>3212.8339999999966</v>
      </c>
      <c r="D29" s="38">
        <v>112.06</v>
      </c>
      <c r="E29" s="38">
        <v>112.31</v>
      </c>
      <c r="F29" s="38">
        <v>4.5999999999999996</v>
      </c>
      <c r="G29" s="37">
        <v>662.44</v>
      </c>
      <c r="H29" s="68">
        <f t="shared" si="5"/>
        <v>1.0432803855077637</v>
      </c>
      <c r="I29" s="37">
        <v>3212.8339999999966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4.8499999999999943</v>
      </c>
      <c r="N29" s="42">
        <f t="shared" si="9"/>
        <v>4.3280385507763648E-2</v>
      </c>
      <c r="O29" s="44" t="s">
        <v>116</v>
      </c>
      <c r="P29" s="44" t="s">
        <v>89</v>
      </c>
      <c r="Q29" s="45" t="s">
        <v>103</v>
      </c>
    </row>
    <row r="30" spans="1:17" s="67" customFormat="1" ht="24.95" customHeight="1">
      <c r="A30" s="47">
        <v>3</v>
      </c>
      <c r="B30" s="36" t="s">
        <v>153</v>
      </c>
      <c r="C30" s="37">
        <v>2728.0589999999966</v>
      </c>
      <c r="D30" s="38">
        <v>67.13</v>
      </c>
      <c r="E30" s="38">
        <v>67.16</v>
      </c>
      <c r="F30" s="38">
        <v>4.32</v>
      </c>
      <c r="G30" s="37">
        <v>627.14</v>
      </c>
      <c r="H30" s="68">
        <f t="shared" si="5"/>
        <v>1.064799642484731</v>
      </c>
      <c r="I30" s="37">
        <v>2728.0589999999966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4.3499999999999943</v>
      </c>
      <c r="N30" s="42">
        <f t="shared" si="9"/>
        <v>6.4799642484731038E-2</v>
      </c>
      <c r="O30" s="44" t="s">
        <v>116</v>
      </c>
      <c r="P30" s="44" t="s">
        <v>89</v>
      </c>
      <c r="Q30" s="45" t="s">
        <v>154</v>
      </c>
    </row>
    <row r="31" spans="1:17" s="67" customFormat="1" ht="24.95" customHeight="1">
      <c r="A31" s="35">
        <v>4</v>
      </c>
      <c r="B31" s="36" t="s">
        <v>129</v>
      </c>
      <c r="C31" s="37">
        <v>2363.7938999999728</v>
      </c>
      <c r="D31" s="38">
        <v>4708.8900000000003</v>
      </c>
      <c r="E31" s="38">
        <v>4693.8999999999996</v>
      </c>
      <c r="F31" s="38">
        <v>75</v>
      </c>
      <c r="G31" s="37">
        <v>39.39</v>
      </c>
      <c r="H31" s="68">
        <f t="shared" si="5"/>
        <v>1.0127439800037799</v>
      </c>
      <c r="I31" s="37">
        <v>2363.7938999999728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60.009999999999309</v>
      </c>
      <c r="N31" s="42">
        <f t="shared" si="9"/>
        <v>1.2743980003779937E-2</v>
      </c>
      <c r="O31" s="44" t="s">
        <v>116</v>
      </c>
      <c r="P31" s="69" t="s">
        <v>225</v>
      </c>
      <c r="Q31" s="45" t="s">
        <v>103</v>
      </c>
    </row>
    <row r="32" spans="1:17" s="67" customFormat="1" ht="24.95" customHeight="1">
      <c r="A32" s="47">
        <v>5</v>
      </c>
      <c r="B32" s="36" t="s">
        <v>151</v>
      </c>
      <c r="C32" s="37">
        <v>2052.9440000000009</v>
      </c>
      <c r="D32" s="38">
        <v>45.58</v>
      </c>
      <c r="E32" s="38">
        <v>46.08</v>
      </c>
      <c r="F32" s="38">
        <v>2.6</v>
      </c>
      <c r="G32" s="37">
        <v>662.24</v>
      </c>
      <c r="H32" s="68">
        <f t="shared" si="5"/>
        <v>1.0680122860903905</v>
      </c>
      <c r="I32" s="37">
        <v>2052.9440000000009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3.1000000000000014</v>
      </c>
      <c r="N32" s="42">
        <f t="shared" si="9"/>
        <v>6.8012286090390561E-2</v>
      </c>
      <c r="O32" s="44" t="s">
        <v>116</v>
      </c>
      <c r="P32" s="44" t="s">
        <v>89</v>
      </c>
      <c r="Q32" s="45" t="s">
        <v>100</v>
      </c>
    </row>
    <row r="33" spans="1:17" s="67" customFormat="1" ht="24.95" customHeight="1">
      <c r="A33" s="35">
        <v>6</v>
      </c>
      <c r="B33" s="36" t="s">
        <v>117</v>
      </c>
      <c r="C33" s="37">
        <v>2052.3789000000011</v>
      </c>
      <c r="D33" s="38">
        <v>120.89</v>
      </c>
      <c r="E33" s="38">
        <v>125.7</v>
      </c>
      <c r="F33" s="38">
        <v>0</v>
      </c>
      <c r="G33" s="37">
        <v>426.69</v>
      </c>
      <c r="H33" s="68">
        <f t="shared" si="5"/>
        <v>1.0397882372404665</v>
      </c>
      <c r="I33" s="37">
        <v>2052.3789000000011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4.8100000000000023</v>
      </c>
      <c r="N33" s="42">
        <f t="shared" si="9"/>
        <v>3.978823724046656E-2</v>
      </c>
      <c r="O33" s="44" t="s">
        <v>116</v>
      </c>
      <c r="P33" s="44" t="s">
        <v>89</v>
      </c>
      <c r="Q33" s="45" t="s">
        <v>97</v>
      </c>
    </row>
    <row r="34" spans="1:17" s="67" customFormat="1" ht="24.95" customHeight="1">
      <c r="A34" s="47">
        <v>7</v>
      </c>
      <c r="B34" s="36" t="s">
        <v>140</v>
      </c>
      <c r="C34" s="37">
        <v>1851.9999999999982</v>
      </c>
      <c r="D34" s="38">
        <v>151.24</v>
      </c>
      <c r="E34" s="38">
        <v>152.65</v>
      </c>
      <c r="F34" s="38">
        <v>8.35</v>
      </c>
      <c r="G34" s="37">
        <v>200</v>
      </c>
      <c r="H34" s="68">
        <f t="shared" si="5"/>
        <v>1.0645331922771752</v>
      </c>
      <c r="I34" s="37">
        <v>1951.9999999999982</v>
      </c>
      <c r="J34" s="38">
        <v>0.5</v>
      </c>
      <c r="K34" s="40">
        <f t="shared" si="6"/>
        <v>3.3060037027241467E-3</v>
      </c>
      <c r="L34" s="43">
        <f t="shared" si="7"/>
        <v>100</v>
      </c>
      <c r="M34" s="41">
        <f t="shared" si="8"/>
        <v>9.2599999999999909</v>
      </c>
      <c r="N34" s="42">
        <f t="shared" si="9"/>
        <v>6.1227188574451141E-2</v>
      </c>
      <c r="O34" s="44" t="s">
        <v>116</v>
      </c>
      <c r="P34" s="44" t="s">
        <v>89</v>
      </c>
      <c r="Q34" s="45" t="s">
        <v>103</v>
      </c>
    </row>
    <row r="35" spans="1:17" s="67" customFormat="1" ht="24.95" customHeight="1">
      <c r="A35" s="35">
        <v>8</v>
      </c>
      <c r="B35" s="36" t="s">
        <v>179</v>
      </c>
      <c r="C35" s="37">
        <v>1545.3345999999967</v>
      </c>
      <c r="D35" s="38">
        <v>239.16</v>
      </c>
      <c r="E35" s="38">
        <v>241.2</v>
      </c>
      <c r="F35" s="38">
        <v>1.75</v>
      </c>
      <c r="G35" s="37">
        <v>407.74</v>
      </c>
      <c r="H35" s="68">
        <f t="shared" si="5"/>
        <v>1.0158471316273625</v>
      </c>
      <c r="I35" s="37">
        <v>1545.3345999999967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3.789999999999992</v>
      </c>
      <c r="N35" s="42">
        <f t="shared" si="9"/>
        <v>1.5847131627362402E-2</v>
      </c>
      <c r="O35" s="44" t="s">
        <v>116</v>
      </c>
      <c r="P35" s="69" t="s">
        <v>225</v>
      </c>
      <c r="Q35" s="45" t="s">
        <v>180</v>
      </c>
    </row>
    <row r="36" spans="1:17" s="67" customFormat="1" ht="24.95" customHeight="1">
      <c r="A36" s="47">
        <v>9</v>
      </c>
      <c r="B36" s="36" t="s">
        <v>155</v>
      </c>
      <c r="C36" s="37">
        <v>1454.9213999999993</v>
      </c>
      <c r="D36" s="38">
        <v>66.290000000000006</v>
      </c>
      <c r="E36" s="38">
        <v>63.95</v>
      </c>
      <c r="F36" s="38">
        <v>4.5599999999999996</v>
      </c>
      <c r="G36" s="37">
        <v>655.37</v>
      </c>
      <c r="H36" s="68">
        <f t="shared" si="5"/>
        <v>1.0334892140594358</v>
      </c>
      <c r="I36" s="37">
        <v>1454.9213999999993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2.2199999999999989</v>
      </c>
      <c r="N36" s="42">
        <f t="shared" si="9"/>
        <v>3.3489214059435793E-2</v>
      </c>
      <c r="O36" s="44" t="s">
        <v>131</v>
      </c>
      <c r="P36" s="44" t="s">
        <v>89</v>
      </c>
      <c r="Q36" s="45" t="s">
        <v>122</v>
      </c>
    </row>
    <row r="37" spans="1:17" s="67" customFormat="1" ht="24.95" customHeight="1" thickBot="1">
      <c r="A37" s="48">
        <v>10</v>
      </c>
      <c r="B37" s="49" t="s">
        <v>251</v>
      </c>
      <c r="C37" s="50">
        <v>1359.8373999999994</v>
      </c>
      <c r="D37" s="51">
        <v>223.25</v>
      </c>
      <c r="E37" s="51">
        <v>224.69</v>
      </c>
      <c r="F37" s="51">
        <v>24.98</v>
      </c>
      <c r="G37" s="50">
        <v>51.47</v>
      </c>
      <c r="H37" s="70">
        <f t="shared" si="5"/>
        <v>1.1183426651735722</v>
      </c>
      <c r="I37" s="50">
        <v>1359.8373999999994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26.419999999999987</v>
      </c>
      <c r="N37" s="55">
        <f t="shared" si="9"/>
        <v>0.11834266517357217</v>
      </c>
      <c r="O37" s="57" t="s">
        <v>131</v>
      </c>
      <c r="P37" s="57" t="s">
        <v>89</v>
      </c>
      <c r="Q37" s="58" t="s">
        <v>133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168</v>
      </c>
      <c r="C44" s="37">
        <v>286.45</v>
      </c>
      <c r="D44" s="76">
        <f t="shared" ref="D44:D53" si="10">C44/$L$5</f>
        <v>0.13152444708651423</v>
      </c>
      <c r="E44" s="77"/>
    </row>
    <row r="45" spans="1:17" s="78" customFormat="1" ht="24.95" customHeight="1">
      <c r="A45" s="79">
        <v>2</v>
      </c>
      <c r="B45" s="36" t="s">
        <v>138</v>
      </c>
      <c r="C45" s="37">
        <v>273.77999999999997</v>
      </c>
      <c r="D45" s="76">
        <f t="shared" si="10"/>
        <v>0.12570697546987561</v>
      </c>
      <c r="E45" s="77"/>
    </row>
    <row r="46" spans="1:17" s="78" customFormat="1" ht="24.95" customHeight="1">
      <c r="A46" s="79">
        <v>3</v>
      </c>
      <c r="B46" s="36" t="s">
        <v>137</v>
      </c>
      <c r="C46" s="37">
        <v>230.3</v>
      </c>
      <c r="D46" s="76">
        <f t="shared" si="10"/>
        <v>0.10574299236873531</v>
      </c>
      <c r="E46" s="77"/>
    </row>
    <row r="47" spans="1:17" s="78" customFormat="1" ht="24.95" customHeight="1">
      <c r="A47" s="75">
        <v>4</v>
      </c>
      <c r="B47" s="36" t="s">
        <v>233</v>
      </c>
      <c r="C47" s="37">
        <v>184.67999999999998</v>
      </c>
      <c r="D47" s="76">
        <f t="shared" si="10"/>
        <v>8.4796421322874654E-2</v>
      </c>
      <c r="E47" s="77"/>
    </row>
    <row r="48" spans="1:17" s="78" customFormat="1" ht="24.95" customHeight="1">
      <c r="A48" s="79">
        <v>5</v>
      </c>
      <c r="B48" s="36" t="s">
        <v>106</v>
      </c>
      <c r="C48" s="37">
        <v>173.922</v>
      </c>
      <c r="D48" s="76">
        <f t="shared" si="10"/>
        <v>7.98568507110516E-2</v>
      </c>
      <c r="E48" s="77"/>
    </row>
    <row r="49" spans="1:5" s="78" customFormat="1" ht="24.95" customHeight="1">
      <c r="A49" s="75">
        <v>6</v>
      </c>
      <c r="B49" s="36" t="s">
        <v>139</v>
      </c>
      <c r="C49" s="37">
        <v>172.584</v>
      </c>
      <c r="D49" s="76">
        <f t="shared" si="10"/>
        <v>7.9242503668978781E-2</v>
      </c>
      <c r="E49" s="77"/>
    </row>
    <row r="50" spans="1:5" s="78" customFormat="1" ht="24.95" customHeight="1">
      <c r="A50" s="79">
        <v>7</v>
      </c>
      <c r="B50" s="36" t="s">
        <v>159</v>
      </c>
      <c r="C50" s="37">
        <v>162.21</v>
      </c>
      <c r="D50" s="76">
        <f t="shared" si="10"/>
        <v>7.4479247903311133E-2</v>
      </c>
      <c r="E50" s="77"/>
    </row>
    <row r="51" spans="1:5" s="78" customFormat="1" ht="24.95" customHeight="1">
      <c r="A51" s="75">
        <v>8</v>
      </c>
      <c r="B51" s="36" t="s">
        <v>246</v>
      </c>
      <c r="C51" s="37">
        <v>122.30000000000001</v>
      </c>
      <c r="D51" s="76">
        <f t="shared" si="10"/>
        <v>5.6154441887522055E-2</v>
      </c>
      <c r="E51" s="77"/>
    </row>
    <row r="52" spans="1:5" s="78" customFormat="1" ht="24.95" customHeight="1">
      <c r="A52" s="79">
        <v>9</v>
      </c>
      <c r="B52" s="36" t="s">
        <v>143</v>
      </c>
      <c r="C52" s="37">
        <v>101.655</v>
      </c>
      <c r="D52" s="76">
        <f t="shared" si="10"/>
        <v>4.6675223140441979E-2</v>
      </c>
      <c r="E52" s="77"/>
    </row>
    <row r="53" spans="1:5" s="78" customFormat="1" ht="24.95" customHeight="1" thickBot="1">
      <c r="A53" s="80">
        <v>10</v>
      </c>
      <c r="B53" s="49" t="s">
        <v>144</v>
      </c>
      <c r="C53" s="50">
        <v>101.36</v>
      </c>
      <c r="D53" s="81">
        <f t="shared" si="10"/>
        <v>4.6539772933109035E-2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39" priority="34" operator="containsText" text="中華">
      <formula>NOT(ISERROR(SEARCH("中華",A12)))</formula>
    </cfRule>
    <cfRule type="containsText" dxfId="338" priority="33" operator="containsText" text="湯凍">
      <formula>NOT(ISERROR(SEARCH("湯凍",A12)))</formula>
    </cfRule>
    <cfRule type="containsText" dxfId="337" priority="32" operator="containsText" text=")川燙小青花菜">
      <formula>NOT(ISERROR(SEARCH(")川燙小青花菜",A12)))</formula>
    </cfRule>
    <cfRule type="containsText" dxfId="336" priority="31" operator="containsText" text="青蔥">
      <formula>NOT(ISERROR(SEARCH("青蔥",A12)))</formula>
    </cfRule>
    <cfRule type="containsText" dxfId="335" priority="30" operator="containsText" text="白醬">
      <formula>NOT(ISERROR(SEARCH("白醬",A12)))</formula>
    </cfRule>
    <cfRule type="containsText" dxfId="334" priority="29" operator="containsText" text="024">
      <formula>NOT(ISERROR(SEARCH("024",A12)))</formula>
    </cfRule>
    <cfRule type="containsText" dxfId="333" priority="28" operator="containsText" text="煮白細麵生(方#12)">
      <formula>NOT(ISERROR(SEARCH("煮白細麵生(方#12)",A12)))</formula>
    </cfRule>
    <cfRule type="containsText" dxfId="332" priority="27" operator="containsText" text="綠豆芽">
      <formula>NOT(ISERROR(SEARCH("綠豆芽",A12)))</formula>
    </cfRule>
  </conditionalFormatting>
  <conditionalFormatting sqref="A28:A37">
    <cfRule type="containsText" dxfId="331" priority="5" operator="containsText" text="綠豆芽">
      <formula>NOT(ISERROR(SEARCH("綠豆芽",A28)))</formula>
    </cfRule>
    <cfRule type="containsText" dxfId="330" priority="6" operator="containsText" text="煮白細麵生(方#12)">
      <formula>NOT(ISERROR(SEARCH("煮白細麵生(方#12)",A28)))</formula>
    </cfRule>
    <cfRule type="containsText" dxfId="329" priority="7" operator="containsText" text="024">
      <formula>NOT(ISERROR(SEARCH("024",A28)))</formula>
    </cfRule>
    <cfRule type="containsText" dxfId="328" priority="8" operator="containsText" text="白醬">
      <formula>NOT(ISERROR(SEARCH("白醬",A28)))</formula>
    </cfRule>
    <cfRule type="containsText" dxfId="327" priority="9" operator="containsText" text="青蔥">
      <formula>NOT(ISERROR(SEARCH("青蔥",A28)))</formula>
    </cfRule>
    <cfRule type="containsText" dxfId="326" priority="10" operator="containsText" text=")川燙小青花菜">
      <formula>NOT(ISERROR(SEARCH(")川燙小青花菜",A28)))</formula>
    </cfRule>
    <cfRule type="containsText" dxfId="325" priority="11" operator="containsText" text="湯凍">
      <formula>NOT(ISERROR(SEARCH("湯凍",A28)))</formula>
    </cfRule>
    <cfRule type="containsText" dxfId="324" priority="12" operator="containsText" text="中華">
      <formula>NOT(ISERROR(SEARCH("中華",A28)))</formula>
    </cfRule>
  </conditionalFormatting>
  <conditionalFormatting sqref="A44:A53">
    <cfRule type="containsText" dxfId="323" priority="17" operator="containsText" text="綠豆芽">
      <formula>NOT(ISERROR(SEARCH("綠豆芽",A44)))</formula>
    </cfRule>
    <cfRule type="containsText" dxfId="322" priority="18" operator="containsText" text="煮白細麵生(方#12)">
      <formula>NOT(ISERROR(SEARCH("煮白細麵生(方#12)",A44)))</formula>
    </cfRule>
    <cfRule type="containsText" dxfId="321" priority="19" operator="containsText" text="024">
      <formula>NOT(ISERROR(SEARCH("024",A44)))</formula>
    </cfRule>
    <cfRule type="containsText" dxfId="320" priority="20" operator="containsText" text="白醬">
      <formula>NOT(ISERROR(SEARCH("白醬",A44)))</formula>
    </cfRule>
    <cfRule type="containsText" dxfId="319" priority="21" operator="containsText" text="青蔥">
      <formula>NOT(ISERROR(SEARCH("青蔥",A44)))</formula>
    </cfRule>
    <cfRule type="containsText" dxfId="318" priority="22" operator="containsText" text=")川燙小青花菜">
      <formula>NOT(ISERROR(SEARCH(")川燙小青花菜",A44)))</formula>
    </cfRule>
    <cfRule type="containsText" dxfId="317" priority="23" operator="containsText" text="湯凍">
      <formula>NOT(ISERROR(SEARCH("湯凍",A44)))</formula>
    </cfRule>
    <cfRule type="containsText" dxfId="316" priority="24" operator="containsText" text="中華">
      <formula>NOT(ISERROR(SEARCH("中華",A44)))</formula>
    </cfRule>
  </conditionalFormatting>
  <conditionalFormatting sqref="D44:D53">
    <cfRule type="cellIs" dxfId="315" priority="16" operator="greaterThan">
      <formula>0.146</formula>
    </cfRule>
  </conditionalFormatting>
  <conditionalFormatting sqref="E5">
    <cfRule type="cellIs" dxfId="314" priority="25" operator="greaterThan">
      <formula>0.072</formula>
    </cfRule>
    <cfRule type="cellIs" dxfId="313" priority="26" operator="greaterThan">
      <formula>7.2</formula>
    </cfRule>
    <cfRule type="cellIs" dxfId="312" priority="14" operator="greaterThan">
      <formula>0.0025</formula>
    </cfRule>
  </conditionalFormatting>
  <conditionalFormatting sqref="G5">
    <cfRule type="cellIs" dxfId="311" priority="3" operator="greaterThan">
      <formula>7.2</formula>
    </cfRule>
    <cfRule type="cellIs" dxfId="310" priority="2" operator="greaterThan">
      <formula>0.072</formula>
    </cfRule>
    <cfRule type="cellIs" dxfId="309" priority="1" operator="greaterThan">
      <formula>0.0025</formula>
    </cfRule>
  </conditionalFormatting>
  <conditionalFormatting sqref="H12:H22">
    <cfRule type="cellIs" dxfId="308" priority="15" operator="greaterThan">
      <formula>1.1</formula>
    </cfRule>
  </conditionalFormatting>
  <conditionalFormatting sqref="H28:H37">
    <cfRule type="cellIs" dxfId="307" priority="4" operator="greaterThan">
      <formula>1.1</formula>
    </cfRule>
  </conditionalFormatting>
  <conditionalFormatting sqref="I5">
    <cfRule type="cellIs" dxfId="30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DDA3-597D-4192-BC6F-1751B89C3C82}">
  <sheetPr>
    <tabColor rgb="FFFF0000"/>
    <pageSetUpPr fitToPage="1"/>
  </sheetPr>
  <dimension ref="A1:Q56"/>
  <sheetViews>
    <sheetView zoomScale="70" zoomScaleNormal="70" workbookViewId="0">
      <selection activeCell="L5" sqref="L5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45878</v>
      </c>
      <c r="B3" s="150"/>
      <c r="C3" s="151">
        <v>6591313.1100000003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15935.423099999993</v>
      </c>
      <c r="E5" s="25">
        <f>D5/C3</f>
        <v>2.4176401324075458E-3</v>
      </c>
      <c r="F5" s="24">
        <v>55317.722599999994</v>
      </c>
      <c r="G5" s="26">
        <f>F5/C3</f>
        <v>8.3925193169893265E-3</v>
      </c>
      <c r="H5" s="27">
        <f>SUM(C12:C21)</f>
        <v>5590.9560000000001</v>
      </c>
      <c r="I5" s="28">
        <f>H5/D5</f>
        <v>0.3508508035786011</v>
      </c>
      <c r="J5" s="27">
        <f>SUM(C28:C37)</f>
        <v>13860.9702</v>
      </c>
      <c r="K5" s="29">
        <f>J5/F5</f>
        <v>0.25057015271991695</v>
      </c>
      <c r="L5" s="30">
        <v>3905.1883000000003</v>
      </c>
      <c r="M5" s="31">
        <f>L5/D5</f>
        <v>0.24506335824870581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91</v>
      </c>
      <c r="C12" s="37">
        <v>1081.5</v>
      </c>
      <c r="D12" s="38">
        <v>2940</v>
      </c>
      <c r="E12" s="38">
        <v>3010</v>
      </c>
      <c r="F12" s="38">
        <v>0</v>
      </c>
      <c r="G12" s="37">
        <v>15.45</v>
      </c>
      <c r="H12" s="39">
        <f>(E12+F12)/D12</f>
        <v>1.0238095238095237</v>
      </c>
      <c r="I12" s="37">
        <v>1081.5</v>
      </c>
      <c r="J12" s="38">
        <v>70</v>
      </c>
      <c r="K12" s="40">
        <f>J12/D12</f>
        <v>2.3809523809523808E-2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221</v>
      </c>
      <c r="Q12" s="45" t="s">
        <v>94</v>
      </c>
    </row>
    <row r="13" spans="1:17" s="46" customFormat="1" ht="24.95" customHeight="1">
      <c r="A13" s="47">
        <v>2</v>
      </c>
      <c r="B13" s="36" t="s">
        <v>139</v>
      </c>
      <c r="C13" s="37">
        <v>1022.72</v>
      </c>
      <c r="D13" s="38">
        <v>359.68</v>
      </c>
      <c r="E13" s="38">
        <v>370</v>
      </c>
      <c r="F13" s="38">
        <v>0</v>
      </c>
      <c r="G13" s="37">
        <v>127.84</v>
      </c>
      <c r="H13" s="39">
        <f t="shared" ref="H13:H21" si="1">(E13+F13)/D13</f>
        <v>1.0286921708185053</v>
      </c>
      <c r="I13" s="37">
        <v>1319.3087999999991</v>
      </c>
      <c r="J13" s="38">
        <v>8</v>
      </c>
      <c r="K13" s="40">
        <f>J13/D13</f>
        <v>2.2241992882562279E-2</v>
      </c>
      <c r="L13" s="41">
        <f t="shared" ref="L13:L21" si="2">((E13+F13)-D13)-J13</f>
        <v>2.3199999999999932</v>
      </c>
      <c r="M13" s="42">
        <f t="shared" ref="M13:M21" si="3">L13/D13</f>
        <v>6.4501779359430415E-3</v>
      </c>
      <c r="N13" s="43">
        <f t="shared" si="0"/>
        <v>296.58879999999914</v>
      </c>
      <c r="O13" s="44" t="s">
        <v>88</v>
      </c>
      <c r="P13" s="44" t="s">
        <v>89</v>
      </c>
      <c r="Q13" s="45" t="s">
        <v>103</v>
      </c>
    </row>
    <row r="14" spans="1:17" s="46" customFormat="1" ht="24.95" customHeight="1">
      <c r="A14" s="47">
        <v>3</v>
      </c>
      <c r="B14" s="36" t="s">
        <v>101</v>
      </c>
      <c r="C14" s="37">
        <v>589.72</v>
      </c>
      <c r="D14" s="38">
        <v>451.89</v>
      </c>
      <c r="E14" s="38">
        <v>456.28</v>
      </c>
      <c r="F14" s="38">
        <v>11.3</v>
      </c>
      <c r="G14" s="37">
        <v>147.43</v>
      </c>
      <c r="H14" s="39">
        <f>(E14+F14)/D14</f>
        <v>1.0347208391422691</v>
      </c>
      <c r="I14" s="37">
        <v>2313.1767</v>
      </c>
      <c r="J14" s="38">
        <v>4</v>
      </c>
      <c r="K14" s="40">
        <f t="shared" ref="K14:K21" si="4">J14/D14</f>
        <v>8.8517116997499402E-3</v>
      </c>
      <c r="L14" s="41">
        <f t="shared" si="2"/>
        <v>11.689999999999998</v>
      </c>
      <c r="M14" s="42">
        <f t="shared" si="3"/>
        <v>2.5869127442519194E-2</v>
      </c>
      <c r="N14" s="43">
        <f t="shared" si="0"/>
        <v>1723.4566999999997</v>
      </c>
      <c r="O14" s="44" t="s">
        <v>88</v>
      </c>
      <c r="P14" s="44" t="s">
        <v>47</v>
      </c>
      <c r="Q14" s="45" t="s">
        <v>103</v>
      </c>
    </row>
    <row r="15" spans="1:17" s="46" customFormat="1" ht="24.95" customHeight="1">
      <c r="A15" s="35">
        <v>4</v>
      </c>
      <c r="B15" s="36" t="s">
        <v>252</v>
      </c>
      <c r="C15" s="37">
        <v>557.38</v>
      </c>
      <c r="D15" s="38">
        <v>25.63</v>
      </c>
      <c r="E15" s="38">
        <v>27.63</v>
      </c>
      <c r="F15" s="38">
        <v>0</v>
      </c>
      <c r="G15" s="37">
        <v>278.69</v>
      </c>
      <c r="H15" s="39">
        <f>(E15+F15)/D15</f>
        <v>1.0780335544284043</v>
      </c>
      <c r="I15" s="37">
        <v>557.38</v>
      </c>
      <c r="J15" s="38">
        <v>2</v>
      </c>
      <c r="K15" s="40">
        <f t="shared" si="4"/>
        <v>7.803355442840422E-2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88</v>
      </c>
      <c r="P15" s="44" t="s">
        <v>96</v>
      </c>
      <c r="Q15" s="45" t="s">
        <v>253</v>
      </c>
    </row>
    <row r="16" spans="1:17" s="46" customFormat="1" ht="24.95" customHeight="1">
      <c r="A16" s="47">
        <v>5</v>
      </c>
      <c r="B16" s="36" t="s">
        <v>254</v>
      </c>
      <c r="C16" s="37">
        <v>508.56</v>
      </c>
      <c r="D16" s="38">
        <v>64.09</v>
      </c>
      <c r="E16" s="38">
        <v>69.599999999999994</v>
      </c>
      <c r="F16" s="38">
        <v>0</v>
      </c>
      <c r="G16" s="37">
        <v>195.6</v>
      </c>
      <c r="H16" s="39">
        <f t="shared" si="1"/>
        <v>1.0859728506787329</v>
      </c>
      <c r="I16" s="37">
        <v>1077.7559999999983</v>
      </c>
      <c r="J16" s="38">
        <v>2.6</v>
      </c>
      <c r="K16" s="40">
        <f t="shared" si="4"/>
        <v>4.0567951318458417E-2</v>
      </c>
      <c r="L16" s="41">
        <f t="shared" si="2"/>
        <v>2.9099999999999908</v>
      </c>
      <c r="M16" s="42">
        <f t="shared" si="3"/>
        <v>4.5404899360274469E-2</v>
      </c>
      <c r="N16" s="43">
        <f t="shared" si="0"/>
        <v>569.19599999999821</v>
      </c>
      <c r="O16" s="44" t="s">
        <v>88</v>
      </c>
      <c r="P16" s="44" t="s">
        <v>96</v>
      </c>
      <c r="Q16" s="45" t="s">
        <v>253</v>
      </c>
    </row>
    <row r="17" spans="1:17" s="46" customFormat="1" ht="24.95" customHeight="1">
      <c r="A17" s="35">
        <v>6</v>
      </c>
      <c r="B17" s="36" t="s">
        <v>255</v>
      </c>
      <c r="C17" s="37">
        <v>445.43999999999994</v>
      </c>
      <c r="D17" s="38">
        <v>9.15</v>
      </c>
      <c r="E17" s="38">
        <v>11.2</v>
      </c>
      <c r="F17" s="38">
        <v>0</v>
      </c>
      <c r="G17" s="37">
        <v>296.95999999999998</v>
      </c>
      <c r="H17" s="39">
        <f t="shared" si="1"/>
        <v>1.2240437158469943</v>
      </c>
      <c r="I17" s="37">
        <v>608.76799999999969</v>
      </c>
      <c r="J17" s="38">
        <v>1.5</v>
      </c>
      <c r="K17" s="40">
        <f t="shared" si="4"/>
        <v>0.16393442622950818</v>
      </c>
      <c r="L17" s="41">
        <f t="shared" si="2"/>
        <v>0.54999999999999893</v>
      </c>
      <c r="M17" s="42">
        <f t="shared" si="3"/>
        <v>6.0109289617486218E-2</v>
      </c>
      <c r="N17" s="43">
        <f t="shared" si="0"/>
        <v>163.32799999999966</v>
      </c>
      <c r="O17" s="44" t="s">
        <v>88</v>
      </c>
      <c r="P17" s="44" t="s">
        <v>96</v>
      </c>
      <c r="Q17" s="45" t="s">
        <v>253</v>
      </c>
    </row>
    <row r="18" spans="1:17" s="46" customFormat="1" ht="24.95" customHeight="1">
      <c r="A18" s="47">
        <v>7</v>
      </c>
      <c r="B18" s="36" t="s">
        <v>104</v>
      </c>
      <c r="C18" s="37">
        <v>413.613</v>
      </c>
      <c r="D18" s="38">
        <v>42.65</v>
      </c>
      <c r="E18" s="38">
        <v>45.35</v>
      </c>
      <c r="F18" s="38">
        <v>0</v>
      </c>
      <c r="G18" s="37">
        <v>153.19</v>
      </c>
      <c r="H18" s="39">
        <f t="shared" si="1"/>
        <v>1.063305978898007</v>
      </c>
      <c r="I18" s="37">
        <v>413.61300000000045</v>
      </c>
      <c r="J18" s="38">
        <v>2.7</v>
      </c>
      <c r="K18" s="40">
        <f t="shared" si="4"/>
        <v>6.3305978898007043E-2</v>
      </c>
      <c r="L18" s="41">
        <f>((E18+F18)-D18)-J18</f>
        <v>0</v>
      </c>
      <c r="M18" s="42">
        <f t="shared" si="3"/>
        <v>0</v>
      </c>
      <c r="N18" s="43">
        <f t="shared" si="0"/>
        <v>0</v>
      </c>
      <c r="O18" s="44" t="s">
        <v>88</v>
      </c>
      <c r="P18" s="44" t="s">
        <v>96</v>
      </c>
      <c r="Q18" s="45" t="s">
        <v>105</v>
      </c>
    </row>
    <row r="19" spans="1:17" s="46" customFormat="1" ht="24.95" customHeight="1">
      <c r="A19" s="35">
        <v>8</v>
      </c>
      <c r="B19" s="36" t="s">
        <v>186</v>
      </c>
      <c r="C19" s="37">
        <v>342.55199999999996</v>
      </c>
      <c r="D19" s="38">
        <v>208.32</v>
      </c>
      <c r="E19" s="38">
        <v>217.07000000000002</v>
      </c>
      <c r="F19" s="38">
        <v>0</v>
      </c>
      <c r="G19" s="37">
        <v>61.17</v>
      </c>
      <c r="H19" s="39">
        <f t="shared" si="1"/>
        <v>1.0420026881720432</v>
      </c>
      <c r="I19" s="37">
        <v>535.23750000000177</v>
      </c>
      <c r="J19" s="38">
        <v>5.6</v>
      </c>
      <c r="K19" s="40">
        <f t="shared" si="4"/>
        <v>2.6881720430107527E-2</v>
      </c>
      <c r="L19" s="41">
        <f t="shared" si="2"/>
        <v>3.1500000000000288</v>
      </c>
      <c r="M19" s="42">
        <f t="shared" si="3"/>
        <v>1.5120967741935623E-2</v>
      </c>
      <c r="N19" s="43">
        <f t="shared" si="0"/>
        <v>192.68550000000175</v>
      </c>
      <c r="O19" s="44" t="s">
        <v>88</v>
      </c>
      <c r="P19" s="44" t="s">
        <v>222</v>
      </c>
      <c r="Q19" s="45" t="s">
        <v>189</v>
      </c>
    </row>
    <row r="20" spans="1:17" s="46" customFormat="1" ht="24.95" customHeight="1">
      <c r="A20" s="47">
        <v>9</v>
      </c>
      <c r="B20" s="36" t="s">
        <v>197</v>
      </c>
      <c r="C20" s="37">
        <v>319.86500000000001</v>
      </c>
      <c r="D20" s="38">
        <v>10.16</v>
      </c>
      <c r="E20" s="38">
        <v>11.53</v>
      </c>
      <c r="F20" s="38">
        <v>0</v>
      </c>
      <c r="G20" s="37">
        <v>246.05</v>
      </c>
      <c r="H20" s="39">
        <f t="shared" si="1"/>
        <v>1.1348425196850394</v>
      </c>
      <c r="I20" s="37">
        <v>337.08849999999984</v>
      </c>
      <c r="J20" s="38">
        <v>1.3</v>
      </c>
      <c r="K20" s="40">
        <f t="shared" si="4"/>
        <v>0.12795275590551181</v>
      </c>
      <c r="L20" s="41">
        <f t="shared" si="2"/>
        <v>6.9999999999999174E-2</v>
      </c>
      <c r="M20" s="42">
        <f t="shared" si="3"/>
        <v>6.8897637795274774E-3</v>
      </c>
      <c r="N20" s="43">
        <f t="shared" si="0"/>
        <v>17.223499999999799</v>
      </c>
      <c r="O20" s="44" t="s">
        <v>88</v>
      </c>
      <c r="P20" s="44" t="s">
        <v>175</v>
      </c>
      <c r="Q20" s="45" t="s">
        <v>154</v>
      </c>
    </row>
    <row r="21" spans="1:17" s="46" customFormat="1" ht="24.95" customHeight="1" thickBot="1">
      <c r="A21" s="48">
        <v>10</v>
      </c>
      <c r="B21" s="49" t="s">
        <v>107</v>
      </c>
      <c r="C21" s="50">
        <v>309.60599999999999</v>
      </c>
      <c r="D21" s="51">
        <v>19.149999999999999</v>
      </c>
      <c r="E21" s="51">
        <v>21.35</v>
      </c>
      <c r="F21" s="51">
        <v>0</v>
      </c>
      <c r="G21" s="50">
        <v>140.72999999999999</v>
      </c>
      <c r="H21" s="52">
        <f t="shared" si="1"/>
        <v>1.1148825065274153</v>
      </c>
      <c r="I21" s="50">
        <v>309.60600000000039</v>
      </c>
      <c r="J21" s="51">
        <v>2.2000000000000002</v>
      </c>
      <c r="K21" s="53">
        <f t="shared" si="4"/>
        <v>0.11488250652741516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88</v>
      </c>
      <c r="P21" s="57" t="s">
        <v>175</v>
      </c>
      <c r="Q21" s="58" t="s">
        <v>108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215</v>
      </c>
      <c r="C28" s="37">
        <v>2647.6800000000003</v>
      </c>
      <c r="D28" s="38">
        <v>217.29</v>
      </c>
      <c r="E28" s="38">
        <v>231.29</v>
      </c>
      <c r="F28" s="38">
        <v>0</v>
      </c>
      <c r="G28" s="37">
        <v>189.12</v>
      </c>
      <c r="H28" s="68">
        <f t="shared" ref="H28:H37" si="5">(E28+F28)/D28</f>
        <v>1.0644300243913665</v>
      </c>
      <c r="I28" s="37">
        <v>2647.6800000000003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14</v>
      </c>
      <c r="N28" s="42">
        <f t="shared" ref="N28:N37" si="9">M28/D28</f>
        <v>6.4430024391366372E-2</v>
      </c>
      <c r="O28" s="44" t="s">
        <v>116</v>
      </c>
      <c r="P28" s="44" t="s">
        <v>89</v>
      </c>
      <c r="Q28" s="45" t="s">
        <v>216</v>
      </c>
    </row>
    <row r="29" spans="1:17" s="67" customFormat="1" ht="24.95" customHeight="1">
      <c r="A29" s="47">
        <v>2</v>
      </c>
      <c r="B29" s="36" t="s">
        <v>101</v>
      </c>
      <c r="C29" s="37">
        <v>1723.4567</v>
      </c>
      <c r="D29" s="38">
        <v>451.89</v>
      </c>
      <c r="E29" s="38">
        <v>456.28</v>
      </c>
      <c r="F29" s="38">
        <v>11.3</v>
      </c>
      <c r="G29" s="37">
        <v>147.43</v>
      </c>
      <c r="H29" s="68">
        <f t="shared" si="5"/>
        <v>1.0347208391422691</v>
      </c>
      <c r="I29" s="37">
        <v>2313.1767</v>
      </c>
      <c r="J29" s="38">
        <v>4</v>
      </c>
      <c r="K29" s="40">
        <f t="shared" si="6"/>
        <v>8.8517116997499402E-3</v>
      </c>
      <c r="L29" s="43">
        <f t="shared" si="7"/>
        <v>589.72</v>
      </c>
      <c r="M29" s="41">
        <f t="shared" si="8"/>
        <v>11.689999999999998</v>
      </c>
      <c r="N29" s="42">
        <f t="shared" si="9"/>
        <v>2.5869127442519194E-2</v>
      </c>
      <c r="O29" s="44" t="s">
        <v>116</v>
      </c>
      <c r="P29" s="44" t="s">
        <v>224</v>
      </c>
      <c r="Q29" s="45" t="s">
        <v>103</v>
      </c>
    </row>
    <row r="30" spans="1:17" s="67" customFormat="1" ht="24.95" customHeight="1">
      <c r="A30" s="47">
        <v>3</v>
      </c>
      <c r="B30" s="36" t="s">
        <v>256</v>
      </c>
      <c r="C30" s="37">
        <v>1637.600000000001</v>
      </c>
      <c r="D30" s="38">
        <v>10.11</v>
      </c>
      <c r="E30" s="38">
        <v>11</v>
      </c>
      <c r="F30" s="38">
        <v>0</v>
      </c>
      <c r="G30" s="37">
        <v>1840</v>
      </c>
      <c r="H30" s="68">
        <f t="shared" si="5"/>
        <v>1.0880316518298714</v>
      </c>
      <c r="I30" s="37">
        <v>1637.600000000001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0.89000000000000057</v>
      </c>
      <c r="N30" s="42">
        <f t="shared" si="9"/>
        <v>8.803165182987148E-2</v>
      </c>
      <c r="O30" s="44" t="s">
        <v>116</v>
      </c>
      <c r="P30" s="44" t="s">
        <v>89</v>
      </c>
      <c r="Q30" s="45" t="s">
        <v>257</v>
      </c>
    </row>
    <row r="31" spans="1:17" s="67" customFormat="1" ht="24.95" customHeight="1">
      <c r="A31" s="35">
        <v>4</v>
      </c>
      <c r="B31" s="36" t="s">
        <v>129</v>
      </c>
      <c r="C31" s="37">
        <v>1589.3864999999964</v>
      </c>
      <c r="D31" s="38">
        <v>4015.35</v>
      </c>
      <c r="E31" s="38">
        <v>3992.1</v>
      </c>
      <c r="F31" s="38">
        <v>63.6</v>
      </c>
      <c r="G31" s="37">
        <v>39.39</v>
      </c>
      <c r="H31" s="68">
        <f t="shared" si="5"/>
        <v>1.0100489372034815</v>
      </c>
      <c r="I31" s="37">
        <v>1589.3864999999964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40.349999999999909</v>
      </c>
      <c r="N31" s="42">
        <f t="shared" si="9"/>
        <v>1.0048937203481616E-2</v>
      </c>
      <c r="O31" s="44" t="s">
        <v>116</v>
      </c>
      <c r="P31" s="69" t="s">
        <v>225</v>
      </c>
      <c r="Q31" s="45" t="s">
        <v>103</v>
      </c>
    </row>
    <row r="32" spans="1:17" s="67" customFormat="1" ht="24.95" customHeight="1">
      <c r="A32" s="47">
        <v>5</v>
      </c>
      <c r="B32" s="36" t="s">
        <v>179</v>
      </c>
      <c r="C32" s="37">
        <v>1312.9227999999996</v>
      </c>
      <c r="D32" s="38">
        <v>140.25</v>
      </c>
      <c r="E32" s="38">
        <v>136.47</v>
      </c>
      <c r="F32" s="38">
        <v>7</v>
      </c>
      <c r="G32" s="37">
        <v>407.74</v>
      </c>
      <c r="H32" s="68">
        <f t="shared" si="5"/>
        <v>1.0229590017825312</v>
      </c>
      <c r="I32" s="37">
        <v>1312.9227999999996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3.2199999999999989</v>
      </c>
      <c r="N32" s="42">
        <f t="shared" si="9"/>
        <v>2.2959001782531185E-2</v>
      </c>
      <c r="O32" s="44" t="s">
        <v>116</v>
      </c>
      <c r="P32" s="69" t="s">
        <v>225</v>
      </c>
      <c r="Q32" s="45" t="s">
        <v>180</v>
      </c>
    </row>
    <row r="33" spans="1:17" s="67" customFormat="1" ht="24.95" customHeight="1">
      <c r="A33" s="35">
        <v>6</v>
      </c>
      <c r="B33" s="36" t="s">
        <v>125</v>
      </c>
      <c r="C33" s="37">
        <v>1116.6119999999983</v>
      </c>
      <c r="D33" s="38">
        <v>44.35</v>
      </c>
      <c r="E33" s="38">
        <v>44.94</v>
      </c>
      <c r="F33" s="38">
        <v>1.21</v>
      </c>
      <c r="G33" s="37">
        <v>620.34</v>
      </c>
      <c r="H33" s="68">
        <f t="shared" si="5"/>
        <v>1.0405862457722661</v>
      </c>
      <c r="I33" s="37">
        <v>1116.6119999999983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1.7999999999999972</v>
      </c>
      <c r="N33" s="42">
        <f t="shared" si="9"/>
        <v>4.0586245772266001E-2</v>
      </c>
      <c r="O33" s="44" t="s">
        <v>116</v>
      </c>
      <c r="P33" s="44" t="s">
        <v>89</v>
      </c>
      <c r="Q33" s="45" t="s">
        <v>126</v>
      </c>
    </row>
    <row r="34" spans="1:17" s="67" customFormat="1" ht="24.95" customHeight="1">
      <c r="A34" s="47">
        <v>7</v>
      </c>
      <c r="B34" s="36" t="s">
        <v>233</v>
      </c>
      <c r="C34" s="37">
        <v>1062.7200000000003</v>
      </c>
      <c r="D34" s="38">
        <v>38.22</v>
      </c>
      <c r="E34" s="38">
        <v>38.299999999999997</v>
      </c>
      <c r="F34" s="38">
        <v>3.2</v>
      </c>
      <c r="G34" s="37">
        <v>324</v>
      </c>
      <c r="H34" s="68">
        <f t="shared" si="5"/>
        <v>1.0858189429618001</v>
      </c>
      <c r="I34" s="37">
        <v>1062.7200000000003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3.2800000000000011</v>
      </c>
      <c r="N34" s="42">
        <f t="shared" si="9"/>
        <v>8.5818942961800135E-2</v>
      </c>
      <c r="O34" s="44" t="s">
        <v>116</v>
      </c>
      <c r="P34" s="44" t="s">
        <v>89</v>
      </c>
      <c r="Q34" s="45" t="s">
        <v>103</v>
      </c>
    </row>
    <row r="35" spans="1:17" s="67" customFormat="1" ht="24.95" customHeight="1">
      <c r="A35" s="35">
        <v>8</v>
      </c>
      <c r="B35" s="36" t="s">
        <v>155</v>
      </c>
      <c r="C35" s="37">
        <v>996.16240000000209</v>
      </c>
      <c r="D35" s="38">
        <v>53.74</v>
      </c>
      <c r="E35" s="38">
        <v>49.45</v>
      </c>
      <c r="F35" s="38">
        <v>5.81</v>
      </c>
      <c r="G35" s="37">
        <v>655.37</v>
      </c>
      <c r="H35" s="68">
        <f t="shared" si="5"/>
        <v>1.0282843319687385</v>
      </c>
      <c r="I35" s="37">
        <v>996.16240000000209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1.5200000000000031</v>
      </c>
      <c r="N35" s="42">
        <f t="shared" si="9"/>
        <v>2.8284331968738426E-2</v>
      </c>
      <c r="O35" s="44" t="s">
        <v>116</v>
      </c>
      <c r="P35" s="44" t="s">
        <v>89</v>
      </c>
      <c r="Q35" s="45" t="s">
        <v>122</v>
      </c>
    </row>
    <row r="36" spans="1:17" s="67" customFormat="1" ht="24.95" customHeight="1">
      <c r="A36" s="47">
        <v>9</v>
      </c>
      <c r="B36" s="36" t="s">
        <v>232</v>
      </c>
      <c r="C36" s="37">
        <v>897.54600000000073</v>
      </c>
      <c r="D36" s="38">
        <v>25.63</v>
      </c>
      <c r="E36" s="38">
        <v>25.72</v>
      </c>
      <c r="F36" s="38">
        <v>1.76</v>
      </c>
      <c r="G36" s="37">
        <v>485.16</v>
      </c>
      <c r="H36" s="68">
        <f t="shared" si="5"/>
        <v>1.0721810378462739</v>
      </c>
      <c r="I36" s="37">
        <v>897.54600000000073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1.8500000000000014</v>
      </c>
      <c r="N36" s="42">
        <f t="shared" si="9"/>
        <v>7.2181037846273957E-2</v>
      </c>
      <c r="O36" s="44" t="s">
        <v>131</v>
      </c>
      <c r="P36" s="44" t="s">
        <v>89</v>
      </c>
      <c r="Q36" s="45" t="s">
        <v>90</v>
      </c>
    </row>
    <row r="37" spans="1:17" s="67" customFormat="1" ht="24.95" customHeight="1" thickBot="1">
      <c r="A37" s="48">
        <v>10</v>
      </c>
      <c r="B37" s="49" t="s">
        <v>217</v>
      </c>
      <c r="C37" s="50">
        <v>876.88379999999938</v>
      </c>
      <c r="D37" s="51">
        <v>308.83999999999997</v>
      </c>
      <c r="E37" s="51">
        <v>310.89999999999998</v>
      </c>
      <c r="F37" s="51">
        <v>11.2</v>
      </c>
      <c r="G37" s="50">
        <v>66.13</v>
      </c>
      <c r="H37" s="70">
        <f t="shared" si="5"/>
        <v>1.0429348529983162</v>
      </c>
      <c r="I37" s="50">
        <v>876.88379999999938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13.259999999999991</v>
      </c>
      <c r="N37" s="55">
        <f t="shared" si="9"/>
        <v>4.2934852998316252E-2</v>
      </c>
      <c r="O37" s="57" t="s">
        <v>131</v>
      </c>
      <c r="P37" s="57" t="s">
        <v>89</v>
      </c>
      <c r="Q37" s="58" t="s">
        <v>218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139</v>
      </c>
      <c r="C44" s="37">
        <v>1022.72</v>
      </c>
      <c r="D44" s="76">
        <f t="shared" ref="D44:D53" si="10">C44/$L$5</f>
        <v>0.26188749976537623</v>
      </c>
      <c r="E44" s="77"/>
    </row>
    <row r="45" spans="1:17" s="78" customFormat="1" ht="24.95" customHeight="1">
      <c r="A45" s="79">
        <v>2</v>
      </c>
      <c r="B45" s="36" t="s">
        <v>101</v>
      </c>
      <c r="C45" s="37">
        <v>589.72</v>
      </c>
      <c r="D45" s="76">
        <f t="shared" si="10"/>
        <v>0.15100936362018702</v>
      </c>
      <c r="E45" s="77"/>
    </row>
    <row r="46" spans="1:17" s="78" customFormat="1" ht="24.95" customHeight="1">
      <c r="A46" s="79">
        <v>3</v>
      </c>
      <c r="B46" s="36" t="s">
        <v>143</v>
      </c>
      <c r="C46" s="37">
        <v>271.08</v>
      </c>
      <c r="D46" s="76">
        <f t="shared" si="10"/>
        <v>6.9415346758055163E-2</v>
      </c>
      <c r="E46" s="77"/>
    </row>
    <row r="47" spans="1:17" s="78" customFormat="1" ht="24.95" customHeight="1">
      <c r="A47" s="75">
        <v>4</v>
      </c>
      <c r="B47" s="36" t="s">
        <v>141</v>
      </c>
      <c r="C47" s="37">
        <v>263.60000000000002</v>
      </c>
      <c r="D47" s="76">
        <f t="shared" si="10"/>
        <v>6.7499946161366925E-2</v>
      </c>
      <c r="E47" s="77"/>
    </row>
    <row r="48" spans="1:17" s="78" customFormat="1" ht="24.95" customHeight="1">
      <c r="A48" s="79">
        <v>5</v>
      </c>
      <c r="B48" s="36" t="s">
        <v>137</v>
      </c>
      <c r="C48" s="37">
        <v>252.35000000000002</v>
      </c>
      <c r="D48" s="76">
        <f t="shared" si="10"/>
        <v>6.4619163178379901E-2</v>
      </c>
      <c r="E48" s="77"/>
    </row>
    <row r="49" spans="1:5" s="78" customFormat="1" ht="24.95" customHeight="1">
      <c r="A49" s="75">
        <v>6</v>
      </c>
      <c r="B49" s="36" t="s">
        <v>138</v>
      </c>
      <c r="C49" s="37">
        <v>221.13</v>
      </c>
      <c r="D49" s="76">
        <f t="shared" si="10"/>
        <v>5.6624670313592813E-2</v>
      </c>
      <c r="E49" s="77"/>
    </row>
    <row r="50" spans="1:5" s="78" customFormat="1" ht="24.95" customHeight="1">
      <c r="A50" s="79">
        <v>7</v>
      </c>
      <c r="B50" s="36" t="s">
        <v>168</v>
      </c>
      <c r="C50" s="37">
        <v>203.15</v>
      </c>
      <c r="D50" s="76">
        <f t="shared" si="10"/>
        <v>5.2020538932783342E-2</v>
      </c>
      <c r="E50" s="77"/>
    </row>
    <row r="51" spans="1:5" s="78" customFormat="1" ht="24.95" customHeight="1">
      <c r="A51" s="75">
        <v>8</v>
      </c>
      <c r="B51" s="36" t="s">
        <v>140</v>
      </c>
      <c r="C51" s="37">
        <v>200</v>
      </c>
      <c r="D51" s="76">
        <f t="shared" si="10"/>
        <v>5.1213919697546975E-2</v>
      </c>
      <c r="E51" s="77"/>
    </row>
    <row r="52" spans="1:5" s="78" customFormat="1" ht="24.95" customHeight="1">
      <c r="A52" s="79">
        <v>9</v>
      </c>
      <c r="B52" s="36" t="s">
        <v>142</v>
      </c>
      <c r="C52" s="37">
        <v>198.732</v>
      </c>
      <c r="D52" s="76">
        <f t="shared" si="10"/>
        <v>5.0889223446664529E-2</v>
      </c>
      <c r="E52" s="77"/>
    </row>
    <row r="53" spans="1:5" s="78" customFormat="1" ht="24.95" customHeight="1" thickBot="1">
      <c r="A53" s="80">
        <v>10</v>
      </c>
      <c r="B53" s="49" t="s">
        <v>106</v>
      </c>
      <c r="C53" s="50">
        <v>186.345</v>
      </c>
      <c r="D53" s="81">
        <f t="shared" si="10"/>
        <v>4.7717289330196956E-2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05" priority="34" operator="containsText" text="中華">
      <formula>NOT(ISERROR(SEARCH("中華",A12)))</formula>
    </cfRule>
    <cfRule type="containsText" dxfId="304" priority="33" operator="containsText" text="湯凍">
      <formula>NOT(ISERROR(SEARCH("湯凍",A12)))</formula>
    </cfRule>
    <cfRule type="containsText" dxfId="303" priority="32" operator="containsText" text=")川燙小青花菜">
      <formula>NOT(ISERROR(SEARCH(")川燙小青花菜",A12)))</formula>
    </cfRule>
    <cfRule type="containsText" dxfId="302" priority="31" operator="containsText" text="青蔥">
      <formula>NOT(ISERROR(SEARCH("青蔥",A12)))</formula>
    </cfRule>
    <cfRule type="containsText" dxfId="301" priority="30" operator="containsText" text="白醬">
      <formula>NOT(ISERROR(SEARCH("白醬",A12)))</formula>
    </cfRule>
    <cfRule type="containsText" dxfId="300" priority="29" operator="containsText" text="024">
      <formula>NOT(ISERROR(SEARCH("024",A12)))</formula>
    </cfRule>
    <cfRule type="containsText" dxfId="299" priority="28" operator="containsText" text="煮白細麵生(方#12)">
      <formula>NOT(ISERROR(SEARCH("煮白細麵生(方#12)",A12)))</formula>
    </cfRule>
    <cfRule type="containsText" dxfId="298" priority="27" operator="containsText" text="綠豆芽">
      <formula>NOT(ISERROR(SEARCH("綠豆芽",A12)))</formula>
    </cfRule>
  </conditionalFormatting>
  <conditionalFormatting sqref="A28:A37">
    <cfRule type="containsText" dxfId="297" priority="5" operator="containsText" text="綠豆芽">
      <formula>NOT(ISERROR(SEARCH("綠豆芽",A28)))</formula>
    </cfRule>
    <cfRule type="containsText" dxfId="296" priority="6" operator="containsText" text="煮白細麵生(方#12)">
      <formula>NOT(ISERROR(SEARCH("煮白細麵生(方#12)",A28)))</formula>
    </cfRule>
    <cfRule type="containsText" dxfId="295" priority="7" operator="containsText" text="024">
      <formula>NOT(ISERROR(SEARCH("024",A28)))</formula>
    </cfRule>
    <cfRule type="containsText" dxfId="294" priority="8" operator="containsText" text="白醬">
      <formula>NOT(ISERROR(SEARCH("白醬",A28)))</formula>
    </cfRule>
    <cfRule type="containsText" dxfId="293" priority="9" operator="containsText" text="青蔥">
      <formula>NOT(ISERROR(SEARCH("青蔥",A28)))</formula>
    </cfRule>
    <cfRule type="containsText" dxfId="292" priority="10" operator="containsText" text=")川燙小青花菜">
      <formula>NOT(ISERROR(SEARCH(")川燙小青花菜",A28)))</formula>
    </cfRule>
    <cfRule type="containsText" dxfId="291" priority="11" operator="containsText" text="湯凍">
      <formula>NOT(ISERROR(SEARCH("湯凍",A28)))</formula>
    </cfRule>
    <cfRule type="containsText" dxfId="290" priority="12" operator="containsText" text="中華">
      <formula>NOT(ISERROR(SEARCH("中華",A28)))</formula>
    </cfRule>
  </conditionalFormatting>
  <conditionalFormatting sqref="A44:A53">
    <cfRule type="containsText" dxfId="289" priority="17" operator="containsText" text="綠豆芽">
      <formula>NOT(ISERROR(SEARCH("綠豆芽",A44)))</formula>
    </cfRule>
    <cfRule type="containsText" dxfId="288" priority="18" operator="containsText" text="煮白細麵生(方#12)">
      <formula>NOT(ISERROR(SEARCH("煮白細麵生(方#12)",A44)))</formula>
    </cfRule>
    <cfRule type="containsText" dxfId="287" priority="19" operator="containsText" text="024">
      <formula>NOT(ISERROR(SEARCH("024",A44)))</formula>
    </cfRule>
    <cfRule type="containsText" dxfId="286" priority="20" operator="containsText" text="白醬">
      <formula>NOT(ISERROR(SEARCH("白醬",A44)))</formula>
    </cfRule>
    <cfRule type="containsText" dxfId="285" priority="21" operator="containsText" text="青蔥">
      <formula>NOT(ISERROR(SEARCH("青蔥",A44)))</formula>
    </cfRule>
    <cfRule type="containsText" dxfId="284" priority="22" operator="containsText" text=")川燙小青花菜">
      <formula>NOT(ISERROR(SEARCH(")川燙小青花菜",A44)))</formula>
    </cfRule>
    <cfRule type="containsText" dxfId="283" priority="23" operator="containsText" text="湯凍">
      <formula>NOT(ISERROR(SEARCH("湯凍",A44)))</formula>
    </cfRule>
    <cfRule type="containsText" dxfId="282" priority="24" operator="containsText" text="中華">
      <formula>NOT(ISERROR(SEARCH("中華",A44)))</formula>
    </cfRule>
  </conditionalFormatting>
  <conditionalFormatting sqref="D44:D53">
    <cfRule type="cellIs" dxfId="281" priority="16" operator="greaterThan">
      <formula>0.146</formula>
    </cfRule>
  </conditionalFormatting>
  <conditionalFormatting sqref="E5">
    <cfRule type="cellIs" dxfId="280" priority="25" operator="greaterThan">
      <formula>0.072</formula>
    </cfRule>
    <cfRule type="cellIs" dxfId="279" priority="26" operator="greaterThan">
      <formula>7.2</formula>
    </cfRule>
    <cfRule type="cellIs" dxfId="278" priority="14" operator="greaterThan">
      <formula>0.0025</formula>
    </cfRule>
  </conditionalFormatting>
  <conditionalFormatting sqref="G5">
    <cfRule type="cellIs" dxfId="277" priority="3" operator="greaterThan">
      <formula>7.2</formula>
    </cfRule>
    <cfRule type="cellIs" dxfId="276" priority="2" operator="greaterThan">
      <formula>0.072</formula>
    </cfRule>
    <cfRule type="cellIs" dxfId="275" priority="1" operator="greaterThan">
      <formula>0.0025</formula>
    </cfRule>
  </conditionalFormatting>
  <conditionalFormatting sqref="H12:H22">
    <cfRule type="cellIs" dxfId="274" priority="15" operator="greaterThan">
      <formula>1.1</formula>
    </cfRule>
  </conditionalFormatting>
  <conditionalFormatting sqref="H28:H37">
    <cfRule type="cellIs" dxfId="273" priority="4" operator="greaterThan">
      <formula>1.1</formula>
    </cfRule>
  </conditionalFormatting>
  <conditionalFormatting sqref="I5">
    <cfRule type="cellIs" dxfId="27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EEBA-14D3-4D13-B677-7D2F4E909B4F}">
  <sheetPr>
    <tabColor rgb="FFFF0000"/>
    <pageSetUpPr fitToPage="1"/>
  </sheetPr>
  <dimension ref="A1:Q56"/>
  <sheetViews>
    <sheetView zoomScale="70" zoomScaleNormal="70" workbookViewId="0">
      <selection activeCell="L5" sqref="L5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45877</v>
      </c>
      <c r="B3" s="150"/>
      <c r="C3" s="151">
        <v>6209389.7300000004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15004.129199999996</v>
      </c>
      <c r="E5" s="25">
        <f>D5/C3</f>
        <v>2.4163613257369167E-3</v>
      </c>
      <c r="F5" s="24">
        <v>53146.33649999999</v>
      </c>
      <c r="G5" s="26">
        <f>F5/C3</f>
        <v>8.559027345832259E-3</v>
      </c>
      <c r="H5" s="27">
        <f>SUM(C12:C21)</f>
        <v>5839.2654999999995</v>
      </c>
      <c r="I5" s="28">
        <f>H5/D5</f>
        <v>0.38917723395770287</v>
      </c>
      <c r="J5" s="27">
        <f>SUM(C28:C37)</f>
        <v>13239.132899999997</v>
      </c>
      <c r="K5" s="29">
        <f>J5/F5</f>
        <v>0.24910715906071906</v>
      </c>
      <c r="L5" s="30">
        <v>2524.6270999999997</v>
      </c>
      <c r="M5" s="31">
        <f>L5/D5</f>
        <v>0.16826215412754514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117</v>
      </c>
      <c r="C12" s="37">
        <v>1024.056</v>
      </c>
      <c r="D12" s="38">
        <v>90.15</v>
      </c>
      <c r="E12" s="38">
        <v>94.17</v>
      </c>
      <c r="F12" s="38">
        <v>0</v>
      </c>
      <c r="G12" s="37">
        <v>426.69</v>
      </c>
      <c r="H12" s="39">
        <f>(E12+F12)/D12</f>
        <v>1.0445923460898503</v>
      </c>
      <c r="I12" s="37">
        <v>1715.2937999999983</v>
      </c>
      <c r="J12" s="38">
        <v>2.4</v>
      </c>
      <c r="K12" s="40">
        <f>J12/D12</f>
        <v>2.6622296173044922E-2</v>
      </c>
      <c r="L12" s="41">
        <f>((E12+F12)-D12)-J12</f>
        <v>1.6199999999999961</v>
      </c>
      <c r="M12" s="42">
        <f>L12/D12</f>
        <v>1.7970049916805279E-2</v>
      </c>
      <c r="N12" s="43">
        <f t="shared" ref="N12:N21" si="0">L12*G12</f>
        <v>691.23779999999829</v>
      </c>
      <c r="O12" s="44" t="s">
        <v>88</v>
      </c>
      <c r="P12" s="44" t="s">
        <v>89</v>
      </c>
      <c r="Q12" s="45" t="s">
        <v>97</v>
      </c>
    </row>
    <row r="13" spans="1:17" s="46" customFormat="1" ht="24.95" customHeight="1">
      <c r="A13" s="47">
        <v>2</v>
      </c>
      <c r="B13" s="36" t="s">
        <v>214</v>
      </c>
      <c r="C13" s="37">
        <v>857.3655</v>
      </c>
      <c r="D13" s="38">
        <v>17.3</v>
      </c>
      <c r="E13" s="38">
        <v>20.149999999999999</v>
      </c>
      <c r="F13" s="38">
        <v>0</v>
      </c>
      <c r="G13" s="37">
        <v>300.83</v>
      </c>
      <c r="H13" s="39">
        <f t="shared" ref="H13:H21" si="1">(E13+F13)/D13</f>
        <v>1.1647398843930634</v>
      </c>
      <c r="I13" s="37">
        <v>857.36549999999932</v>
      </c>
      <c r="J13" s="38">
        <v>2.85</v>
      </c>
      <c r="K13" s="40">
        <f>J13/D13</f>
        <v>0.16473988439306358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89</v>
      </c>
      <c r="Q13" s="45" t="s">
        <v>162</v>
      </c>
    </row>
    <row r="14" spans="1:17" s="46" customFormat="1" ht="24.95" customHeight="1">
      <c r="A14" s="47">
        <v>3</v>
      </c>
      <c r="B14" s="36" t="s">
        <v>215</v>
      </c>
      <c r="C14" s="37">
        <v>730.00319999999999</v>
      </c>
      <c r="D14" s="38">
        <v>208.28</v>
      </c>
      <c r="E14" s="38">
        <v>212.14000000000001</v>
      </c>
      <c r="F14" s="38">
        <v>0</v>
      </c>
      <c r="G14" s="37">
        <v>189.12</v>
      </c>
      <c r="H14" s="39">
        <f>(E14+F14)/D14</f>
        <v>1.018532744382562</v>
      </c>
      <c r="I14" s="37">
        <v>730.00320000000261</v>
      </c>
      <c r="J14" s="38">
        <v>3.86</v>
      </c>
      <c r="K14" s="40">
        <f t="shared" ref="K14:K21" si="4">J14/D14</f>
        <v>1.8532744382561934E-2</v>
      </c>
      <c r="L14" s="41">
        <f t="shared" si="2"/>
        <v>1.3766765505351941E-14</v>
      </c>
      <c r="M14" s="42">
        <f t="shared" si="3"/>
        <v>6.6097395358901198E-17</v>
      </c>
      <c r="N14" s="43">
        <f t="shared" si="0"/>
        <v>2.6035706923721592E-12</v>
      </c>
      <c r="O14" s="44" t="s">
        <v>88</v>
      </c>
      <c r="P14" s="44" t="s">
        <v>89</v>
      </c>
      <c r="Q14" s="45" t="s">
        <v>216</v>
      </c>
    </row>
    <row r="15" spans="1:17" s="46" customFormat="1" ht="24.95" customHeight="1">
      <c r="A15" s="35">
        <v>4</v>
      </c>
      <c r="B15" s="36" t="s">
        <v>91</v>
      </c>
      <c r="C15" s="37">
        <v>710.69999999999993</v>
      </c>
      <c r="D15" s="38">
        <v>3014</v>
      </c>
      <c r="E15" s="38">
        <v>3060</v>
      </c>
      <c r="F15" s="38">
        <v>0</v>
      </c>
      <c r="G15" s="37">
        <v>15.45</v>
      </c>
      <c r="H15" s="39">
        <f>(E15+F15)/D15</f>
        <v>1.0152621101526211</v>
      </c>
      <c r="I15" s="37">
        <v>710.69999999999993</v>
      </c>
      <c r="J15" s="38">
        <v>46</v>
      </c>
      <c r="K15" s="40">
        <f t="shared" si="4"/>
        <v>1.5262110152621102E-2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88</v>
      </c>
      <c r="P15" s="44" t="s">
        <v>221</v>
      </c>
      <c r="Q15" s="45" t="s">
        <v>94</v>
      </c>
    </row>
    <row r="16" spans="1:17" s="46" customFormat="1" ht="24.95" customHeight="1">
      <c r="A16" s="47">
        <v>5</v>
      </c>
      <c r="B16" s="36" t="s">
        <v>163</v>
      </c>
      <c r="C16" s="37">
        <v>660.19200000000001</v>
      </c>
      <c r="D16" s="38">
        <v>30.28</v>
      </c>
      <c r="E16" s="38">
        <v>32.880000000000003</v>
      </c>
      <c r="F16" s="38">
        <v>0</v>
      </c>
      <c r="G16" s="37">
        <v>253.92</v>
      </c>
      <c r="H16" s="39">
        <f t="shared" si="1"/>
        <v>1.0858652575957728</v>
      </c>
      <c r="I16" s="37">
        <v>660.19200000000035</v>
      </c>
      <c r="J16" s="38">
        <v>2.6</v>
      </c>
      <c r="K16" s="40">
        <f t="shared" si="4"/>
        <v>8.5865257595772793E-2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88</v>
      </c>
      <c r="P16" s="44" t="s">
        <v>89</v>
      </c>
      <c r="Q16" s="45" t="s">
        <v>162</v>
      </c>
    </row>
    <row r="17" spans="1:17" s="46" customFormat="1" ht="24.95" customHeight="1">
      <c r="A17" s="35">
        <v>6</v>
      </c>
      <c r="B17" s="36" t="s">
        <v>258</v>
      </c>
      <c r="C17" s="37">
        <v>643.62209999999993</v>
      </c>
      <c r="D17" s="38">
        <v>418</v>
      </c>
      <c r="E17" s="38">
        <v>410.7</v>
      </c>
      <c r="F17" s="38">
        <v>20.52</v>
      </c>
      <c r="G17" s="37">
        <v>82.41</v>
      </c>
      <c r="H17" s="39">
        <f t="shared" si="1"/>
        <v>1.0316267942583732</v>
      </c>
      <c r="I17" s="37">
        <v>1089.4601999999975</v>
      </c>
      <c r="J17" s="38">
        <v>7.81</v>
      </c>
      <c r="K17" s="40">
        <f t="shared" si="4"/>
        <v>1.8684210526315789E-2</v>
      </c>
      <c r="L17" s="41">
        <f t="shared" si="2"/>
        <v>5.4099999999999708</v>
      </c>
      <c r="M17" s="42">
        <f t="shared" si="3"/>
        <v>1.2942583732057346E-2</v>
      </c>
      <c r="N17" s="43">
        <f t="shared" si="0"/>
        <v>445.83809999999755</v>
      </c>
      <c r="O17" s="44" t="s">
        <v>88</v>
      </c>
      <c r="P17" s="44" t="s">
        <v>259</v>
      </c>
      <c r="Q17" s="45" t="s">
        <v>260</v>
      </c>
    </row>
    <row r="18" spans="1:17" s="46" customFormat="1" ht="24.95" customHeight="1">
      <c r="A18" s="47">
        <v>7</v>
      </c>
      <c r="B18" s="36" t="s">
        <v>168</v>
      </c>
      <c r="C18" s="37">
        <v>332.34999999999997</v>
      </c>
      <c r="D18" s="38">
        <v>12561</v>
      </c>
      <c r="E18" s="38">
        <v>12952</v>
      </c>
      <c r="F18" s="38">
        <v>0</v>
      </c>
      <c r="G18" s="37">
        <v>0.85</v>
      </c>
      <c r="H18" s="39">
        <f t="shared" si="1"/>
        <v>1.031128094896903</v>
      </c>
      <c r="I18" s="37">
        <v>332.34999999999997</v>
      </c>
      <c r="J18" s="38">
        <v>391</v>
      </c>
      <c r="K18" s="40">
        <f t="shared" si="4"/>
        <v>3.1128094896903113E-2</v>
      </c>
      <c r="L18" s="41">
        <f>((E18+F18)-D18)-J18</f>
        <v>0</v>
      </c>
      <c r="M18" s="42">
        <f t="shared" si="3"/>
        <v>0</v>
      </c>
      <c r="N18" s="43">
        <f t="shared" si="0"/>
        <v>0</v>
      </c>
      <c r="O18" s="44" t="s">
        <v>88</v>
      </c>
      <c r="P18" s="44" t="s">
        <v>89</v>
      </c>
      <c r="Q18" s="45" t="s">
        <v>103</v>
      </c>
    </row>
    <row r="19" spans="1:17" s="46" customFormat="1" ht="24.95" customHeight="1">
      <c r="A19" s="35">
        <v>8</v>
      </c>
      <c r="B19" s="36" t="s">
        <v>104</v>
      </c>
      <c r="C19" s="37">
        <v>295.6567</v>
      </c>
      <c r="D19" s="38">
        <v>41.68</v>
      </c>
      <c r="E19" s="38">
        <v>44.98</v>
      </c>
      <c r="F19" s="38">
        <v>0</v>
      </c>
      <c r="G19" s="37">
        <v>153.19</v>
      </c>
      <c r="H19" s="39">
        <f t="shared" si="1"/>
        <v>1.0791746641074855</v>
      </c>
      <c r="I19" s="37">
        <v>505.52699999999953</v>
      </c>
      <c r="J19" s="38">
        <v>1.93</v>
      </c>
      <c r="K19" s="40">
        <f t="shared" si="4"/>
        <v>4.6305182341650673E-2</v>
      </c>
      <c r="L19" s="41">
        <f t="shared" si="2"/>
        <v>1.3699999999999972</v>
      </c>
      <c r="M19" s="42">
        <f t="shared" si="3"/>
        <v>3.2869481765834867E-2</v>
      </c>
      <c r="N19" s="43">
        <f t="shared" si="0"/>
        <v>209.87029999999956</v>
      </c>
      <c r="O19" s="44" t="s">
        <v>88</v>
      </c>
      <c r="P19" s="44" t="s">
        <v>89</v>
      </c>
      <c r="Q19" s="45" t="s">
        <v>105</v>
      </c>
    </row>
    <row r="20" spans="1:17" s="46" customFormat="1" ht="24.95" customHeight="1">
      <c r="A20" s="47">
        <v>9</v>
      </c>
      <c r="B20" s="36" t="s">
        <v>161</v>
      </c>
      <c r="C20" s="37">
        <v>293.84000000000003</v>
      </c>
      <c r="D20" s="38">
        <v>37.49</v>
      </c>
      <c r="E20" s="38">
        <v>37.659999999999997</v>
      </c>
      <c r="F20" s="38">
        <v>2.6</v>
      </c>
      <c r="G20" s="37">
        <v>183.65</v>
      </c>
      <c r="H20" s="39">
        <f t="shared" si="1"/>
        <v>1.0738863696985861</v>
      </c>
      <c r="I20" s="37">
        <v>508.71049999999929</v>
      </c>
      <c r="J20" s="38">
        <v>1.6</v>
      </c>
      <c r="K20" s="40">
        <f t="shared" si="4"/>
        <v>4.2678047479327824E-2</v>
      </c>
      <c r="L20" s="41">
        <f t="shared" si="2"/>
        <v>1.1699999999999959</v>
      </c>
      <c r="M20" s="42">
        <f t="shared" si="3"/>
        <v>3.1208322219258358E-2</v>
      </c>
      <c r="N20" s="43">
        <f t="shared" si="0"/>
        <v>214.87049999999925</v>
      </c>
      <c r="O20" s="44" t="s">
        <v>88</v>
      </c>
      <c r="P20" s="44" t="s">
        <v>89</v>
      </c>
      <c r="Q20" s="45" t="s">
        <v>162</v>
      </c>
    </row>
    <row r="21" spans="1:17" s="46" customFormat="1" ht="24.95" customHeight="1" thickBot="1">
      <c r="A21" s="48">
        <v>10</v>
      </c>
      <c r="B21" s="49" t="s">
        <v>98</v>
      </c>
      <c r="C21" s="50">
        <v>291.48</v>
      </c>
      <c r="D21" s="51">
        <v>6048</v>
      </c>
      <c r="E21" s="51">
        <v>6031</v>
      </c>
      <c r="F21" s="51">
        <v>46</v>
      </c>
      <c r="G21" s="50">
        <v>10.41</v>
      </c>
      <c r="H21" s="52">
        <f t="shared" si="1"/>
        <v>1.0047949735449735</v>
      </c>
      <c r="I21" s="50">
        <v>301.89</v>
      </c>
      <c r="J21" s="51">
        <v>28</v>
      </c>
      <c r="K21" s="53">
        <f t="shared" si="4"/>
        <v>4.6296296296296294E-3</v>
      </c>
      <c r="L21" s="54">
        <f t="shared" si="2"/>
        <v>1</v>
      </c>
      <c r="M21" s="55">
        <f t="shared" si="3"/>
        <v>1.6534391534391533E-4</v>
      </c>
      <c r="N21" s="56">
        <f t="shared" si="0"/>
        <v>10.41</v>
      </c>
      <c r="O21" s="57" t="s">
        <v>88</v>
      </c>
      <c r="P21" s="57" t="s">
        <v>261</v>
      </c>
      <c r="Q21" s="58" t="s">
        <v>100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101</v>
      </c>
      <c r="C28" s="37">
        <v>2314.6509999999985</v>
      </c>
      <c r="D28" s="38">
        <v>451.69</v>
      </c>
      <c r="E28" s="38">
        <v>454.14</v>
      </c>
      <c r="F28" s="38">
        <v>13.25</v>
      </c>
      <c r="G28" s="37">
        <v>147.43</v>
      </c>
      <c r="H28" s="68">
        <f t="shared" ref="H28:H37" si="5">(E28+F28)/D28</f>
        <v>1.0347583519670571</v>
      </c>
      <c r="I28" s="37">
        <v>2314.6509999999985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15.699999999999989</v>
      </c>
      <c r="N28" s="42">
        <f t="shared" ref="N28:N37" si="9">M28/D28</f>
        <v>3.4758351967057025E-2</v>
      </c>
      <c r="O28" s="44" t="s">
        <v>116</v>
      </c>
      <c r="P28" s="44" t="s">
        <v>224</v>
      </c>
      <c r="Q28" s="45" t="s">
        <v>103</v>
      </c>
    </row>
    <row r="29" spans="1:17" s="67" customFormat="1" ht="24.95" customHeight="1">
      <c r="A29" s="47">
        <v>2</v>
      </c>
      <c r="B29" s="36" t="s">
        <v>155</v>
      </c>
      <c r="C29" s="37">
        <v>1854.697099999999</v>
      </c>
      <c r="D29" s="38">
        <v>52.13</v>
      </c>
      <c r="E29" s="38">
        <v>52.08</v>
      </c>
      <c r="F29" s="38">
        <v>2.88</v>
      </c>
      <c r="G29" s="37">
        <v>655.37</v>
      </c>
      <c r="H29" s="68">
        <f t="shared" si="5"/>
        <v>1.05428735852676</v>
      </c>
      <c r="I29" s="37">
        <v>1854.697099999999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2.8299999999999983</v>
      </c>
      <c r="N29" s="42">
        <f t="shared" si="9"/>
        <v>5.4287358526759991E-2</v>
      </c>
      <c r="O29" s="44" t="s">
        <v>116</v>
      </c>
      <c r="P29" s="44" t="s">
        <v>89</v>
      </c>
      <c r="Q29" s="45" t="s">
        <v>122</v>
      </c>
    </row>
    <row r="30" spans="1:17" s="67" customFormat="1" ht="24.95" customHeight="1">
      <c r="A30" s="47">
        <v>3</v>
      </c>
      <c r="B30" s="36" t="s">
        <v>262</v>
      </c>
      <c r="C30" s="37">
        <v>1508</v>
      </c>
      <c r="D30" s="38">
        <v>2.16</v>
      </c>
      <c r="E30" s="38">
        <v>2.68</v>
      </c>
      <c r="F30" s="38">
        <v>0</v>
      </c>
      <c r="G30" s="37">
        <v>2900</v>
      </c>
      <c r="H30" s="68">
        <f t="shared" si="5"/>
        <v>1.2407407407407407</v>
      </c>
      <c r="I30" s="37">
        <v>1508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0.52</v>
      </c>
      <c r="N30" s="42">
        <f t="shared" si="9"/>
        <v>0.24074074074074073</v>
      </c>
      <c r="O30" s="44" t="s">
        <v>116</v>
      </c>
      <c r="P30" s="44" t="s">
        <v>89</v>
      </c>
      <c r="Q30" s="45" t="s">
        <v>263</v>
      </c>
    </row>
    <row r="31" spans="1:17" s="67" customFormat="1" ht="24.95" customHeight="1">
      <c r="A31" s="35">
        <v>4</v>
      </c>
      <c r="B31" s="36" t="s">
        <v>129</v>
      </c>
      <c r="C31" s="37">
        <v>1295.1432000000043</v>
      </c>
      <c r="D31" s="38">
        <v>3670.92</v>
      </c>
      <c r="E31" s="38">
        <v>3654</v>
      </c>
      <c r="F31" s="38">
        <v>49.8</v>
      </c>
      <c r="G31" s="37">
        <v>39.39</v>
      </c>
      <c r="H31" s="68">
        <f t="shared" si="5"/>
        <v>1.0089568827432907</v>
      </c>
      <c r="I31" s="37">
        <v>1295.1432000000043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32.880000000000109</v>
      </c>
      <c r="N31" s="42">
        <f t="shared" si="9"/>
        <v>8.9568827432905396E-3</v>
      </c>
      <c r="O31" s="44" t="s">
        <v>116</v>
      </c>
      <c r="P31" s="69" t="s">
        <v>225</v>
      </c>
      <c r="Q31" s="45" t="s">
        <v>103</v>
      </c>
    </row>
    <row r="32" spans="1:17" s="67" customFormat="1" ht="24.95" customHeight="1">
      <c r="A32" s="47">
        <v>5</v>
      </c>
      <c r="B32" s="36" t="s">
        <v>151</v>
      </c>
      <c r="C32" s="37">
        <v>1264.8783999999978</v>
      </c>
      <c r="D32" s="38">
        <v>40.32</v>
      </c>
      <c r="E32" s="38">
        <v>40.83</v>
      </c>
      <c r="F32" s="38">
        <v>1.4</v>
      </c>
      <c r="G32" s="37">
        <v>662.24</v>
      </c>
      <c r="H32" s="68">
        <f t="shared" si="5"/>
        <v>1.0473710317460316</v>
      </c>
      <c r="I32" s="37">
        <v>1264.8783999999978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1.9099999999999966</v>
      </c>
      <c r="N32" s="42">
        <f t="shared" si="9"/>
        <v>4.7371031746031661E-2</v>
      </c>
      <c r="O32" s="44" t="s">
        <v>116</v>
      </c>
      <c r="P32" s="44" t="s">
        <v>89</v>
      </c>
      <c r="Q32" s="45" t="s">
        <v>100</v>
      </c>
    </row>
    <row r="33" spans="1:17" s="67" customFormat="1" ht="24.95" customHeight="1">
      <c r="A33" s="35">
        <v>6</v>
      </c>
      <c r="B33" s="36" t="s">
        <v>125</v>
      </c>
      <c r="C33" s="37">
        <v>1197.2561999999998</v>
      </c>
      <c r="D33" s="38">
        <v>40.61</v>
      </c>
      <c r="E33" s="38">
        <v>37.04</v>
      </c>
      <c r="F33" s="38">
        <v>5.5</v>
      </c>
      <c r="G33" s="37">
        <v>620.34</v>
      </c>
      <c r="H33" s="68">
        <f t="shared" si="5"/>
        <v>1.0475252400886481</v>
      </c>
      <c r="I33" s="37">
        <v>1197.2561999999998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1.9299999999999997</v>
      </c>
      <c r="N33" s="42">
        <f t="shared" si="9"/>
        <v>4.7525240088648113E-2</v>
      </c>
      <c r="O33" s="44" t="s">
        <v>116</v>
      </c>
      <c r="P33" s="44" t="s">
        <v>89</v>
      </c>
      <c r="Q33" s="45" t="s">
        <v>126</v>
      </c>
    </row>
    <row r="34" spans="1:17" s="67" customFormat="1" ht="24.95" customHeight="1">
      <c r="A34" s="47">
        <v>7</v>
      </c>
      <c r="B34" s="36" t="s">
        <v>152</v>
      </c>
      <c r="C34" s="37">
        <v>1182.5200000000016</v>
      </c>
      <c r="D34" s="38">
        <v>23.81</v>
      </c>
      <c r="E34" s="38">
        <v>25.69</v>
      </c>
      <c r="F34" s="38">
        <v>0</v>
      </c>
      <c r="G34" s="37">
        <v>629</v>
      </c>
      <c r="H34" s="68">
        <f t="shared" si="5"/>
        <v>1.0789584208315834</v>
      </c>
      <c r="I34" s="37">
        <v>1182.5200000000016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1.8800000000000026</v>
      </c>
      <c r="N34" s="42">
        <f t="shared" si="9"/>
        <v>7.8958420831583484E-2</v>
      </c>
      <c r="O34" s="44" t="s">
        <v>116</v>
      </c>
      <c r="P34" s="44" t="s">
        <v>89</v>
      </c>
      <c r="Q34" s="45" t="s">
        <v>105</v>
      </c>
    </row>
    <row r="35" spans="1:17" s="67" customFormat="1" ht="24.95" customHeight="1">
      <c r="A35" s="35">
        <v>8</v>
      </c>
      <c r="B35" s="36" t="s">
        <v>140</v>
      </c>
      <c r="C35" s="37">
        <v>983.99999999999864</v>
      </c>
      <c r="D35" s="38">
        <v>114.68</v>
      </c>
      <c r="E35" s="38">
        <v>114.45</v>
      </c>
      <c r="F35" s="38">
        <v>5.55</v>
      </c>
      <c r="G35" s="37">
        <v>200</v>
      </c>
      <c r="H35" s="68">
        <f t="shared" si="5"/>
        <v>1.0463899546564353</v>
      </c>
      <c r="I35" s="37">
        <v>1063.9999999999986</v>
      </c>
      <c r="J35" s="38">
        <v>0.4</v>
      </c>
      <c r="K35" s="40">
        <f t="shared" si="6"/>
        <v>3.4879665155214509E-3</v>
      </c>
      <c r="L35" s="43">
        <f t="shared" si="7"/>
        <v>80</v>
      </c>
      <c r="M35" s="41">
        <f t="shared" si="8"/>
        <v>4.9199999999999928</v>
      </c>
      <c r="N35" s="42">
        <f t="shared" si="9"/>
        <v>4.2901988140913783E-2</v>
      </c>
      <c r="O35" s="44" t="s">
        <v>116</v>
      </c>
      <c r="P35" s="44" t="s">
        <v>89</v>
      </c>
      <c r="Q35" s="45" t="s">
        <v>103</v>
      </c>
    </row>
    <row r="36" spans="1:17" s="67" customFormat="1" ht="24.95" customHeight="1">
      <c r="A36" s="47">
        <v>9</v>
      </c>
      <c r="B36" s="36" t="s">
        <v>217</v>
      </c>
      <c r="C36" s="37">
        <v>945.65900000000067</v>
      </c>
      <c r="D36" s="38">
        <v>259.7</v>
      </c>
      <c r="E36" s="38">
        <v>260</v>
      </c>
      <c r="F36" s="38">
        <v>14</v>
      </c>
      <c r="G36" s="37">
        <v>66.13</v>
      </c>
      <c r="H36" s="68">
        <f t="shared" si="5"/>
        <v>1.0550635348479014</v>
      </c>
      <c r="I36" s="37">
        <v>945.65900000000067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14.300000000000011</v>
      </c>
      <c r="N36" s="42">
        <f t="shared" si="9"/>
        <v>5.5063534847901469E-2</v>
      </c>
      <c r="O36" s="44" t="s">
        <v>131</v>
      </c>
      <c r="P36" s="44" t="s">
        <v>89</v>
      </c>
      <c r="Q36" s="45" t="s">
        <v>218</v>
      </c>
    </row>
    <row r="37" spans="1:17" s="67" customFormat="1" ht="24.95" customHeight="1" thickBot="1">
      <c r="A37" s="48">
        <v>10</v>
      </c>
      <c r="B37" s="49" t="s">
        <v>156</v>
      </c>
      <c r="C37" s="50">
        <v>692.32799999999543</v>
      </c>
      <c r="D37" s="51">
        <v>140.30000000000001</v>
      </c>
      <c r="E37" s="51">
        <v>143.1</v>
      </c>
      <c r="F37" s="51">
        <v>0</v>
      </c>
      <c r="G37" s="50">
        <v>266.27999999999997</v>
      </c>
      <c r="H37" s="70">
        <f t="shared" si="5"/>
        <v>1.0199572344975052</v>
      </c>
      <c r="I37" s="50">
        <v>745.5839999999954</v>
      </c>
      <c r="J37" s="51">
        <v>0.2</v>
      </c>
      <c r="K37" s="53">
        <f t="shared" si="6"/>
        <v>1.4255167498218103E-3</v>
      </c>
      <c r="L37" s="56">
        <f t="shared" si="7"/>
        <v>53.256</v>
      </c>
      <c r="M37" s="54">
        <f t="shared" si="8"/>
        <v>2.5999999999999828</v>
      </c>
      <c r="N37" s="55">
        <f t="shared" si="9"/>
        <v>1.8531717747683411E-2</v>
      </c>
      <c r="O37" s="57" t="s">
        <v>131</v>
      </c>
      <c r="P37" s="57" t="s">
        <v>89</v>
      </c>
      <c r="Q37" s="58" t="s">
        <v>157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168</v>
      </c>
      <c r="C44" s="37">
        <v>332.34999999999997</v>
      </c>
      <c r="D44" s="76">
        <f t="shared" ref="D44:D53" si="10">C44/$L$5</f>
        <v>0.1316432038616713</v>
      </c>
      <c r="E44" s="77"/>
    </row>
    <row r="45" spans="1:17" s="78" customFormat="1" ht="24.95" customHeight="1">
      <c r="A45" s="79">
        <v>2</v>
      </c>
      <c r="B45" s="36" t="s">
        <v>143</v>
      </c>
      <c r="C45" s="37">
        <v>271.08</v>
      </c>
      <c r="D45" s="76">
        <f t="shared" si="10"/>
        <v>0.10737427321444819</v>
      </c>
      <c r="E45" s="77"/>
    </row>
    <row r="46" spans="1:17" s="78" customFormat="1" ht="24.95" customHeight="1">
      <c r="A46" s="79">
        <v>3</v>
      </c>
      <c r="B46" s="36" t="s">
        <v>139</v>
      </c>
      <c r="C46" s="37">
        <v>264.62880000000001</v>
      </c>
      <c r="D46" s="76">
        <f t="shared" si="10"/>
        <v>0.10481896514538723</v>
      </c>
      <c r="E46" s="77"/>
    </row>
    <row r="47" spans="1:17" s="78" customFormat="1" ht="24.95" customHeight="1">
      <c r="A47" s="75">
        <v>4</v>
      </c>
      <c r="B47" s="36" t="s">
        <v>141</v>
      </c>
      <c r="C47" s="37">
        <v>257.01</v>
      </c>
      <c r="D47" s="76">
        <f t="shared" si="10"/>
        <v>0.10180117293361859</v>
      </c>
      <c r="E47" s="77"/>
    </row>
    <row r="48" spans="1:17" s="78" customFormat="1" ht="24.95" customHeight="1">
      <c r="A48" s="79">
        <v>5</v>
      </c>
      <c r="B48" s="36" t="s">
        <v>137</v>
      </c>
      <c r="C48" s="37">
        <v>249.9</v>
      </c>
      <c r="D48" s="76">
        <f t="shared" si="10"/>
        <v>9.8984915435630094E-2</v>
      </c>
      <c r="E48" s="77"/>
    </row>
    <row r="49" spans="1:5" s="78" customFormat="1" ht="24.95" customHeight="1">
      <c r="A49" s="75">
        <v>6</v>
      </c>
      <c r="B49" s="36" t="s">
        <v>138</v>
      </c>
      <c r="C49" s="37">
        <v>231.66</v>
      </c>
      <c r="D49" s="76">
        <f t="shared" si="10"/>
        <v>9.1760086073701744E-2</v>
      </c>
      <c r="E49" s="77"/>
    </row>
    <row r="50" spans="1:5" s="78" customFormat="1" ht="24.95" customHeight="1">
      <c r="A50" s="79">
        <v>7</v>
      </c>
      <c r="B50" s="36" t="s">
        <v>142</v>
      </c>
      <c r="C50" s="37">
        <v>198.732</v>
      </c>
      <c r="D50" s="76">
        <f t="shared" si="10"/>
        <v>7.8717367804536365E-2</v>
      </c>
      <c r="E50" s="77"/>
    </row>
    <row r="51" spans="1:5" s="78" customFormat="1" ht="24.95" customHeight="1">
      <c r="A51" s="75">
        <v>8</v>
      </c>
      <c r="B51" s="36" t="s">
        <v>106</v>
      </c>
      <c r="C51" s="37">
        <v>186.345</v>
      </c>
      <c r="D51" s="76">
        <f t="shared" si="10"/>
        <v>7.3810900627661019E-2</v>
      </c>
      <c r="E51" s="77"/>
    </row>
    <row r="52" spans="1:5" s="78" customFormat="1" ht="24.95" customHeight="1">
      <c r="A52" s="79">
        <v>9</v>
      </c>
      <c r="B52" s="36" t="s">
        <v>159</v>
      </c>
      <c r="C52" s="37">
        <v>183.83799999999999</v>
      </c>
      <c r="D52" s="76">
        <f t="shared" si="10"/>
        <v>7.2817882688496857E-2</v>
      </c>
      <c r="E52" s="77"/>
    </row>
    <row r="53" spans="1:5" s="78" customFormat="1" ht="24.95" customHeight="1" thickBot="1">
      <c r="A53" s="80">
        <v>10</v>
      </c>
      <c r="B53" s="49" t="s">
        <v>140</v>
      </c>
      <c r="C53" s="50">
        <v>80</v>
      </c>
      <c r="D53" s="81">
        <f t="shared" si="10"/>
        <v>3.1687848078633084E-2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71" priority="34" operator="containsText" text="中華">
      <formula>NOT(ISERROR(SEARCH("中華",A12)))</formula>
    </cfRule>
    <cfRule type="containsText" dxfId="270" priority="33" operator="containsText" text="湯凍">
      <formula>NOT(ISERROR(SEARCH("湯凍",A12)))</formula>
    </cfRule>
    <cfRule type="containsText" dxfId="269" priority="32" operator="containsText" text=")川燙小青花菜">
      <formula>NOT(ISERROR(SEARCH(")川燙小青花菜",A12)))</formula>
    </cfRule>
    <cfRule type="containsText" dxfId="268" priority="31" operator="containsText" text="青蔥">
      <formula>NOT(ISERROR(SEARCH("青蔥",A12)))</formula>
    </cfRule>
    <cfRule type="containsText" dxfId="267" priority="30" operator="containsText" text="白醬">
      <formula>NOT(ISERROR(SEARCH("白醬",A12)))</formula>
    </cfRule>
    <cfRule type="containsText" dxfId="266" priority="29" operator="containsText" text="024">
      <formula>NOT(ISERROR(SEARCH("024",A12)))</formula>
    </cfRule>
    <cfRule type="containsText" dxfId="265" priority="28" operator="containsText" text="煮白細麵生(方#12)">
      <formula>NOT(ISERROR(SEARCH("煮白細麵生(方#12)",A12)))</formula>
    </cfRule>
    <cfRule type="containsText" dxfId="264" priority="27" operator="containsText" text="綠豆芽">
      <formula>NOT(ISERROR(SEARCH("綠豆芽",A12)))</formula>
    </cfRule>
  </conditionalFormatting>
  <conditionalFormatting sqref="A28:A37">
    <cfRule type="containsText" dxfId="263" priority="5" operator="containsText" text="綠豆芽">
      <formula>NOT(ISERROR(SEARCH("綠豆芽",A28)))</formula>
    </cfRule>
    <cfRule type="containsText" dxfId="262" priority="6" operator="containsText" text="煮白細麵生(方#12)">
      <formula>NOT(ISERROR(SEARCH("煮白細麵生(方#12)",A28)))</formula>
    </cfRule>
    <cfRule type="containsText" dxfId="261" priority="7" operator="containsText" text="024">
      <formula>NOT(ISERROR(SEARCH("024",A28)))</formula>
    </cfRule>
    <cfRule type="containsText" dxfId="260" priority="8" operator="containsText" text="白醬">
      <formula>NOT(ISERROR(SEARCH("白醬",A28)))</formula>
    </cfRule>
    <cfRule type="containsText" dxfId="259" priority="9" operator="containsText" text="青蔥">
      <formula>NOT(ISERROR(SEARCH("青蔥",A28)))</formula>
    </cfRule>
    <cfRule type="containsText" dxfId="258" priority="10" operator="containsText" text=")川燙小青花菜">
      <formula>NOT(ISERROR(SEARCH(")川燙小青花菜",A28)))</formula>
    </cfRule>
    <cfRule type="containsText" dxfId="257" priority="11" operator="containsText" text="湯凍">
      <formula>NOT(ISERROR(SEARCH("湯凍",A28)))</formula>
    </cfRule>
    <cfRule type="containsText" dxfId="256" priority="12" operator="containsText" text="中華">
      <formula>NOT(ISERROR(SEARCH("中華",A28)))</formula>
    </cfRule>
  </conditionalFormatting>
  <conditionalFormatting sqref="A44:A53">
    <cfRule type="containsText" dxfId="255" priority="17" operator="containsText" text="綠豆芽">
      <formula>NOT(ISERROR(SEARCH("綠豆芽",A44)))</formula>
    </cfRule>
    <cfRule type="containsText" dxfId="254" priority="18" operator="containsText" text="煮白細麵生(方#12)">
      <formula>NOT(ISERROR(SEARCH("煮白細麵生(方#12)",A44)))</formula>
    </cfRule>
    <cfRule type="containsText" dxfId="253" priority="19" operator="containsText" text="024">
      <formula>NOT(ISERROR(SEARCH("024",A44)))</formula>
    </cfRule>
    <cfRule type="containsText" dxfId="252" priority="20" operator="containsText" text="白醬">
      <formula>NOT(ISERROR(SEARCH("白醬",A44)))</formula>
    </cfRule>
    <cfRule type="containsText" dxfId="251" priority="21" operator="containsText" text="青蔥">
      <formula>NOT(ISERROR(SEARCH("青蔥",A44)))</formula>
    </cfRule>
    <cfRule type="containsText" dxfId="250" priority="22" operator="containsText" text=")川燙小青花菜">
      <formula>NOT(ISERROR(SEARCH(")川燙小青花菜",A44)))</formula>
    </cfRule>
    <cfRule type="containsText" dxfId="249" priority="23" operator="containsText" text="湯凍">
      <formula>NOT(ISERROR(SEARCH("湯凍",A44)))</formula>
    </cfRule>
    <cfRule type="containsText" dxfId="248" priority="24" operator="containsText" text="中華">
      <formula>NOT(ISERROR(SEARCH("中華",A44)))</formula>
    </cfRule>
  </conditionalFormatting>
  <conditionalFormatting sqref="D44:D53">
    <cfRule type="cellIs" dxfId="247" priority="16" operator="greaterThan">
      <formula>0.146</formula>
    </cfRule>
  </conditionalFormatting>
  <conditionalFormatting sqref="E5">
    <cfRule type="cellIs" dxfId="246" priority="25" operator="greaterThan">
      <formula>0.072</formula>
    </cfRule>
    <cfRule type="cellIs" dxfId="245" priority="26" operator="greaterThan">
      <formula>7.2</formula>
    </cfRule>
    <cfRule type="cellIs" dxfId="244" priority="14" operator="greaterThan">
      <formula>0.0025</formula>
    </cfRule>
  </conditionalFormatting>
  <conditionalFormatting sqref="G5">
    <cfRule type="cellIs" dxfId="243" priority="3" operator="greaterThan">
      <formula>7.2</formula>
    </cfRule>
    <cfRule type="cellIs" dxfId="242" priority="2" operator="greaterThan">
      <formula>0.072</formula>
    </cfRule>
    <cfRule type="cellIs" dxfId="241" priority="1" operator="greaterThan">
      <formula>0.0025</formula>
    </cfRule>
  </conditionalFormatting>
  <conditionalFormatting sqref="H12:H22">
    <cfRule type="cellIs" dxfId="240" priority="15" operator="greaterThan">
      <formula>1.1</formula>
    </cfRule>
  </conditionalFormatting>
  <conditionalFormatting sqref="H28:H37">
    <cfRule type="cellIs" dxfId="239" priority="4" operator="greaterThan">
      <formula>1.1</formula>
    </cfRule>
  </conditionalFormatting>
  <conditionalFormatting sqref="I5">
    <cfRule type="cellIs" dxfId="23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6EDA-AB00-4738-99BD-DFB6F5BE234E}">
  <sheetPr>
    <tabColor rgb="FFFF0000"/>
    <pageSetUpPr fitToPage="1"/>
  </sheetPr>
  <dimension ref="A1:Q56"/>
  <sheetViews>
    <sheetView zoomScale="70" zoomScaleNormal="70" workbookViewId="0">
      <selection activeCell="L5" sqref="L5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45876</v>
      </c>
      <c r="B3" s="150"/>
      <c r="C3" s="151">
        <v>7555343.1299999999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18266.415699999994</v>
      </c>
      <c r="E5" s="25">
        <f>D5/C3</f>
        <v>2.4176818161268598E-3</v>
      </c>
      <c r="F5" s="24">
        <v>64099.004199999981</v>
      </c>
      <c r="G5" s="26">
        <f>F5/C3</f>
        <v>8.4839302592998166E-3</v>
      </c>
      <c r="H5" s="27">
        <f>SUM(C12:C21)</f>
        <v>7049.4609999999993</v>
      </c>
      <c r="I5" s="28">
        <f>H5/D5</f>
        <v>0.38592470004939183</v>
      </c>
      <c r="J5" s="27">
        <f>SUM(C28:C37)</f>
        <v>19618.585899999998</v>
      </c>
      <c r="K5" s="29">
        <f>J5/F5</f>
        <v>0.30606693730820866</v>
      </c>
      <c r="L5" s="30">
        <v>3279.0339999999997</v>
      </c>
      <c r="M5" s="31">
        <f>L5/D5</f>
        <v>0.17951162690335579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125</v>
      </c>
      <c r="C12" s="37">
        <v>992.5440000000001</v>
      </c>
      <c r="D12" s="38">
        <v>74.430000000000007</v>
      </c>
      <c r="E12" s="38">
        <v>73.88</v>
      </c>
      <c r="F12" s="38">
        <v>3.52</v>
      </c>
      <c r="G12" s="37">
        <v>620.34</v>
      </c>
      <c r="H12" s="39">
        <f>(E12+F12)/D12</f>
        <v>1.0399032648125754</v>
      </c>
      <c r="I12" s="37">
        <v>1842.4097999999906</v>
      </c>
      <c r="J12" s="38">
        <v>1.6</v>
      </c>
      <c r="K12" s="40">
        <f>J12/D12</f>
        <v>2.1496708316539031E-2</v>
      </c>
      <c r="L12" s="41">
        <f>((E12+F12)-D12)-J12</f>
        <v>1.3699999999999846</v>
      </c>
      <c r="M12" s="42">
        <f>L12/D12</f>
        <v>1.8406556496036335E-2</v>
      </c>
      <c r="N12" s="43">
        <f t="shared" ref="N12:N21" si="0">L12*G12</f>
        <v>849.86579999999049</v>
      </c>
      <c r="O12" s="44" t="s">
        <v>88</v>
      </c>
      <c r="P12" s="44" t="s">
        <v>96</v>
      </c>
      <c r="Q12" s="45" t="s">
        <v>126</v>
      </c>
    </row>
    <row r="13" spans="1:17" s="46" customFormat="1" ht="24.95" customHeight="1">
      <c r="A13" s="47">
        <v>2</v>
      </c>
      <c r="B13" s="36" t="s">
        <v>117</v>
      </c>
      <c r="C13" s="37">
        <v>925.91729999999995</v>
      </c>
      <c r="D13" s="38">
        <v>108.46</v>
      </c>
      <c r="E13" s="38">
        <v>110.63</v>
      </c>
      <c r="F13" s="38">
        <v>0</v>
      </c>
      <c r="G13" s="37">
        <v>426.69</v>
      </c>
      <c r="H13" s="39">
        <f t="shared" ref="H13:H21" si="1">(E13+F13)/D13</f>
        <v>1.0200073759911488</v>
      </c>
      <c r="I13" s="37">
        <v>925.91730000000075</v>
      </c>
      <c r="J13" s="38">
        <v>2.17</v>
      </c>
      <c r="K13" s="40">
        <f>J13/D13</f>
        <v>2.000737599114881E-2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89</v>
      </c>
      <c r="Q13" s="45" t="s">
        <v>97</v>
      </c>
    </row>
    <row r="14" spans="1:17" s="46" customFormat="1" ht="24.95" customHeight="1">
      <c r="A14" s="47">
        <v>3</v>
      </c>
      <c r="B14" s="36" t="s">
        <v>264</v>
      </c>
      <c r="C14" s="37">
        <v>866.80199999999991</v>
      </c>
      <c r="D14" s="38">
        <v>105.9</v>
      </c>
      <c r="E14" s="38">
        <v>123.5</v>
      </c>
      <c r="F14" s="38">
        <v>0</v>
      </c>
      <c r="G14" s="37">
        <v>59.37</v>
      </c>
      <c r="H14" s="39">
        <f>(E14+F14)/D14</f>
        <v>1.166194523135033</v>
      </c>
      <c r="I14" s="37">
        <v>1044.9119999999996</v>
      </c>
      <c r="J14" s="38">
        <v>14.6</v>
      </c>
      <c r="K14" s="40">
        <f t="shared" ref="K14:K21" si="4">J14/D14</f>
        <v>0.13786591123701605</v>
      </c>
      <c r="L14" s="41">
        <f t="shared" si="2"/>
        <v>2.9999999999999947</v>
      </c>
      <c r="M14" s="42">
        <f t="shared" si="3"/>
        <v>2.8328611898016946E-2</v>
      </c>
      <c r="N14" s="43">
        <f t="shared" si="0"/>
        <v>178.10999999999967</v>
      </c>
      <c r="O14" s="44" t="s">
        <v>88</v>
      </c>
      <c r="P14" s="44" t="s">
        <v>96</v>
      </c>
      <c r="Q14" s="45" t="s">
        <v>154</v>
      </c>
    </row>
    <row r="15" spans="1:17" s="46" customFormat="1" ht="24.95" customHeight="1">
      <c r="A15" s="35">
        <v>4</v>
      </c>
      <c r="B15" s="36" t="s">
        <v>95</v>
      </c>
      <c r="C15" s="37">
        <v>688.90249999999992</v>
      </c>
      <c r="D15" s="38">
        <v>176.26</v>
      </c>
      <c r="E15" s="38">
        <v>185</v>
      </c>
      <c r="F15" s="38">
        <v>0</v>
      </c>
      <c r="G15" s="37">
        <v>152.75</v>
      </c>
      <c r="H15" s="39">
        <f>(E15+F15)/D15</f>
        <v>1.0495858391013277</v>
      </c>
      <c r="I15" s="37">
        <v>1335.0350000000014</v>
      </c>
      <c r="J15" s="38">
        <v>4.51</v>
      </c>
      <c r="K15" s="40">
        <f t="shared" si="4"/>
        <v>2.5587200726199931E-2</v>
      </c>
      <c r="L15" s="41">
        <f t="shared" si="2"/>
        <v>4.2300000000000093</v>
      </c>
      <c r="M15" s="42">
        <f t="shared" si="3"/>
        <v>2.3998638375127706E-2</v>
      </c>
      <c r="N15" s="43">
        <f t="shared" si="0"/>
        <v>646.13250000000141</v>
      </c>
      <c r="O15" s="44" t="s">
        <v>88</v>
      </c>
      <c r="P15" s="44" t="s">
        <v>89</v>
      </c>
      <c r="Q15" s="45" t="s">
        <v>97</v>
      </c>
    </row>
    <row r="16" spans="1:17" s="46" customFormat="1" ht="24.95" customHeight="1">
      <c r="A16" s="47">
        <v>5</v>
      </c>
      <c r="B16" s="36" t="s">
        <v>101</v>
      </c>
      <c r="C16" s="37">
        <v>685.54950000000008</v>
      </c>
      <c r="D16" s="38">
        <v>645.87</v>
      </c>
      <c r="E16" s="38">
        <v>651.70000000000005</v>
      </c>
      <c r="F16" s="38">
        <v>10.8</v>
      </c>
      <c r="G16" s="37">
        <v>147.43</v>
      </c>
      <c r="H16" s="39">
        <f t="shared" si="1"/>
        <v>1.0257482155851796</v>
      </c>
      <c r="I16" s="37">
        <v>2451.7608999999993</v>
      </c>
      <c r="J16" s="38">
        <v>4.6500000000000004</v>
      </c>
      <c r="K16" s="40">
        <f t="shared" si="4"/>
        <v>7.1995912490129595E-3</v>
      </c>
      <c r="L16" s="41">
        <f t="shared" si="2"/>
        <v>11.979999999999995</v>
      </c>
      <c r="M16" s="42">
        <f t="shared" si="3"/>
        <v>1.8548624336166712E-2</v>
      </c>
      <c r="N16" s="43">
        <f t="shared" si="0"/>
        <v>1766.2113999999995</v>
      </c>
      <c r="O16" s="44" t="s">
        <v>88</v>
      </c>
      <c r="P16" s="44" t="s">
        <v>47</v>
      </c>
      <c r="Q16" s="45" t="s">
        <v>103</v>
      </c>
    </row>
    <row r="17" spans="1:17" s="46" customFormat="1" ht="24.95" customHeight="1">
      <c r="A17" s="35">
        <v>6</v>
      </c>
      <c r="B17" s="36" t="s">
        <v>234</v>
      </c>
      <c r="C17" s="37">
        <v>667.32900000000006</v>
      </c>
      <c r="D17" s="38">
        <v>514.44000000000005</v>
      </c>
      <c r="E17" s="38">
        <v>511.62</v>
      </c>
      <c r="F17" s="38">
        <v>25.38</v>
      </c>
      <c r="G17" s="37">
        <v>46.15</v>
      </c>
      <c r="H17" s="39">
        <f t="shared" si="1"/>
        <v>1.0438535106134825</v>
      </c>
      <c r="I17" s="37">
        <v>1041.1439999999975</v>
      </c>
      <c r="J17" s="38">
        <v>14.46</v>
      </c>
      <c r="K17" s="40">
        <f t="shared" si="4"/>
        <v>2.8108234196407744E-2</v>
      </c>
      <c r="L17" s="41">
        <f t="shared" si="2"/>
        <v>8.0999999999999446</v>
      </c>
      <c r="M17" s="42">
        <f t="shared" si="3"/>
        <v>1.574527641707477E-2</v>
      </c>
      <c r="N17" s="43">
        <f t="shared" si="0"/>
        <v>373.81499999999744</v>
      </c>
      <c r="O17" s="44" t="s">
        <v>88</v>
      </c>
      <c r="P17" s="44" t="s">
        <v>259</v>
      </c>
      <c r="Q17" s="45" t="s">
        <v>103</v>
      </c>
    </row>
    <row r="18" spans="1:17" s="46" customFormat="1" ht="24.95" customHeight="1">
      <c r="A18" s="47">
        <v>7</v>
      </c>
      <c r="B18" s="36" t="s">
        <v>98</v>
      </c>
      <c r="C18" s="37">
        <v>624.6</v>
      </c>
      <c r="D18" s="38">
        <v>7491</v>
      </c>
      <c r="E18" s="38">
        <v>7411</v>
      </c>
      <c r="F18" s="38">
        <v>140</v>
      </c>
      <c r="G18" s="37">
        <v>10.41</v>
      </c>
      <c r="H18" s="39">
        <f t="shared" si="1"/>
        <v>1.0080096115338406</v>
      </c>
      <c r="I18" s="37">
        <v>624.6</v>
      </c>
      <c r="J18" s="38">
        <v>60</v>
      </c>
      <c r="K18" s="40">
        <f t="shared" si="4"/>
        <v>8.0096115338406087E-3</v>
      </c>
      <c r="L18" s="41">
        <f>((E18+F18)-D18)-J18</f>
        <v>0</v>
      </c>
      <c r="M18" s="42">
        <f t="shared" si="3"/>
        <v>0</v>
      </c>
      <c r="N18" s="43">
        <f t="shared" si="0"/>
        <v>0</v>
      </c>
      <c r="O18" s="44" t="s">
        <v>88</v>
      </c>
      <c r="P18" s="44" t="s">
        <v>223</v>
      </c>
      <c r="Q18" s="45" t="s">
        <v>100</v>
      </c>
    </row>
    <row r="19" spans="1:17" s="46" customFormat="1" ht="24.95" customHeight="1">
      <c r="A19" s="35">
        <v>8</v>
      </c>
      <c r="B19" s="36" t="s">
        <v>91</v>
      </c>
      <c r="C19" s="37">
        <v>571.65</v>
      </c>
      <c r="D19" s="38">
        <v>4017</v>
      </c>
      <c r="E19" s="38">
        <v>4054</v>
      </c>
      <c r="F19" s="38">
        <v>0</v>
      </c>
      <c r="G19" s="37">
        <v>15.45</v>
      </c>
      <c r="H19" s="39">
        <f t="shared" si="1"/>
        <v>1.009210853871048</v>
      </c>
      <c r="I19" s="37">
        <v>571.65</v>
      </c>
      <c r="J19" s="38">
        <v>37</v>
      </c>
      <c r="K19" s="40">
        <f t="shared" si="4"/>
        <v>9.2108538710480459E-3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88</v>
      </c>
      <c r="P19" s="44" t="s">
        <v>93</v>
      </c>
      <c r="Q19" s="45" t="s">
        <v>94</v>
      </c>
    </row>
    <row r="20" spans="1:17" s="46" customFormat="1" ht="24.95" customHeight="1">
      <c r="A20" s="47">
        <v>9</v>
      </c>
      <c r="B20" s="36" t="s">
        <v>197</v>
      </c>
      <c r="C20" s="37">
        <v>543.77049999999997</v>
      </c>
      <c r="D20" s="38">
        <v>13.66</v>
      </c>
      <c r="E20" s="38">
        <v>15.87</v>
      </c>
      <c r="F20" s="38">
        <v>0</v>
      </c>
      <c r="G20" s="37">
        <v>246.05</v>
      </c>
      <c r="H20" s="39">
        <f t="shared" si="1"/>
        <v>1.1617862371888725</v>
      </c>
      <c r="I20" s="37">
        <v>543.77049999999974</v>
      </c>
      <c r="J20" s="38">
        <v>2.21</v>
      </c>
      <c r="K20" s="40">
        <f t="shared" si="4"/>
        <v>0.16178623718887261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88</v>
      </c>
      <c r="P20" s="44" t="s">
        <v>96</v>
      </c>
      <c r="Q20" s="45" t="s">
        <v>154</v>
      </c>
    </row>
    <row r="21" spans="1:17" s="46" customFormat="1" ht="24.95" customHeight="1" thickBot="1">
      <c r="A21" s="48">
        <v>10</v>
      </c>
      <c r="B21" s="49" t="s">
        <v>109</v>
      </c>
      <c r="C21" s="50">
        <v>482.39620000000002</v>
      </c>
      <c r="D21" s="51">
        <v>17.59</v>
      </c>
      <c r="E21" s="51">
        <v>21.07</v>
      </c>
      <c r="F21" s="51">
        <v>0</v>
      </c>
      <c r="G21" s="50">
        <v>144.43</v>
      </c>
      <c r="H21" s="52">
        <f t="shared" si="1"/>
        <v>1.197839681637294</v>
      </c>
      <c r="I21" s="50">
        <v>502.61640000000011</v>
      </c>
      <c r="J21" s="51">
        <v>3.34</v>
      </c>
      <c r="K21" s="53">
        <f t="shared" si="4"/>
        <v>0.18988061398521885</v>
      </c>
      <c r="L21" s="54">
        <f t="shared" si="2"/>
        <v>0.14000000000000057</v>
      </c>
      <c r="M21" s="55">
        <f t="shared" si="3"/>
        <v>7.9590676520750747E-3</v>
      </c>
      <c r="N21" s="56">
        <f t="shared" si="0"/>
        <v>20.220200000000084</v>
      </c>
      <c r="O21" s="57" t="s">
        <v>88</v>
      </c>
      <c r="P21" s="57" t="s">
        <v>265</v>
      </c>
      <c r="Q21" s="58" t="s">
        <v>110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155</v>
      </c>
      <c r="C28" s="37">
        <v>3165.4370999999942</v>
      </c>
      <c r="D28" s="38">
        <v>60.24</v>
      </c>
      <c r="E28" s="38">
        <v>60.51</v>
      </c>
      <c r="F28" s="38">
        <v>4.5599999999999996</v>
      </c>
      <c r="G28" s="37">
        <v>655.37</v>
      </c>
      <c r="H28" s="68">
        <f t="shared" ref="H28:H37" si="5">(E28+F28)/D28</f>
        <v>1.0801792828685257</v>
      </c>
      <c r="I28" s="37">
        <v>3165.4370999999942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4.8299999999999912</v>
      </c>
      <c r="N28" s="42">
        <f t="shared" ref="N28:N37" si="9">M28/D28</f>
        <v>8.0179282868525742E-2</v>
      </c>
      <c r="O28" s="44" t="s">
        <v>116</v>
      </c>
      <c r="P28" s="44" t="s">
        <v>89</v>
      </c>
      <c r="Q28" s="45" t="s">
        <v>122</v>
      </c>
    </row>
    <row r="29" spans="1:17" s="67" customFormat="1" ht="24.95" customHeight="1">
      <c r="A29" s="47">
        <v>2</v>
      </c>
      <c r="B29" s="36" t="s">
        <v>179</v>
      </c>
      <c r="C29" s="37">
        <v>3102.9013999999938</v>
      </c>
      <c r="D29" s="38">
        <v>204.78</v>
      </c>
      <c r="E29" s="38">
        <v>205.39</v>
      </c>
      <c r="F29" s="38">
        <v>7</v>
      </c>
      <c r="G29" s="37">
        <v>407.74</v>
      </c>
      <c r="H29" s="68">
        <f t="shared" si="5"/>
        <v>1.0371618322101768</v>
      </c>
      <c r="I29" s="37">
        <v>3102.9013999999938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7.6099999999999852</v>
      </c>
      <c r="N29" s="42">
        <f t="shared" si="9"/>
        <v>3.7161832210176701E-2</v>
      </c>
      <c r="O29" s="44" t="s">
        <v>116</v>
      </c>
      <c r="P29" s="69" t="s">
        <v>225</v>
      </c>
      <c r="Q29" s="45" t="s">
        <v>180</v>
      </c>
    </row>
    <row r="30" spans="1:17" s="67" customFormat="1" ht="24.95" customHeight="1">
      <c r="A30" s="47">
        <v>3</v>
      </c>
      <c r="B30" s="36" t="s">
        <v>241</v>
      </c>
      <c r="C30" s="37">
        <v>2750.7116999999998</v>
      </c>
      <c r="D30" s="38">
        <v>27.4</v>
      </c>
      <c r="E30" s="38">
        <v>26.99</v>
      </c>
      <c r="F30" s="38">
        <v>2.5</v>
      </c>
      <c r="G30" s="37">
        <v>1316.13</v>
      </c>
      <c r="H30" s="68">
        <f t="shared" si="5"/>
        <v>1.0762773722627736</v>
      </c>
      <c r="I30" s="37">
        <v>2750.7116999999998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2.09</v>
      </c>
      <c r="N30" s="42">
        <f t="shared" si="9"/>
        <v>7.6277372262773716E-2</v>
      </c>
      <c r="O30" s="44" t="s">
        <v>116</v>
      </c>
      <c r="P30" s="44" t="s">
        <v>89</v>
      </c>
      <c r="Q30" s="45" t="s">
        <v>149</v>
      </c>
    </row>
    <row r="31" spans="1:17" s="67" customFormat="1" ht="24.95" customHeight="1">
      <c r="A31" s="35">
        <v>4</v>
      </c>
      <c r="B31" s="36" t="s">
        <v>101</v>
      </c>
      <c r="C31" s="37">
        <v>1766.2113999999992</v>
      </c>
      <c r="D31" s="38">
        <v>645.87</v>
      </c>
      <c r="E31" s="38">
        <v>651.70000000000005</v>
      </c>
      <c r="F31" s="38">
        <v>10.8</v>
      </c>
      <c r="G31" s="37">
        <v>147.43</v>
      </c>
      <c r="H31" s="68">
        <f t="shared" si="5"/>
        <v>1.0257482155851796</v>
      </c>
      <c r="I31" s="37">
        <v>2451.7608999999993</v>
      </c>
      <c r="J31" s="38">
        <v>4.6500000000000004</v>
      </c>
      <c r="K31" s="40">
        <f t="shared" si="6"/>
        <v>7.1995912490129595E-3</v>
      </c>
      <c r="L31" s="43">
        <f t="shared" si="7"/>
        <v>685.54950000000008</v>
      </c>
      <c r="M31" s="41">
        <f t="shared" si="8"/>
        <v>11.979999999999995</v>
      </c>
      <c r="N31" s="42">
        <f t="shared" si="9"/>
        <v>1.8548624336166712E-2</v>
      </c>
      <c r="O31" s="44" t="s">
        <v>116</v>
      </c>
      <c r="P31" s="44" t="s">
        <v>47</v>
      </c>
      <c r="Q31" s="45" t="s">
        <v>103</v>
      </c>
    </row>
    <row r="32" spans="1:17" s="67" customFormat="1" ht="24.95" customHeight="1">
      <c r="A32" s="47">
        <v>5</v>
      </c>
      <c r="B32" s="36" t="s">
        <v>129</v>
      </c>
      <c r="C32" s="37">
        <v>1652.0166000000022</v>
      </c>
      <c r="D32" s="38">
        <v>3867.06</v>
      </c>
      <c r="E32" s="38">
        <v>3844.8</v>
      </c>
      <c r="F32" s="38">
        <v>64.2</v>
      </c>
      <c r="G32" s="37">
        <v>39.39</v>
      </c>
      <c r="H32" s="68">
        <f t="shared" si="5"/>
        <v>1.0108454484802407</v>
      </c>
      <c r="I32" s="37">
        <v>1652.0166000000022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41.940000000000055</v>
      </c>
      <c r="N32" s="42">
        <f t="shared" si="9"/>
        <v>1.0845448480240818E-2</v>
      </c>
      <c r="O32" s="44" t="s">
        <v>116</v>
      </c>
      <c r="P32" s="69" t="s">
        <v>225</v>
      </c>
      <c r="Q32" s="45" t="s">
        <v>103</v>
      </c>
    </row>
    <row r="33" spans="1:17" s="67" customFormat="1" ht="24.95" customHeight="1">
      <c r="A33" s="35">
        <v>6</v>
      </c>
      <c r="B33" s="36" t="s">
        <v>119</v>
      </c>
      <c r="C33" s="37">
        <v>1567.2735000000016</v>
      </c>
      <c r="D33" s="38">
        <v>640.04999999999995</v>
      </c>
      <c r="E33" s="38">
        <v>626.29999999999995</v>
      </c>
      <c r="F33" s="38">
        <v>61.2</v>
      </c>
      <c r="G33" s="37">
        <v>33.03</v>
      </c>
      <c r="H33" s="68">
        <f t="shared" si="5"/>
        <v>1.0741348332161551</v>
      </c>
      <c r="I33" s="37">
        <v>1567.2735000000016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47.450000000000045</v>
      </c>
      <c r="N33" s="42">
        <f t="shared" si="9"/>
        <v>7.4134833216155063E-2</v>
      </c>
      <c r="O33" s="44" t="s">
        <v>116</v>
      </c>
      <c r="P33" s="69" t="s">
        <v>121</v>
      </c>
      <c r="Q33" s="45" t="s">
        <v>122</v>
      </c>
    </row>
    <row r="34" spans="1:17" s="67" customFormat="1" ht="24.95" customHeight="1">
      <c r="A34" s="47">
        <v>7</v>
      </c>
      <c r="B34" s="36" t="s">
        <v>130</v>
      </c>
      <c r="C34" s="37">
        <v>1484.1610000000103</v>
      </c>
      <c r="D34" s="38">
        <v>154.5</v>
      </c>
      <c r="E34" s="38">
        <v>154.80000000000001</v>
      </c>
      <c r="F34" s="38">
        <v>2.15</v>
      </c>
      <c r="G34" s="37">
        <v>605.78</v>
      </c>
      <c r="H34" s="68">
        <f t="shared" si="5"/>
        <v>1.0158576051779937</v>
      </c>
      <c r="I34" s="37">
        <v>1484.1610000000103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2.4500000000000171</v>
      </c>
      <c r="N34" s="42">
        <f t="shared" si="9"/>
        <v>1.5857605177993638E-2</v>
      </c>
      <c r="O34" s="44" t="s">
        <v>116</v>
      </c>
      <c r="P34" s="69" t="s">
        <v>225</v>
      </c>
      <c r="Q34" s="45" t="s">
        <v>133</v>
      </c>
    </row>
    <row r="35" spans="1:17" s="67" customFormat="1" ht="24.95" customHeight="1">
      <c r="A35" s="35">
        <v>8</v>
      </c>
      <c r="B35" s="36" t="s">
        <v>140</v>
      </c>
      <c r="C35" s="37">
        <v>1423.9999999999986</v>
      </c>
      <c r="D35" s="38">
        <v>120.43</v>
      </c>
      <c r="E35" s="38">
        <v>113.65</v>
      </c>
      <c r="F35" s="38">
        <v>14.35</v>
      </c>
      <c r="G35" s="37">
        <v>200</v>
      </c>
      <c r="H35" s="68">
        <f t="shared" si="5"/>
        <v>1.0628580918375818</v>
      </c>
      <c r="I35" s="37">
        <v>1513.9999999999986</v>
      </c>
      <c r="J35" s="38">
        <v>0.45</v>
      </c>
      <c r="K35" s="40">
        <f t="shared" si="6"/>
        <v>3.7366104791164991E-3</v>
      </c>
      <c r="L35" s="43">
        <f t="shared" si="7"/>
        <v>90</v>
      </c>
      <c r="M35" s="41">
        <f t="shared" si="8"/>
        <v>7.119999999999993</v>
      </c>
      <c r="N35" s="42">
        <f t="shared" si="9"/>
        <v>5.9121481358465434E-2</v>
      </c>
      <c r="O35" s="44" t="s">
        <v>116</v>
      </c>
      <c r="P35" s="44" t="s">
        <v>89</v>
      </c>
      <c r="Q35" s="45" t="s">
        <v>103</v>
      </c>
    </row>
    <row r="36" spans="1:17" s="67" customFormat="1" ht="24.95" customHeight="1">
      <c r="A36" s="47">
        <v>9</v>
      </c>
      <c r="B36" s="36" t="s">
        <v>139</v>
      </c>
      <c r="C36" s="37">
        <v>1362.7743999999959</v>
      </c>
      <c r="D36" s="38">
        <v>526.07000000000005</v>
      </c>
      <c r="E36" s="38">
        <v>534.98</v>
      </c>
      <c r="F36" s="38">
        <v>1.75</v>
      </c>
      <c r="G36" s="37">
        <v>127.84</v>
      </c>
      <c r="H36" s="68">
        <f t="shared" si="5"/>
        <v>1.0202634630372382</v>
      </c>
      <c r="I36" s="37">
        <v>1362.7743999999959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10.659999999999968</v>
      </c>
      <c r="N36" s="42">
        <f t="shared" si="9"/>
        <v>2.0263463037238329E-2</v>
      </c>
      <c r="O36" s="44" t="s">
        <v>131</v>
      </c>
      <c r="P36" s="44" t="s">
        <v>89</v>
      </c>
      <c r="Q36" s="45" t="s">
        <v>103</v>
      </c>
    </row>
    <row r="37" spans="1:17" s="67" customFormat="1" ht="24.95" customHeight="1" thickBot="1">
      <c r="A37" s="48">
        <v>10</v>
      </c>
      <c r="B37" s="49" t="s">
        <v>159</v>
      </c>
      <c r="C37" s="50">
        <v>1343.0988000000018</v>
      </c>
      <c r="D37" s="51">
        <v>96.91</v>
      </c>
      <c r="E37" s="51">
        <v>96.86</v>
      </c>
      <c r="F37" s="51">
        <v>6.26</v>
      </c>
      <c r="G37" s="50">
        <v>216.28</v>
      </c>
      <c r="H37" s="70">
        <f t="shared" si="5"/>
        <v>1.0640800742957384</v>
      </c>
      <c r="I37" s="50">
        <v>1343.0988000000018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6.210000000000008</v>
      </c>
      <c r="N37" s="55">
        <f t="shared" si="9"/>
        <v>6.4080074295738393E-2</v>
      </c>
      <c r="O37" s="57" t="s">
        <v>131</v>
      </c>
      <c r="P37" s="57" t="s">
        <v>89</v>
      </c>
      <c r="Q37" s="58" t="s">
        <v>103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101</v>
      </c>
      <c r="C44" s="37">
        <v>685.54950000000008</v>
      </c>
      <c r="D44" s="76">
        <f t="shared" ref="D44:D53" si="10">C44/$L$5</f>
        <v>0.20907056773427787</v>
      </c>
      <c r="E44" s="77"/>
    </row>
    <row r="45" spans="1:17" s="78" customFormat="1" ht="24.95" customHeight="1">
      <c r="A45" s="79">
        <v>2</v>
      </c>
      <c r="B45" s="36" t="s">
        <v>234</v>
      </c>
      <c r="C45" s="37">
        <v>667.32900000000006</v>
      </c>
      <c r="D45" s="76">
        <f t="shared" si="10"/>
        <v>0.20351390074027903</v>
      </c>
      <c r="E45" s="77"/>
    </row>
    <row r="46" spans="1:17" s="78" customFormat="1" ht="24.95" customHeight="1">
      <c r="A46" s="79">
        <v>3</v>
      </c>
      <c r="B46" s="36" t="s">
        <v>137</v>
      </c>
      <c r="C46" s="37">
        <v>311.15000000000003</v>
      </c>
      <c r="D46" s="76">
        <f t="shared" si="10"/>
        <v>9.4890751361529052E-2</v>
      </c>
      <c r="E46" s="77"/>
    </row>
    <row r="47" spans="1:17" s="78" customFormat="1" ht="24.95" customHeight="1">
      <c r="A47" s="75">
        <v>4</v>
      </c>
      <c r="B47" s="36" t="s">
        <v>168</v>
      </c>
      <c r="C47" s="37">
        <v>289</v>
      </c>
      <c r="D47" s="76">
        <f t="shared" si="10"/>
        <v>8.8135713139906452E-2</v>
      </c>
      <c r="E47" s="77"/>
    </row>
    <row r="48" spans="1:17" s="78" customFormat="1" ht="24.95" customHeight="1">
      <c r="A48" s="79">
        <v>5</v>
      </c>
      <c r="B48" s="36" t="s">
        <v>141</v>
      </c>
      <c r="C48" s="37">
        <v>263.60000000000002</v>
      </c>
      <c r="D48" s="76">
        <f t="shared" si="10"/>
        <v>8.0389529355291853E-2</v>
      </c>
      <c r="E48" s="77"/>
    </row>
    <row r="49" spans="1:5" s="78" customFormat="1" ht="24.95" customHeight="1">
      <c r="A49" s="75">
        <v>6</v>
      </c>
      <c r="B49" s="36" t="s">
        <v>138</v>
      </c>
      <c r="C49" s="37">
        <v>245.7</v>
      </c>
      <c r="D49" s="76">
        <f t="shared" si="10"/>
        <v>7.4930604562197287E-2</v>
      </c>
      <c r="E49" s="77"/>
    </row>
    <row r="50" spans="1:5" s="78" customFormat="1" ht="24.95" customHeight="1">
      <c r="A50" s="79">
        <v>7</v>
      </c>
      <c r="B50" s="36" t="s">
        <v>134</v>
      </c>
      <c r="C50" s="37">
        <v>159.4487</v>
      </c>
      <c r="D50" s="76">
        <f t="shared" si="10"/>
        <v>4.8626729701491359E-2</v>
      </c>
      <c r="E50" s="77"/>
    </row>
    <row r="51" spans="1:5" s="78" customFormat="1" ht="24.95" customHeight="1">
      <c r="A51" s="75">
        <v>8</v>
      </c>
      <c r="B51" s="36" t="s">
        <v>143</v>
      </c>
      <c r="C51" s="37">
        <v>145.02780000000001</v>
      </c>
      <c r="D51" s="76">
        <f t="shared" si="10"/>
        <v>4.4228818609383137E-2</v>
      </c>
      <c r="E51" s="77"/>
    </row>
    <row r="52" spans="1:5" s="78" customFormat="1" ht="24.95" customHeight="1">
      <c r="A52" s="79">
        <v>9</v>
      </c>
      <c r="B52" s="36" t="s">
        <v>191</v>
      </c>
      <c r="C52" s="37">
        <v>115.04679999999999</v>
      </c>
      <c r="D52" s="76">
        <f t="shared" si="10"/>
        <v>3.5085577032748061E-2</v>
      </c>
      <c r="E52" s="77"/>
    </row>
    <row r="53" spans="1:5" s="78" customFormat="1" ht="24.95" customHeight="1" thickBot="1">
      <c r="A53" s="80">
        <v>10</v>
      </c>
      <c r="B53" s="49" t="s">
        <v>233</v>
      </c>
      <c r="C53" s="50">
        <v>113.39999999999999</v>
      </c>
      <c r="D53" s="81">
        <f t="shared" si="10"/>
        <v>3.4583355951783364E-2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37" priority="34" operator="containsText" text="中華">
      <formula>NOT(ISERROR(SEARCH("中華",A12)))</formula>
    </cfRule>
    <cfRule type="containsText" dxfId="236" priority="33" operator="containsText" text="湯凍">
      <formula>NOT(ISERROR(SEARCH("湯凍",A12)))</formula>
    </cfRule>
    <cfRule type="containsText" dxfId="235" priority="32" operator="containsText" text=")川燙小青花菜">
      <formula>NOT(ISERROR(SEARCH(")川燙小青花菜",A12)))</formula>
    </cfRule>
    <cfRule type="containsText" dxfId="234" priority="31" operator="containsText" text="青蔥">
      <formula>NOT(ISERROR(SEARCH("青蔥",A12)))</formula>
    </cfRule>
    <cfRule type="containsText" dxfId="233" priority="30" operator="containsText" text="白醬">
      <formula>NOT(ISERROR(SEARCH("白醬",A12)))</formula>
    </cfRule>
    <cfRule type="containsText" dxfId="232" priority="29" operator="containsText" text="024">
      <formula>NOT(ISERROR(SEARCH("024",A12)))</formula>
    </cfRule>
    <cfRule type="containsText" dxfId="231" priority="28" operator="containsText" text="煮白細麵生(方#12)">
      <formula>NOT(ISERROR(SEARCH("煮白細麵生(方#12)",A12)))</formula>
    </cfRule>
    <cfRule type="containsText" dxfId="230" priority="27" operator="containsText" text="綠豆芽">
      <formula>NOT(ISERROR(SEARCH("綠豆芽",A12)))</formula>
    </cfRule>
  </conditionalFormatting>
  <conditionalFormatting sqref="A28:A37">
    <cfRule type="containsText" dxfId="229" priority="5" operator="containsText" text="綠豆芽">
      <formula>NOT(ISERROR(SEARCH("綠豆芽",A28)))</formula>
    </cfRule>
    <cfRule type="containsText" dxfId="228" priority="6" operator="containsText" text="煮白細麵生(方#12)">
      <formula>NOT(ISERROR(SEARCH("煮白細麵生(方#12)",A28)))</formula>
    </cfRule>
    <cfRule type="containsText" dxfId="227" priority="7" operator="containsText" text="024">
      <formula>NOT(ISERROR(SEARCH("024",A28)))</formula>
    </cfRule>
    <cfRule type="containsText" dxfId="226" priority="8" operator="containsText" text="白醬">
      <formula>NOT(ISERROR(SEARCH("白醬",A28)))</formula>
    </cfRule>
    <cfRule type="containsText" dxfId="225" priority="9" operator="containsText" text="青蔥">
      <formula>NOT(ISERROR(SEARCH("青蔥",A28)))</formula>
    </cfRule>
    <cfRule type="containsText" dxfId="224" priority="10" operator="containsText" text=")川燙小青花菜">
      <formula>NOT(ISERROR(SEARCH(")川燙小青花菜",A28)))</formula>
    </cfRule>
    <cfRule type="containsText" dxfId="223" priority="11" operator="containsText" text="湯凍">
      <formula>NOT(ISERROR(SEARCH("湯凍",A28)))</formula>
    </cfRule>
    <cfRule type="containsText" dxfId="222" priority="12" operator="containsText" text="中華">
      <formula>NOT(ISERROR(SEARCH("中華",A28)))</formula>
    </cfRule>
  </conditionalFormatting>
  <conditionalFormatting sqref="A44:A53">
    <cfRule type="containsText" dxfId="221" priority="17" operator="containsText" text="綠豆芽">
      <formula>NOT(ISERROR(SEARCH("綠豆芽",A44)))</formula>
    </cfRule>
    <cfRule type="containsText" dxfId="220" priority="18" operator="containsText" text="煮白細麵生(方#12)">
      <formula>NOT(ISERROR(SEARCH("煮白細麵生(方#12)",A44)))</formula>
    </cfRule>
    <cfRule type="containsText" dxfId="219" priority="19" operator="containsText" text="024">
      <formula>NOT(ISERROR(SEARCH("024",A44)))</formula>
    </cfRule>
    <cfRule type="containsText" dxfId="218" priority="20" operator="containsText" text="白醬">
      <formula>NOT(ISERROR(SEARCH("白醬",A44)))</formula>
    </cfRule>
    <cfRule type="containsText" dxfId="217" priority="21" operator="containsText" text="青蔥">
      <formula>NOT(ISERROR(SEARCH("青蔥",A44)))</formula>
    </cfRule>
    <cfRule type="containsText" dxfId="216" priority="22" operator="containsText" text=")川燙小青花菜">
      <formula>NOT(ISERROR(SEARCH(")川燙小青花菜",A44)))</formula>
    </cfRule>
    <cfRule type="containsText" dxfId="215" priority="23" operator="containsText" text="湯凍">
      <formula>NOT(ISERROR(SEARCH("湯凍",A44)))</formula>
    </cfRule>
    <cfRule type="containsText" dxfId="214" priority="24" operator="containsText" text="中華">
      <formula>NOT(ISERROR(SEARCH("中華",A44)))</formula>
    </cfRule>
  </conditionalFormatting>
  <conditionalFormatting sqref="D44:D53">
    <cfRule type="cellIs" dxfId="213" priority="16" operator="greaterThan">
      <formula>0.146</formula>
    </cfRule>
  </conditionalFormatting>
  <conditionalFormatting sqref="E5">
    <cfRule type="cellIs" dxfId="212" priority="25" operator="greaterThan">
      <formula>0.072</formula>
    </cfRule>
    <cfRule type="cellIs" dxfId="211" priority="26" operator="greaterThan">
      <formula>7.2</formula>
    </cfRule>
    <cfRule type="cellIs" dxfId="210" priority="14" operator="greaterThan">
      <formula>0.0025</formula>
    </cfRule>
  </conditionalFormatting>
  <conditionalFormatting sqref="G5">
    <cfRule type="cellIs" dxfId="209" priority="3" operator="greaterThan">
      <formula>7.2</formula>
    </cfRule>
    <cfRule type="cellIs" dxfId="208" priority="2" operator="greaterThan">
      <formula>0.072</formula>
    </cfRule>
    <cfRule type="cellIs" dxfId="207" priority="1" operator="greaterThan">
      <formula>0.0025</formula>
    </cfRule>
  </conditionalFormatting>
  <conditionalFormatting sqref="H12:H22">
    <cfRule type="cellIs" dxfId="206" priority="15" operator="greaterThan">
      <formula>1.1</formula>
    </cfRule>
  </conditionalFormatting>
  <conditionalFormatting sqref="H28:H37">
    <cfRule type="cellIs" dxfId="205" priority="4" operator="greaterThan">
      <formula>1.1</formula>
    </cfRule>
  </conditionalFormatting>
  <conditionalFormatting sqref="I5">
    <cfRule type="cellIs" dxfId="20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76E3-D5F1-485A-BC2E-EA4CA691C894}">
  <sheetPr>
    <tabColor rgb="FFFF0000"/>
    <pageSetUpPr fitToPage="1"/>
  </sheetPr>
  <dimension ref="A1:Q56"/>
  <sheetViews>
    <sheetView zoomScale="70" zoomScaleNormal="70" workbookViewId="0">
      <selection activeCell="L5" sqref="L5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45875</v>
      </c>
      <c r="B3" s="150"/>
      <c r="C3" s="151">
        <v>8314895.1299999999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20159.28079999999</v>
      </c>
      <c r="E5" s="25">
        <f>D5/C3</f>
        <v>2.4244780583300022E-3</v>
      </c>
      <c r="F5" s="24">
        <v>70683.501499999984</v>
      </c>
      <c r="G5" s="26">
        <f>F5/C3</f>
        <v>8.5008289815917352E-3</v>
      </c>
      <c r="H5" s="27">
        <f>SUM(C12:C21)</f>
        <v>4480.2091999999993</v>
      </c>
      <c r="I5" s="28">
        <f>H5/D5</f>
        <v>0.22224052754897891</v>
      </c>
      <c r="J5" s="27">
        <f>SUM(C28:C37)</f>
        <v>20441.845799999992</v>
      </c>
      <c r="K5" s="29">
        <f>J5/F5</f>
        <v>0.28920250647175416</v>
      </c>
      <c r="L5" s="30">
        <v>2591.0327000000002</v>
      </c>
      <c r="M5" s="31">
        <f>L5/D5</f>
        <v>0.12852803260719506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98</v>
      </c>
      <c r="C12" s="37">
        <v>780.75</v>
      </c>
      <c r="D12" s="38">
        <v>7884</v>
      </c>
      <c r="E12" s="38">
        <v>7959</v>
      </c>
      <c r="F12" s="38">
        <v>0</v>
      </c>
      <c r="G12" s="37">
        <v>10.41</v>
      </c>
      <c r="H12" s="39">
        <f>(E12+F12)/D12</f>
        <v>1.0095129375951293</v>
      </c>
      <c r="I12" s="37">
        <v>780.75</v>
      </c>
      <c r="J12" s="38">
        <v>75</v>
      </c>
      <c r="K12" s="40">
        <f>J12/D12</f>
        <v>9.5129375951293754E-3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266</v>
      </c>
      <c r="Q12" s="45" t="s">
        <v>100</v>
      </c>
    </row>
    <row r="13" spans="1:17" s="46" customFormat="1" ht="24.95" customHeight="1">
      <c r="A13" s="47">
        <v>2</v>
      </c>
      <c r="B13" s="36" t="s">
        <v>197</v>
      </c>
      <c r="C13" s="37">
        <v>637.26949999999999</v>
      </c>
      <c r="D13" s="38">
        <v>15.11</v>
      </c>
      <c r="E13" s="38">
        <v>17.7</v>
      </c>
      <c r="F13" s="38">
        <v>0</v>
      </c>
      <c r="G13" s="37">
        <v>246.05</v>
      </c>
      <c r="H13" s="39">
        <f t="shared" ref="H13:H21" si="1">(E13+F13)/D13</f>
        <v>1.171409662475182</v>
      </c>
      <c r="I13" s="37">
        <v>637.26949999999999</v>
      </c>
      <c r="J13" s="38">
        <v>2.59</v>
      </c>
      <c r="K13" s="40">
        <f>J13/D13</f>
        <v>0.171409662475182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175</v>
      </c>
      <c r="Q13" s="45" t="s">
        <v>154</v>
      </c>
    </row>
    <row r="14" spans="1:17" s="46" customFormat="1" ht="24.95" customHeight="1">
      <c r="A14" s="47">
        <v>3</v>
      </c>
      <c r="B14" s="36" t="s">
        <v>186</v>
      </c>
      <c r="C14" s="37">
        <v>513.82800000000009</v>
      </c>
      <c r="D14" s="38">
        <v>203</v>
      </c>
      <c r="E14" s="38">
        <v>215.6</v>
      </c>
      <c r="F14" s="38">
        <v>0</v>
      </c>
      <c r="G14" s="37">
        <v>61.17</v>
      </c>
      <c r="H14" s="39">
        <f>(E14+F14)/D14</f>
        <v>1.0620689655172413</v>
      </c>
      <c r="I14" s="37">
        <v>770.74199999999962</v>
      </c>
      <c r="J14" s="38">
        <v>8.4</v>
      </c>
      <c r="K14" s="40">
        <f t="shared" ref="K14:K21" si="4">J14/D14</f>
        <v>4.1379310344827586E-2</v>
      </c>
      <c r="L14" s="41">
        <f t="shared" si="2"/>
        <v>4.199999999999994</v>
      </c>
      <c r="M14" s="42">
        <f t="shared" si="3"/>
        <v>2.0689655172413765E-2</v>
      </c>
      <c r="N14" s="43">
        <f t="shared" si="0"/>
        <v>256.91399999999965</v>
      </c>
      <c r="O14" s="44" t="s">
        <v>88</v>
      </c>
      <c r="P14" s="44" t="s">
        <v>267</v>
      </c>
      <c r="Q14" s="45" t="s">
        <v>189</v>
      </c>
    </row>
    <row r="15" spans="1:17" s="46" customFormat="1" ht="24.95" customHeight="1">
      <c r="A15" s="35">
        <v>4</v>
      </c>
      <c r="B15" s="36" t="s">
        <v>91</v>
      </c>
      <c r="C15" s="37">
        <v>478.95</v>
      </c>
      <c r="D15" s="38">
        <v>4084</v>
      </c>
      <c r="E15" s="38">
        <v>4115</v>
      </c>
      <c r="F15" s="38">
        <v>0</v>
      </c>
      <c r="G15" s="37">
        <v>15.45</v>
      </c>
      <c r="H15" s="39">
        <f>(E15+F15)/D15</f>
        <v>1.0075905974534769</v>
      </c>
      <c r="I15" s="37">
        <v>478.95</v>
      </c>
      <c r="J15" s="38">
        <v>31</v>
      </c>
      <c r="K15" s="40">
        <f t="shared" si="4"/>
        <v>7.5905974534769835E-3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88</v>
      </c>
      <c r="P15" s="44" t="s">
        <v>93</v>
      </c>
      <c r="Q15" s="45" t="s">
        <v>94</v>
      </c>
    </row>
    <row r="16" spans="1:17" s="46" customFormat="1" ht="24.95" customHeight="1">
      <c r="A16" s="47">
        <v>5</v>
      </c>
      <c r="B16" s="36" t="s">
        <v>168</v>
      </c>
      <c r="C16" s="37">
        <v>416.5</v>
      </c>
      <c r="D16" s="38">
        <v>13974</v>
      </c>
      <c r="E16" s="38">
        <v>14464</v>
      </c>
      <c r="F16" s="38">
        <v>0</v>
      </c>
      <c r="G16" s="37">
        <v>0.85</v>
      </c>
      <c r="H16" s="39">
        <f t="shared" si="1"/>
        <v>1.0350651209388866</v>
      </c>
      <c r="I16" s="37">
        <v>416.5</v>
      </c>
      <c r="J16" s="38">
        <v>490</v>
      </c>
      <c r="K16" s="40">
        <f t="shared" si="4"/>
        <v>3.5065120938886502E-2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88</v>
      </c>
      <c r="P16" s="44" t="s">
        <v>266</v>
      </c>
      <c r="Q16" s="45" t="s">
        <v>103</v>
      </c>
    </row>
    <row r="17" spans="1:17" s="46" customFormat="1" ht="24.95" customHeight="1">
      <c r="A17" s="35">
        <v>6</v>
      </c>
      <c r="B17" s="36" t="s">
        <v>268</v>
      </c>
      <c r="C17" s="37">
        <v>392.01119999999997</v>
      </c>
      <c r="D17" s="38">
        <v>37.21</v>
      </c>
      <c r="E17" s="38">
        <v>36.99</v>
      </c>
      <c r="F17" s="38">
        <v>4.5</v>
      </c>
      <c r="G17" s="37">
        <v>116.67</v>
      </c>
      <c r="H17" s="39">
        <f t="shared" si="1"/>
        <v>1.1150228433216878</v>
      </c>
      <c r="I17" s="37">
        <v>499.34760000000011</v>
      </c>
      <c r="J17" s="38">
        <v>3.36</v>
      </c>
      <c r="K17" s="40">
        <f t="shared" si="4"/>
        <v>9.0298306906745493E-2</v>
      </c>
      <c r="L17" s="41">
        <f t="shared" si="2"/>
        <v>0.92000000000000126</v>
      </c>
      <c r="M17" s="42">
        <f t="shared" si="3"/>
        <v>2.4724536414942253E-2</v>
      </c>
      <c r="N17" s="43">
        <f t="shared" si="0"/>
        <v>107.33640000000015</v>
      </c>
      <c r="O17" s="44" t="s">
        <v>88</v>
      </c>
      <c r="P17" s="44" t="s">
        <v>175</v>
      </c>
      <c r="Q17" s="45" t="s">
        <v>126</v>
      </c>
    </row>
    <row r="18" spans="1:17" s="46" customFormat="1" ht="24.95" customHeight="1">
      <c r="A18" s="47">
        <v>7</v>
      </c>
      <c r="B18" s="36" t="s">
        <v>148</v>
      </c>
      <c r="C18" s="37">
        <v>331.61040000000003</v>
      </c>
      <c r="D18" s="38">
        <v>47.06</v>
      </c>
      <c r="E18" s="38">
        <v>49.11</v>
      </c>
      <c r="F18" s="38">
        <v>0</v>
      </c>
      <c r="G18" s="37">
        <v>208.56</v>
      </c>
      <c r="H18" s="39">
        <f t="shared" si="1"/>
        <v>1.0435614109647258</v>
      </c>
      <c r="I18" s="37">
        <v>427.54799999999943</v>
      </c>
      <c r="J18" s="38">
        <v>1.59</v>
      </c>
      <c r="K18" s="40">
        <f t="shared" si="4"/>
        <v>3.3786655333616661E-2</v>
      </c>
      <c r="L18" s="41">
        <f>((E18+F18)-D18)-J18</f>
        <v>0.45999999999999708</v>
      </c>
      <c r="M18" s="42">
        <f t="shared" si="3"/>
        <v>9.7747556311091593E-3</v>
      </c>
      <c r="N18" s="43">
        <f t="shared" si="0"/>
        <v>95.937599999999392</v>
      </c>
      <c r="O18" s="44" t="s">
        <v>88</v>
      </c>
      <c r="P18" s="44" t="s">
        <v>118</v>
      </c>
      <c r="Q18" s="45" t="s">
        <v>149</v>
      </c>
    </row>
    <row r="19" spans="1:17" s="46" customFormat="1" ht="24.95" customHeight="1">
      <c r="A19" s="35">
        <v>8</v>
      </c>
      <c r="B19" s="36" t="s">
        <v>104</v>
      </c>
      <c r="C19" s="37">
        <v>310.97569999999996</v>
      </c>
      <c r="D19" s="38">
        <v>49.05</v>
      </c>
      <c r="E19" s="38">
        <v>52.5</v>
      </c>
      <c r="F19" s="38">
        <v>0</v>
      </c>
      <c r="G19" s="37">
        <v>153.19</v>
      </c>
      <c r="H19" s="39">
        <f t="shared" si="1"/>
        <v>1.070336391437309</v>
      </c>
      <c r="I19" s="37">
        <v>528.50550000000044</v>
      </c>
      <c r="J19" s="38">
        <v>2.0299999999999998</v>
      </c>
      <c r="K19" s="40">
        <f t="shared" si="4"/>
        <v>4.1386340468909273E-2</v>
      </c>
      <c r="L19" s="41">
        <f t="shared" si="2"/>
        <v>1.420000000000003</v>
      </c>
      <c r="M19" s="42">
        <f t="shared" si="3"/>
        <v>2.8950050968399657E-2</v>
      </c>
      <c r="N19" s="43">
        <f t="shared" si="0"/>
        <v>217.52980000000045</v>
      </c>
      <c r="O19" s="44" t="s">
        <v>88</v>
      </c>
      <c r="P19" s="44" t="s">
        <v>175</v>
      </c>
      <c r="Q19" s="45" t="s">
        <v>105</v>
      </c>
    </row>
    <row r="20" spans="1:17" s="46" customFormat="1" ht="24.95" customHeight="1">
      <c r="A20" s="47">
        <v>9</v>
      </c>
      <c r="B20" s="36" t="s">
        <v>163</v>
      </c>
      <c r="C20" s="37">
        <v>309.7824</v>
      </c>
      <c r="D20" s="38">
        <v>40.11</v>
      </c>
      <c r="E20" s="38">
        <v>42.2</v>
      </c>
      <c r="F20" s="38">
        <v>0</v>
      </c>
      <c r="G20" s="37">
        <v>253.92</v>
      </c>
      <c r="H20" s="39">
        <f t="shared" si="1"/>
        <v>1.0521067065569685</v>
      </c>
      <c r="I20" s="37">
        <v>530.69280000000083</v>
      </c>
      <c r="J20" s="38">
        <v>1.22</v>
      </c>
      <c r="K20" s="40">
        <f t="shared" si="4"/>
        <v>3.0416355023684866E-2</v>
      </c>
      <c r="L20" s="41">
        <f t="shared" si="2"/>
        <v>0.87000000000000344</v>
      </c>
      <c r="M20" s="42">
        <f t="shared" si="3"/>
        <v>2.1690351533283556E-2</v>
      </c>
      <c r="N20" s="43">
        <f t="shared" si="0"/>
        <v>220.91040000000086</v>
      </c>
      <c r="O20" s="44" t="s">
        <v>88</v>
      </c>
      <c r="P20" s="44" t="s">
        <v>175</v>
      </c>
      <c r="Q20" s="45" t="s">
        <v>162</v>
      </c>
    </row>
    <row r="21" spans="1:17" s="46" customFormat="1" ht="24.95" customHeight="1" thickBot="1">
      <c r="A21" s="48">
        <v>10</v>
      </c>
      <c r="B21" s="49" t="s">
        <v>161</v>
      </c>
      <c r="C21" s="50">
        <v>308.53199999999998</v>
      </c>
      <c r="D21" s="51">
        <v>49.66</v>
      </c>
      <c r="E21" s="51">
        <v>50.88</v>
      </c>
      <c r="F21" s="51">
        <v>2.34</v>
      </c>
      <c r="G21" s="50">
        <v>183.65</v>
      </c>
      <c r="H21" s="52">
        <f t="shared" si="1"/>
        <v>1.0716874748288361</v>
      </c>
      <c r="I21" s="50">
        <v>653.79400000000044</v>
      </c>
      <c r="J21" s="51">
        <v>1.68</v>
      </c>
      <c r="K21" s="53">
        <f t="shared" si="4"/>
        <v>3.3830044301248488E-2</v>
      </c>
      <c r="L21" s="54">
        <f t="shared" si="2"/>
        <v>1.8800000000000023</v>
      </c>
      <c r="M21" s="55">
        <f t="shared" si="3"/>
        <v>3.7857430527587645E-2</v>
      </c>
      <c r="N21" s="56">
        <f t="shared" si="0"/>
        <v>345.26200000000046</v>
      </c>
      <c r="O21" s="57" t="s">
        <v>88</v>
      </c>
      <c r="P21" s="57" t="s">
        <v>175</v>
      </c>
      <c r="Q21" s="58" t="s">
        <v>162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196</v>
      </c>
      <c r="C28" s="37">
        <v>3578.7824000000078</v>
      </c>
      <c r="D28" s="38">
        <v>86.94</v>
      </c>
      <c r="E28" s="38">
        <v>86.93</v>
      </c>
      <c r="F28" s="38">
        <v>5.7</v>
      </c>
      <c r="G28" s="37">
        <v>628.96</v>
      </c>
      <c r="H28" s="68">
        <f t="shared" ref="H28:H37" si="5">(E28+F28)/D28</f>
        <v>1.0654474350126526</v>
      </c>
      <c r="I28" s="37">
        <v>3578.7824000000078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5.6900000000000119</v>
      </c>
      <c r="N28" s="42">
        <f t="shared" ref="N28:N37" si="9">M28/D28</f>
        <v>6.5447435012652544E-2</v>
      </c>
      <c r="O28" s="44" t="s">
        <v>116</v>
      </c>
      <c r="P28" s="69" t="s">
        <v>118</v>
      </c>
      <c r="Q28" s="45" t="s">
        <v>110</v>
      </c>
    </row>
    <row r="29" spans="1:17" s="67" customFormat="1" ht="24.95" customHeight="1">
      <c r="A29" s="47">
        <v>2</v>
      </c>
      <c r="B29" s="36" t="s">
        <v>155</v>
      </c>
      <c r="C29" s="37">
        <v>3099.9001000000121</v>
      </c>
      <c r="D29" s="38">
        <v>66.069999999999993</v>
      </c>
      <c r="E29" s="38">
        <v>65.760000000000005</v>
      </c>
      <c r="F29" s="38">
        <v>5.04</v>
      </c>
      <c r="G29" s="37">
        <v>655.37</v>
      </c>
      <c r="H29" s="68">
        <f t="shared" si="5"/>
        <v>1.0715907370970186</v>
      </c>
      <c r="I29" s="37">
        <v>3099.9001000000121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4.7300000000000182</v>
      </c>
      <c r="N29" s="42">
        <f t="shared" si="9"/>
        <v>7.1590737097018603E-2</v>
      </c>
      <c r="O29" s="44" t="s">
        <v>116</v>
      </c>
      <c r="P29" s="69" t="s">
        <v>118</v>
      </c>
      <c r="Q29" s="45" t="s">
        <v>122</v>
      </c>
    </row>
    <row r="30" spans="1:17" s="67" customFormat="1" ht="24.95" customHeight="1">
      <c r="A30" s="47">
        <v>3</v>
      </c>
      <c r="B30" s="36" t="s">
        <v>101</v>
      </c>
      <c r="C30" s="37">
        <v>2780.5298000000021</v>
      </c>
      <c r="D30" s="38">
        <v>718.37</v>
      </c>
      <c r="E30" s="38">
        <v>724.83</v>
      </c>
      <c r="F30" s="38">
        <v>12.4</v>
      </c>
      <c r="G30" s="37">
        <v>147.43</v>
      </c>
      <c r="H30" s="68">
        <f t="shared" si="5"/>
        <v>1.026253880312374</v>
      </c>
      <c r="I30" s="37">
        <v>2780.5298000000021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18.860000000000014</v>
      </c>
      <c r="N30" s="42">
        <f t="shared" si="9"/>
        <v>2.6253880312373867E-2</v>
      </c>
      <c r="O30" s="44" t="s">
        <v>116</v>
      </c>
      <c r="P30" s="44" t="s">
        <v>269</v>
      </c>
      <c r="Q30" s="45" t="s">
        <v>103</v>
      </c>
    </row>
    <row r="31" spans="1:17" s="67" customFormat="1" ht="24.95" customHeight="1">
      <c r="A31" s="35">
        <v>4</v>
      </c>
      <c r="B31" s="36" t="s">
        <v>179</v>
      </c>
      <c r="C31" s="37">
        <v>2242.5700000000002</v>
      </c>
      <c r="D31" s="38">
        <v>226.28</v>
      </c>
      <c r="E31" s="38">
        <v>224.78</v>
      </c>
      <c r="F31" s="38">
        <v>7</v>
      </c>
      <c r="G31" s="37">
        <v>407.74</v>
      </c>
      <c r="H31" s="68">
        <f t="shared" si="5"/>
        <v>1.0243061693477109</v>
      </c>
      <c r="I31" s="37">
        <v>2242.5700000000002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5.5</v>
      </c>
      <c r="N31" s="42">
        <f t="shared" si="9"/>
        <v>2.43061693477108E-2</v>
      </c>
      <c r="O31" s="44" t="s">
        <v>116</v>
      </c>
      <c r="P31" s="69" t="s">
        <v>132</v>
      </c>
      <c r="Q31" s="45" t="s">
        <v>180</v>
      </c>
    </row>
    <row r="32" spans="1:17" s="67" customFormat="1" ht="24.95" customHeight="1">
      <c r="A32" s="47">
        <v>5</v>
      </c>
      <c r="B32" s="36" t="s">
        <v>167</v>
      </c>
      <c r="C32" s="37">
        <v>2013.3234000000009</v>
      </c>
      <c r="D32" s="38">
        <v>19.88</v>
      </c>
      <c r="E32" s="38">
        <v>20.010000000000002</v>
      </c>
      <c r="F32" s="38">
        <v>2.4</v>
      </c>
      <c r="G32" s="37">
        <v>795.78</v>
      </c>
      <c r="H32" s="68">
        <f t="shared" si="5"/>
        <v>1.1272635814889336</v>
      </c>
      <c r="I32" s="37">
        <v>2013.3234000000009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2.5300000000000011</v>
      </c>
      <c r="N32" s="42">
        <f t="shared" si="9"/>
        <v>0.12726358148893366</v>
      </c>
      <c r="O32" s="44" t="s">
        <v>116</v>
      </c>
      <c r="P32" s="69" t="s">
        <v>118</v>
      </c>
      <c r="Q32" s="45" t="s">
        <v>147</v>
      </c>
    </row>
    <row r="33" spans="1:17" s="67" customFormat="1" ht="24.95" customHeight="1">
      <c r="A33" s="35">
        <v>6</v>
      </c>
      <c r="B33" s="36" t="s">
        <v>270</v>
      </c>
      <c r="C33" s="37">
        <v>1579.9722000000017</v>
      </c>
      <c r="D33" s="38">
        <v>43.44</v>
      </c>
      <c r="E33" s="38">
        <v>45.18</v>
      </c>
      <c r="F33" s="38">
        <v>0</v>
      </c>
      <c r="G33" s="37">
        <v>908.03</v>
      </c>
      <c r="H33" s="68">
        <f t="shared" si="5"/>
        <v>1.0400552486187846</v>
      </c>
      <c r="I33" s="37">
        <v>1579.9722000000017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1.740000000000002</v>
      </c>
      <c r="N33" s="42">
        <f t="shared" si="9"/>
        <v>4.0055248618784581E-2</v>
      </c>
      <c r="O33" s="44" t="s">
        <v>116</v>
      </c>
      <c r="P33" s="69" t="s">
        <v>118</v>
      </c>
      <c r="Q33" s="45" t="s">
        <v>263</v>
      </c>
    </row>
    <row r="34" spans="1:17" s="67" customFormat="1" ht="24.95" customHeight="1">
      <c r="A34" s="47">
        <v>7</v>
      </c>
      <c r="B34" s="36" t="s">
        <v>140</v>
      </c>
      <c r="C34" s="37">
        <v>1371.9999999999955</v>
      </c>
      <c r="D34" s="38">
        <v>145.86000000000001</v>
      </c>
      <c r="E34" s="38">
        <v>148.03</v>
      </c>
      <c r="F34" s="38">
        <v>4.9800000000000004</v>
      </c>
      <c r="G34" s="37">
        <v>200</v>
      </c>
      <c r="H34" s="68">
        <f t="shared" si="5"/>
        <v>1.0490196078431371</v>
      </c>
      <c r="I34" s="37">
        <v>1429.9999999999955</v>
      </c>
      <c r="J34" s="38">
        <v>0.28999999999999998</v>
      </c>
      <c r="K34" s="40">
        <f t="shared" si="6"/>
        <v>1.9882078705608115E-3</v>
      </c>
      <c r="L34" s="43">
        <f t="shared" si="7"/>
        <v>57.999999999999993</v>
      </c>
      <c r="M34" s="41">
        <f t="shared" si="8"/>
        <v>6.8599999999999772</v>
      </c>
      <c r="N34" s="42">
        <f t="shared" si="9"/>
        <v>4.7031399972576285E-2</v>
      </c>
      <c r="O34" s="44" t="s">
        <v>116</v>
      </c>
      <c r="P34" s="69" t="s">
        <v>118</v>
      </c>
      <c r="Q34" s="45" t="s">
        <v>103</v>
      </c>
    </row>
    <row r="35" spans="1:17" s="67" customFormat="1" ht="24.95" customHeight="1">
      <c r="A35" s="35">
        <v>8</v>
      </c>
      <c r="B35" s="36" t="s">
        <v>119</v>
      </c>
      <c r="C35" s="37">
        <v>1367.1116999999997</v>
      </c>
      <c r="D35" s="38">
        <v>702.01</v>
      </c>
      <c r="E35" s="38">
        <v>692.4</v>
      </c>
      <c r="F35" s="38">
        <v>51</v>
      </c>
      <c r="G35" s="37">
        <v>33.03</v>
      </c>
      <c r="H35" s="68">
        <f t="shared" si="5"/>
        <v>1.0589592740844147</v>
      </c>
      <c r="I35" s="37">
        <v>1367.1116999999997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41.389999999999986</v>
      </c>
      <c r="N35" s="42">
        <f t="shared" si="9"/>
        <v>5.8959274084414731E-2</v>
      </c>
      <c r="O35" s="44" t="s">
        <v>116</v>
      </c>
      <c r="P35" s="69" t="s">
        <v>271</v>
      </c>
      <c r="Q35" s="45" t="s">
        <v>122</v>
      </c>
    </row>
    <row r="36" spans="1:17" s="67" customFormat="1" ht="24.95" customHeight="1">
      <c r="A36" s="47">
        <v>9</v>
      </c>
      <c r="B36" s="36" t="s">
        <v>151</v>
      </c>
      <c r="C36" s="37">
        <v>1258.2559999999992</v>
      </c>
      <c r="D36" s="38">
        <v>52.56</v>
      </c>
      <c r="E36" s="38">
        <v>52.46</v>
      </c>
      <c r="F36" s="38">
        <v>2</v>
      </c>
      <c r="G36" s="37">
        <v>662.24</v>
      </c>
      <c r="H36" s="68">
        <f t="shared" si="5"/>
        <v>1.0361491628614916</v>
      </c>
      <c r="I36" s="37">
        <v>1258.2559999999992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1.8999999999999986</v>
      </c>
      <c r="N36" s="42">
        <f t="shared" si="9"/>
        <v>3.6149162861491599E-2</v>
      </c>
      <c r="O36" s="44" t="s">
        <v>131</v>
      </c>
      <c r="P36" s="69" t="s">
        <v>118</v>
      </c>
      <c r="Q36" s="45" t="s">
        <v>100</v>
      </c>
    </row>
    <row r="37" spans="1:17" s="67" customFormat="1" ht="24.95" customHeight="1" thickBot="1">
      <c r="A37" s="48">
        <v>10</v>
      </c>
      <c r="B37" s="49" t="s">
        <v>129</v>
      </c>
      <c r="C37" s="50">
        <v>1149.4001999999757</v>
      </c>
      <c r="D37" s="51">
        <v>4180.0200000000004</v>
      </c>
      <c r="E37" s="51">
        <v>4155.2</v>
      </c>
      <c r="F37" s="51">
        <v>54</v>
      </c>
      <c r="G37" s="50">
        <v>39.39</v>
      </c>
      <c r="H37" s="70">
        <f t="shared" si="5"/>
        <v>1.0069808278429289</v>
      </c>
      <c r="I37" s="50">
        <v>1149.4001999999757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29.179999999999382</v>
      </c>
      <c r="N37" s="55">
        <f t="shared" si="9"/>
        <v>6.9808278429288328E-3</v>
      </c>
      <c r="O37" s="57" t="s">
        <v>131</v>
      </c>
      <c r="P37" s="57" t="s">
        <v>132</v>
      </c>
      <c r="Q37" s="58" t="s">
        <v>103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168</v>
      </c>
      <c r="C44" s="37">
        <v>416.5</v>
      </c>
      <c r="D44" s="76">
        <f t="shared" ref="D44:D53" si="10">C44/$L$5</f>
        <v>0.16074671693645548</v>
      </c>
      <c r="E44" s="77"/>
    </row>
    <row r="45" spans="1:17" s="78" customFormat="1" ht="24.95" customHeight="1">
      <c r="A45" s="79">
        <v>2</v>
      </c>
      <c r="B45" s="36" t="s">
        <v>138</v>
      </c>
      <c r="C45" s="37">
        <v>273.77999999999997</v>
      </c>
      <c r="D45" s="76">
        <f t="shared" si="10"/>
        <v>0.10566443256389622</v>
      </c>
      <c r="E45" s="77"/>
    </row>
    <row r="46" spans="1:17" s="78" customFormat="1" ht="24.95" customHeight="1">
      <c r="A46" s="79">
        <v>3</v>
      </c>
      <c r="B46" s="36" t="s">
        <v>137</v>
      </c>
      <c r="C46" s="37">
        <v>257.25</v>
      </c>
      <c r="D46" s="76">
        <f t="shared" si="10"/>
        <v>9.9284736931340142E-2</v>
      </c>
      <c r="E46" s="77"/>
    </row>
    <row r="47" spans="1:17" s="78" customFormat="1" ht="24.95" customHeight="1">
      <c r="A47" s="75">
        <v>4</v>
      </c>
      <c r="B47" s="36" t="s">
        <v>141</v>
      </c>
      <c r="C47" s="37">
        <v>230.65</v>
      </c>
      <c r="D47" s="76">
        <f t="shared" si="10"/>
        <v>8.901856005136484E-2</v>
      </c>
      <c r="E47" s="77"/>
    </row>
    <row r="48" spans="1:17" s="78" customFormat="1" ht="24.95" customHeight="1">
      <c r="A48" s="79">
        <v>5</v>
      </c>
      <c r="B48" s="36" t="s">
        <v>143</v>
      </c>
      <c r="C48" s="37">
        <v>187.04519999999997</v>
      </c>
      <c r="D48" s="76">
        <f t="shared" si="10"/>
        <v>7.2189440140990865E-2</v>
      </c>
      <c r="E48" s="77"/>
    </row>
    <row r="49" spans="1:5" s="78" customFormat="1" ht="24.95" customHeight="1">
      <c r="A49" s="75">
        <v>6</v>
      </c>
      <c r="B49" s="36" t="s">
        <v>139</v>
      </c>
      <c r="C49" s="37">
        <v>185.36799999999999</v>
      </c>
      <c r="D49" s="76">
        <f t="shared" si="10"/>
        <v>7.1542130672453491E-2</v>
      </c>
      <c r="E49" s="77"/>
    </row>
    <row r="50" spans="1:5" s="78" customFormat="1" ht="24.95" customHeight="1">
      <c r="A50" s="79">
        <v>7</v>
      </c>
      <c r="B50" s="36" t="s">
        <v>159</v>
      </c>
      <c r="C50" s="37">
        <v>162.21</v>
      </c>
      <c r="D50" s="76">
        <f t="shared" si="10"/>
        <v>6.2604381642887022E-2</v>
      </c>
      <c r="E50" s="77"/>
    </row>
    <row r="51" spans="1:5" s="78" customFormat="1" ht="24.95" customHeight="1">
      <c r="A51" s="75">
        <v>8</v>
      </c>
      <c r="B51" s="36" t="s">
        <v>134</v>
      </c>
      <c r="C51" s="37">
        <v>157.87</v>
      </c>
      <c r="D51" s="76">
        <f t="shared" si="10"/>
        <v>6.0929373836154203E-2</v>
      </c>
      <c r="E51" s="77"/>
    </row>
    <row r="52" spans="1:5" s="78" customFormat="1" ht="24.95" customHeight="1">
      <c r="A52" s="79">
        <v>9</v>
      </c>
      <c r="B52" s="36" t="s">
        <v>106</v>
      </c>
      <c r="C52" s="37">
        <v>141.62219999999999</v>
      </c>
      <c r="D52" s="76">
        <f t="shared" si="10"/>
        <v>5.4658592305685677E-2</v>
      </c>
      <c r="E52" s="77"/>
    </row>
    <row r="53" spans="1:5" s="78" customFormat="1" ht="24.95" customHeight="1" thickBot="1">
      <c r="A53" s="80">
        <v>10</v>
      </c>
      <c r="B53" s="49" t="s">
        <v>234</v>
      </c>
      <c r="C53" s="50">
        <v>126.91249999999999</v>
      </c>
      <c r="D53" s="81">
        <f t="shared" si="10"/>
        <v>4.8981435085709256E-2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03" priority="34" operator="containsText" text="中華">
      <formula>NOT(ISERROR(SEARCH("中華",A12)))</formula>
    </cfRule>
    <cfRule type="containsText" dxfId="202" priority="33" operator="containsText" text="湯凍">
      <formula>NOT(ISERROR(SEARCH("湯凍",A12)))</formula>
    </cfRule>
    <cfRule type="containsText" dxfId="201" priority="32" operator="containsText" text=")川燙小青花菜">
      <formula>NOT(ISERROR(SEARCH(")川燙小青花菜",A12)))</formula>
    </cfRule>
    <cfRule type="containsText" dxfId="200" priority="31" operator="containsText" text="青蔥">
      <formula>NOT(ISERROR(SEARCH("青蔥",A12)))</formula>
    </cfRule>
    <cfRule type="containsText" dxfId="199" priority="30" operator="containsText" text="白醬">
      <formula>NOT(ISERROR(SEARCH("白醬",A12)))</formula>
    </cfRule>
    <cfRule type="containsText" dxfId="198" priority="29" operator="containsText" text="024">
      <formula>NOT(ISERROR(SEARCH("024",A12)))</formula>
    </cfRule>
    <cfRule type="containsText" dxfId="197" priority="28" operator="containsText" text="煮白細麵生(方#12)">
      <formula>NOT(ISERROR(SEARCH("煮白細麵生(方#12)",A12)))</formula>
    </cfRule>
    <cfRule type="containsText" dxfId="196" priority="27" operator="containsText" text="綠豆芽">
      <formula>NOT(ISERROR(SEARCH("綠豆芽",A12)))</formula>
    </cfRule>
  </conditionalFormatting>
  <conditionalFormatting sqref="A28:A37">
    <cfRule type="containsText" dxfId="195" priority="5" operator="containsText" text="綠豆芽">
      <formula>NOT(ISERROR(SEARCH("綠豆芽",A28)))</formula>
    </cfRule>
    <cfRule type="containsText" dxfId="194" priority="6" operator="containsText" text="煮白細麵生(方#12)">
      <formula>NOT(ISERROR(SEARCH("煮白細麵生(方#12)",A28)))</formula>
    </cfRule>
    <cfRule type="containsText" dxfId="193" priority="7" operator="containsText" text="024">
      <formula>NOT(ISERROR(SEARCH("024",A28)))</formula>
    </cfRule>
    <cfRule type="containsText" dxfId="192" priority="8" operator="containsText" text="白醬">
      <formula>NOT(ISERROR(SEARCH("白醬",A28)))</formula>
    </cfRule>
    <cfRule type="containsText" dxfId="191" priority="9" operator="containsText" text="青蔥">
      <formula>NOT(ISERROR(SEARCH("青蔥",A28)))</formula>
    </cfRule>
    <cfRule type="containsText" dxfId="190" priority="10" operator="containsText" text=")川燙小青花菜">
      <formula>NOT(ISERROR(SEARCH(")川燙小青花菜",A28)))</formula>
    </cfRule>
    <cfRule type="containsText" dxfId="189" priority="11" operator="containsText" text="湯凍">
      <formula>NOT(ISERROR(SEARCH("湯凍",A28)))</formula>
    </cfRule>
    <cfRule type="containsText" dxfId="188" priority="12" operator="containsText" text="中華">
      <formula>NOT(ISERROR(SEARCH("中華",A28)))</formula>
    </cfRule>
  </conditionalFormatting>
  <conditionalFormatting sqref="A44:A53">
    <cfRule type="containsText" dxfId="187" priority="17" operator="containsText" text="綠豆芽">
      <formula>NOT(ISERROR(SEARCH("綠豆芽",A44)))</formula>
    </cfRule>
    <cfRule type="containsText" dxfId="186" priority="18" operator="containsText" text="煮白細麵生(方#12)">
      <formula>NOT(ISERROR(SEARCH("煮白細麵生(方#12)",A44)))</formula>
    </cfRule>
    <cfRule type="containsText" dxfId="185" priority="19" operator="containsText" text="024">
      <formula>NOT(ISERROR(SEARCH("024",A44)))</formula>
    </cfRule>
    <cfRule type="containsText" dxfId="184" priority="20" operator="containsText" text="白醬">
      <formula>NOT(ISERROR(SEARCH("白醬",A44)))</formula>
    </cfRule>
    <cfRule type="containsText" dxfId="183" priority="21" operator="containsText" text="青蔥">
      <formula>NOT(ISERROR(SEARCH("青蔥",A44)))</formula>
    </cfRule>
    <cfRule type="containsText" dxfId="182" priority="22" operator="containsText" text=")川燙小青花菜">
      <formula>NOT(ISERROR(SEARCH(")川燙小青花菜",A44)))</formula>
    </cfRule>
    <cfRule type="containsText" dxfId="181" priority="23" operator="containsText" text="湯凍">
      <formula>NOT(ISERROR(SEARCH("湯凍",A44)))</formula>
    </cfRule>
    <cfRule type="containsText" dxfId="180" priority="24" operator="containsText" text="中華">
      <formula>NOT(ISERROR(SEARCH("中華",A44)))</formula>
    </cfRule>
  </conditionalFormatting>
  <conditionalFormatting sqref="D44:D53">
    <cfRule type="cellIs" dxfId="179" priority="16" operator="greaterThan">
      <formula>0.146</formula>
    </cfRule>
  </conditionalFormatting>
  <conditionalFormatting sqref="E5">
    <cfRule type="cellIs" dxfId="178" priority="25" operator="greaterThan">
      <formula>0.072</formula>
    </cfRule>
    <cfRule type="cellIs" dxfId="177" priority="26" operator="greaterThan">
      <formula>7.2</formula>
    </cfRule>
    <cfRule type="cellIs" dxfId="176" priority="14" operator="greaterThan">
      <formula>0.0025</formula>
    </cfRule>
  </conditionalFormatting>
  <conditionalFormatting sqref="G5">
    <cfRule type="cellIs" dxfId="175" priority="3" operator="greaterThan">
      <formula>7.2</formula>
    </cfRule>
    <cfRule type="cellIs" dxfId="174" priority="2" operator="greaterThan">
      <formula>0.072</formula>
    </cfRule>
    <cfRule type="cellIs" dxfId="173" priority="1" operator="greaterThan">
      <formula>0.0025</formula>
    </cfRule>
  </conditionalFormatting>
  <conditionalFormatting sqref="H12:H22">
    <cfRule type="cellIs" dxfId="172" priority="15" operator="greaterThan">
      <formula>1.1</formula>
    </cfRule>
  </conditionalFormatting>
  <conditionalFormatting sqref="H28:H37">
    <cfRule type="cellIs" dxfId="171" priority="4" operator="greaterThan">
      <formula>1.1</formula>
    </cfRule>
  </conditionalFormatting>
  <conditionalFormatting sqref="I5">
    <cfRule type="cellIs" dxfId="17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F844B-D745-4D20-A2EF-D63429ED175E}">
  <sheetPr>
    <tabColor rgb="FFFF0000"/>
    <pageSetUpPr fitToPage="1"/>
  </sheetPr>
  <dimension ref="A1:Q56"/>
  <sheetViews>
    <sheetView zoomScale="70" zoomScaleNormal="70" workbookViewId="0">
      <selection activeCell="L5" sqref="L5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45874</v>
      </c>
      <c r="B3" s="150"/>
      <c r="C3" s="151">
        <v>9130487.0999999996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22183.572799999998</v>
      </c>
      <c r="E5" s="25">
        <f>D5/C3</f>
        <v>2.4296154802080604E-3</v>
      </c>
      <c r="F5" s="24">
        <v>79296.298300000068</v>
      </c>
      <c r="G5" s="26">
        <f>F5/C3</f>
        <v>8.6847829071463305E-3</v>
      </c>
      <c r="H5" s="27">
        <f>SUM(C12:C21)</f>
        <v>6103.0743000000002</v>
      </c>
      <c r="I5" s="28">
        <f>H5/D5</f>
        <v>0.27511683329927816</v>
      </c>
      <c r="J5" s="27">
        <f>SUM(C28:C37)</f>
        <v>33550.616699999977</v>
      </c>
      <c r="K5" s="29">
        <f>J5/F5</f>
        <v>0.42310445026158239</v>
      </c>
      <c r="L5" s="30">
        <v>2729.3154000000004</v>
      </c>
      <c r="M5" s="31">
        <f>L5/D5</f>
        <v>0.12303317525119312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91</v>
      </c>
      <c r="C12" s="37">
        <v>2163</v>
      </c>
      <c r="D12" s="38">
        <v>4140</v>
      </c>
      <c r="E12" s="38">
        <v>4280</v>
      </c>
      <c r="F12" s="38">
        <v>0</v>
      </c>
      <c r="G12" s="37">
        <v>15.45</v>
      </c>
      <c r="H12" s="39">
        <f>(E12+F12)/D12</f>
        <v>1.0338164251207729</v>
      </c>
      <c r="I12" s="37">
        <v>2163</v>
      </c>
      <c r="J12" s="38">
        <v>140</v>
      </c>
      <c r="K12" s="40">
        <f>J12/D12</f>
        <v>3.3816425120772944E-2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221</v>
      </c>
      <c r="Q12" s="45" t="s">
        <v>272</v>
      </c>
    </row>
    <row r="13" spans="1:17" s="46" customFormat="1" ht="24.95" customHeight="1">
      <c r="A13" s="47">
        <v>2</v>
      </c>
      <c r="B13" s="36" t="s">
        <v>98</v>
      </c>
      <c r="C13" s="37">
        <v>926.49</v>
      </c>
      <c r="D13" s="38">
        <v>8970</v>
      </c>
      <c r="E13" s="38">
        <v>9059</v>
      </c>
      <c r="F13" s="38">
        <v>0</v>
      </c>
      <c r="G13" s="37">
        <v>10.41</v>
      </c>
      <c r="H13" s="39">
        <f t="shared" ref="H13:H21" si="1">(E13+F13)/D13</f>
        <v>1.009921962095875</v>
      </c>
      <c r="I13" s="37">
        <v>926.49</v>
      </c>
      <c r="J13" s="38">
        <v>89</v>
      </c>
      <c r="K13" s="40">
        <f>J13/D13</f>
        <v>9.9219620958751389E-3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223</v>
      </c>
      <c r="Q13" s="45" t="s">
        <v>100</v>
      </c>
    </row>
    <row r="14" spans="1:17" s="46" customFormat="1" ht="24.95" customHeight="1">
      <c r="A14" s="47">
        <v>3</v>
      </c>
      <c r="B14" s="36" t="s">
        <v>197</v>
      </c>
      <c r="C14" s="37">
        <v>688.93999999999994</v>
      </c>
      <c r="D14" s="38">
        <v>22.91</v>
      </c>
      <c r="E14" s="38">
        <v>25.8</v>
      </c>
      <c r="F14" s="38">
        <v>0</v>
      </c>
      <c r="G14" s="37">
        <v>246.05</v>
      </c>
      <c r="H14" s="39">
        <f>(E14+F14)/D14</f>
        <v>1.126145787865561</v>
      </c>
      <c r="I14" s="37">
        <v>711.08450000000016</v>
      </c>
      <c r="J14" s="38">
        <v>2.8</v>
      </c>
      <c r="K14" s="40">
        <f t="shared" ref="K14:K21" si="4">J14/D14</f>
        <v>0.12221737232649497</v>
      </c>
      <c r="L14" s="41">
        <f t="shared" si="2"/>
        <v>9.0000000000000746E-2</v>
      </c>
      <c r="M14" s="42">
        <f t="shared" si="3"/>
        <v>3.9284155390659423E-3</v>
      </c>
      <c r="N14" s="43">
        <f t="shared" si="0"/>
        <v>22.144500000000185</v>
      </c>
      <c r="O14" s="44" t="s">
        <v>88</v>
      </c>
      <c r="P14" s="44" t="s">
        <v>96</v>
      </c>
      <c r="Q14" s="45" t="s">
        <v>154</v>
      </c>
    </row>
    <row r="15" spans="1:17" s="46" customFormat="1" ht="24.95" customHeight="1">
      <c r="A15" s="35">
        <v>4</v>
      </c>
      <c r="B15" s="36" t="s">
        <v>268</v>
      </c>
      <c r="C15" s="37">
        <v>392.01119999999997</v>
      </c>
      <c r="D15" s="38">
        <v>56.95</v>
      </c>
      <c r="E15" s="38">
        <v>60.31</v>
      </c>
      <c r="F15" s="38">
        <v>0</v>
      </c>
      <c r="G15" s="37">
        <v>116.67</v>
      </c>
      <c r="H15" s="39">
        <f>(E15+F15)/D15</f>
        <v>1.0589991220368744</v>
      </c>
      <c r="I15" s="37">
        <v>392.01119999999992</v>
      </c>
      <c r="J15" s="38">
        <v>3.36</v>
      </c>
      <c r="K15" s="40">
        <f t="shared" si="4"/>
        <v>5.8999122036874449E-2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88</v>
      </c>
      <c r="P15" s="44" t="s">
        <v>96</v>
      </c>
      <c r="Q15" s="45" t="s">
        <v>126</v>
      </c>
    </row>
    <row r="16" spans="1:17" s="46" customFormat="1" ht="24.95" customHeight="1">
      <c r="A16" s="47">
        <v>5</v>
      </c>
      <c r="B16" s="36" t="s">
        <v>186</v>
      </c>
      <c r="C16" s="37">
        <v>373.74870000000004</v>
      </c>
      <c r="D16" s="38">
        <v>211.68</v>
      </c>
      <c r="E16" s="38">
        <v>217.79000000000002</v>
      </c>
      <c r="F16" s="38">
        <v>0</v>
      </c>
      <c r="G16" s="37">
        <v>61.17</v>
      </c>
      <c r="H16" s="39">
        <f t="shared" si="1"/>
        <v>1.0288643235071808</v>
      </c>
      <c r="I16" s="37">
        <v>373.74870000000084</v>
      </c>
      <c r="J16" s="38">
        <v>6.11</v>
      </c>
      <c r="K16" s="40">
        <f t="shared" si="4"/>
        <v>2.8864323507180649E-2</v>
      </c>
      <c r="L16" s="41">
        <f t="shared" si="2"/>
        <v>1.3322676295501878E-14</v>
      </c>
      <c r="M16" s="42">
        <f t="shared" si="3"/>
        <v>6.2937813187367151E-17</v>
      </c>
      <c r="N16" s="43">
        <f t="shared" si="0"/>
        <v>8.1494810899584997E-13</v>
      </c>
      <c r="O16" s="44" t="s">
        <v>88</v>
      </c>
      <c r="P16" s="44" t="s">
        <v>273</v>
      </c>
      <c r="Q16" s="45" t="s">
        <v>189</v>
      </c>
    </row>
    <row r="17" spans="1:17" s="46" customFormat="1" ht="24.95" customHeight="1">
      <c r="A17" s="35">
        <v>6</v>
      </c>
      <c r="B17" s="36" t="s">
        <v>106</v>
      </c>
      <c r="C17" s="37">
        <v>320.51340000000005</v>
      </c>
      <c r="D17" s="38">
        <v>34.35</v>
      </c>
      <c r="E17" s="38">
        <v>36.200000000000003</v>
      </c>
      <c r="F17" s="38">
        <v>0</v>
      </c>
      <c r="G17" s="37">
        <v>248.46</v>
      </c>
      <c r="H17" s="39">
        <f t="shared" si="1"/>
        <v>1.0538573508005822</v>
      </c>
      <c r="I17" s="37">
        <v>459.65100000000035</v>
      </c>
      <c r="J17" s="38">
        <v>1.29</v>
      </c>
      <c r="K17" s="40">
        <f t="shared" si="4"/>
        <v>3.7554585152838431E-2</v>
      </c>
      <c r="L17" s="41">
        <f t="shared" si="2"/>
        <v>0.56000000000000139</v>
      </c>
      <c r="M17" s="42">
        <f t="shared" si="3"/>
        <v>1.6302765647743852E-2</v>
      </c>
      <c r="N17" s="43">
        <f t="shared" si="0"/>
        <v>139.13760000000036</v>
      </c>
      <c r="O17" s="44" t="s">
        <v>88</v>
      </c>
      <c r="P17" s="44" t="s">
        <v>96</v>
      </c>
      <c r="Q17" s="45" t="s">
        <v>103</v>
      </c>
    </row>
    <row r="18" spans="1:17" s="46" customFormat="1" ht="24.95" customHeight="1">
      <c r="A18" s="47">
        <v>7</v>
      </c>
      <c r="B18" s="36" t="s">
        <v>212</v>
      </c>
      <c r="C18" s="37">
        <v>312.14699999999999</v>
      </c>
      <c r="D18" s="38">
        <v>95.52</v>
      </c>
      <c r="E18" s="38">
        <v>97.52</v>
      </c>
      <c r="F18" s="38">
        <v>0</v>
      </c>
      <c r="G18" s="37">
        <v>189.18</v>
      </c>
      <c r="H18" s="39">
        <f t="shared" si="1"/>
        <v>1.0209380234505863</v>
      </c>
      <c r="I18" s="37">
        <v>378.36</v>
      </c>
      <c r="J18" s="38">
        <v>1.65</v>
      </c>
      <c r="K18" s="40">
        <f t="shared" si="4"/>
        <v>1.7273869346733667E-2</v>
      </c>
      <c r="L18" s="41">
        <f>((E18+F18)-D18)-J18</f>
        <v>0.35000000000000009</v>
      </c>
      <c r="M18" s="42">
        <f t="shared" si="3"/>
        <v>3.6641541038525973E-3</v>
      </c>
      <c r="N18" s="43">
        <f t="shared" si="0"/>
        <v>66.213000000000022</v>
      </c>
      <c r="O18" s="44" t="s">
        <v>88</v>
      </c>
      <c r="P18" s="44" t="s">
        <v>89</v>
      </c>
      <c r="Q18" s="45" t="s">
        <v>213</v>
      </c>
    </row>
    <row r="19" spans="1:17" s="46" customFormat="1" ht="24.95" customHeight="1">
      <c r="A19" s="35">
        <v>8</v>
      </c>
      <c r="B19" s="36" t="s">
        <v>104</v>
      </c>
      <c r="C19" s="37">
        <v>309.44380000000001</v>
      </c>
      <c r="D19" s="38">
        <v>49.4</v>
      </c>
      <c r="E19" s="38">
        <v>52.25</v>
      </c>
      <c r="F19" s="38">
        <v>0</v>
      </c>
      <c r="G19" s="37">
        <v>153.19</v>
      </c>
      <c r="H19" s="39">
        <f t="shared" si="1"/>
        <v>1.0576923076923077</v>
      </c>
      <c r="I19" s="37">
        <v>436.59150000000022</v>
      </c>
      <c r="J19" s="38">
        <v>2.02</v>
      </c>
      <c r="K19" s="40">
        <f t="shared" si="4"/>
        <v>4.0890688259109312E-2</v>
      </c>
      <c r="L19" s="41">
        <f t="shared" si="2"/>
        <v>0.8300000000000014</v>
      </c>
      <c r="M19" s="42">
        <f t="shared" si="3"/>
        <v>1.6801619433198408E-2</v>
      </c>
      <c r="N19" s="43">
        <f t="shared" si="0"/>
        <v>127.14770000000021</v>
      </c>
      <c r="O19" s="44" t="s">
        <v>88</v>
      </c>
      <c r="P19" s="44" t="s">
        <v>96</v>
      </c>
      <c r="Q19" s="45" t="s">
        <v>105</v>
      </c>
    </row>
    <row r="20" spans="1:17" s="46" customFormat="1" ht="24.95" customHeight="1">
      <c r="A20" s="47">
        <v>9</v>
      </c>
      <c r="B20" s="36" t="s">
        <v>109</v>
      </c>
      <c r="C20" s="37">
        <v>309.08020000000005</v>
      </c>
      <c r="D20" s="38">
        <v>55.76</v>
      </c>
      <c r="E20" s="38">
        <v>58.33</v>
      </c>
      <c r="F20" s="38">
        <v>0</v>
      </c>
      <c r="G20" s="37">
        <v>144.43</v>
      </c>
      <c r="H20" s="39">
        <f t="shared" si="1"/>
        <v>1.046090387374462</v>
      </c>
      <c r="I20" s="37">
        <v>371.18510000000003</v>
      </c>
      <c r="J20" s="38">
        <v>2.14</v>
      </c>
      <c r="K20" s="40">
        <f t="shared" si="4"/>
        <v>3.8378766140602587E-2</v>
      </c>
      <c r="L20" s="41">
        <f t="shared" si="2"/>
        <v>0.43000000000000016</v>
      </c>
      <c r="M20" s="42">
        <f t="shared" si="3"/>
        <v>7.7116212338594007E-3</v>
      </c>
      <c r="N20" s="43">
        <f t="shared" si="0"/>
        <v>62.104900000000029</v>
      </c>
      <c r="O20" s="44" t="s">
        <v>88</v>
      </c>
      <c r="P20" s="44" t="s">
        <v>89</v>
      </c>
      <c r="Q20" s="45" t="s">
        <v>110</v>
      </c>
    </row>
    <row r="21" spans="1:17" s="46" customFormat="1" ht="24.95" customHeight="1" thickBot="1">
      <c r="A21" s="48">
        <v>10</v>
      </c>
      <c r="B21" s="49" t="s">
        <v>168</v>
      </c>
      <c r="C21" s="50">
        <v>307.7</v>
      </c>
      <c r="D21" s="51">
        <v>13746</v>
      </c>
      <c r="E21" s="51">
        <v>14108</v>
      </c>
      <c r="F21" s="51">
        <v>0</v>
      </c>
      <c r="G21" s="50">
        <v>0.85</v>
      </c>
      <c r="H21" s="52">
        <f t="shared" si="1"/>
        <v>1.0263349337989234</v>
      </c>
      <c r="I21" s="50">
        <v>307.7</v>
      </c>
      <c r="J21" s="51">
        <v>362</v>
      </c>
      <c r="K21" s="53">
        <f t="shared" si="4"/>
        <v>2.6334933798923325E-2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88</v>
      </c>
      <c r="P21" s="57" t="s">
        <v>261</v>
      </c>
      <c r="Q21" s="58" t="s">
        <v>103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142</v>
      </c>
      <c r="C28" s="37">
        <v>5802.9743999999946</v>
      </c>
      <c r="D28" s="38">
        <v>262.73</v>
      </c>
      <c r="E28" s="38">
        <v>262.75</v>
      </c>
      <c r="F28" s="38">
        <v>8.74</v>
      </c>
      <c r="G28" s="37">
        <v>662.44</v>
      </c>
      <c r="H28" s="68">
        <f t="shared" ref="H28:H37" si="5">(E28+F28)/D28</f>
        <v>1.0333422144406805</v>
      </c>
      <c r="I28" s="37">
        <v>5802.9743999999946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8.7599999999999909</v>
      </c>
      <c r="N28" s="42">
        <f t="shared" ref="N28:N37" si="9">M28/D28</f>
        <v>3.3342214440680508E-2</v>
      </c>
      <c r="O28" s="44" t="s">
        <v>116</v>
      </c>
      <c r="P28" s="44" t="s">
        <v>89</v>
      </c>
      <c r="Q28" s="45" t="s">
        <v>103</v>
      </c>
    </row>
    <row r="29" spans="1:17" s="67" customFormat="1" ht="24.95" customHeight="1">
      <c r="A29" s="47">
        <v>2</v>
      </c>
      <c r="B29" s="36" t="s">
        <v>179</v>
      </c>
      <c r="C29" s="37">
        <v>5455.5612000000101</v>
      </c>
      <c r="D29" s="38">
        <v>223.79</v>
      </c>
      <c r="E29" s="38">
        <v>226.37</v>
      </c>
      <c r="F29" s="38">
        <v>10.8</v>
      </c>
      <c r="G29" s="37">
        <v>407.74</v>
      </c>
      <c r="H29" s="68">
        <f t="shared" si="5"/>
        <v>1.0597881942892893</v>
      </c>
      <c r="I29" s="37">
        <v>5455.5612000000101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13.380000000000024</v>
      </c>
      <c r="N29" s="42">
        <f t="shared" si="9"/>
        <v>5.9788194289289172E-2</v>
      </c>
      <c r="O29" s="44" t="s">
        <v>116</v>
      </c>
      <c r="P29" s="69" t="s">
        <v>225</v>
      </c>
      <c r="Q29" s="45" t="s">
        <v>180</v>
      </c>
    </row>
    <row r="30" spans="1:17" s="67" customFormat="1" ht="24.95" customHeight="1">
      <c r="A30" s="47">
        <v>3</v>
      </c>
      <c r="B30" s="36" t="s">
        <v>101</v>
      </c>
      <c r="C30" s="37">
        <v>4312.327499999983</v>
      </c>
      <c r="D30" s="38">
        <v>710.96</v>
      </c>
      <c r="E30" s="38">
        <v>714.41</v>
      </c>
      <c r="F30" s="38">
        <v>25.8</v>
      </c>
      <c r="G30" s="37">
        <v>147.43</v>
      </c>
      <c r="H30" s="68">
        <f t="shared" si="5"/>
        <v>1.0411415550804544</v>
      </c>
      <c r="I30" s="37">
        <v>4312.327499999983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29.249999999999886</v>
      </c>
      <c r="N30" s="42">
        <f t="shared" si="9"/>
        <v>4.1141555080454438E-2</v>
      </c>
      <c r="O30" s="44" t="s">
        <v>116</v>
      </c>
      <c r="P30" s="44" t="s">
        <v>47</v>
      </c>
      <c r="Q30" s="45" t="s">
        <v>103</v>
      </c>
    </row>
    <row r="31" spans="1:17" s="67" customFormat="1" ht="24.95" customHeight="1">
      <c r="A31" s="35">
        <v>4</v>
      </c>
      <c r="B31" s="36" t="s">
        <v>140</v>
      </c>
      <c r="C31" s="37">
        <v>3985.9999999999982</v>
      </c>
      <c r="D31" s="38">
        <v>156.52000000000001</v>
      </c>
      <c r="E31" s="38">
        <v>159.72999999999999</v>
      </c>
      <c r="F31" s="38">
        <v>17.27</v>
      </c>
      <c r="G31" s="37">
        <v>200</v>
      </c>
      <c r="H31" s="68">
        <f t="shared" si="5"/>
        <v>1.1308458982877587</v>
      </c>
      <c r="I31" s="37">
        <v>4095.9999999999982</v>
      </c>
      <c r="J31" s="38">
        <v>0.55000000000000004</v>
      </c>
      <c r="K31" s="40">
        <f t="shared" si="6"/>
        <v>3.5139279325325837E-3</v>
      </c>
      <c r="L31" s="43">
        <f t="shared" si="7"/>
        <v>110.00000000000001</v>
      </c>
      <c r="M31" s="41">
        <f t="shared" si="8"/>
        <v>19.929999999999989</v>
      </c>
      <c r="N31" s="42">
        <f t="shared" si="9"/>
        <v>0.12733197035522609</v>
      </c>
      <c r="O31" s="44" t="s">
        <v>116</v>
      </c>
      <c r="P31" s="44" t="s">
        <v>89</v>
      </c>
      <c r="Q31" s="45" t="s">
        <v>103</v>
      </c>
    </row>
    <row r="32" spans="1:17" s="67" customFormat="1" ht="24.95" customHeight="1">
      <c r="A32" s="47">
        <v>5</v>
      </c>
      <c r="B32" s="36" t="s">
        <v>270</v>
      </c>
      <c r="C32" s="37">
        <v>2587.8854999999949</v>
      </c>
      <c r="D32" s="38">
        <v>66.62</v>
      </c>
      <c r="E32" s="38">
        <v>69.47</v>
      </c>
      <c r="F32" s="38">
        <v>0</v>
      </c>
      <c r="G32" s="37">
        <v>908.03</v>
      </c>
      <c r="H32" s="68">
        <f t="shared" si="5"/>
        <v>1.0427799459621734</v>
      </c>
      <c r="I32" s="37">
        <v>2587.8854999999949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2.8499999999999943</v>
      </c>
      <c r="N32" s="42">
        <f t="shared" si="9"/>
        <v>4.2779945962173431E-2</v>
      </c>
      <c r="O32" s="44" t="s">
        <v>116</v>
      </c>
      <c r="P32" s="44" t="s">
        <v>89</v>
      </c>
      <c r="Q32" s="45" t="s">
        <v>263</v>
      </c>
    </row>
    <row r="33" spans="1:17" s="67" customFormat="1" ht="24.95" customHeight="1">
      <c r="A33" s="35">
        <v>6</v>
      </c>
      <c r="B33" s="36" t="s">
        <v>125</v>
      </c>
      <c r="C33" s="37">
        <v>2518.5803999999926</v>
      </c>
      <c r="D33" s="38">
        <v>125.29</v>
      </c>
      <c r="E33" s="38">
        <v>125.61</v>
      </c>
      <c r="F33" s="38">
        <v>3.74</v>
      </c>
      <c r="G33" s="37">
        <v>620.34</v>
      </c>
      <c r="H33" s="68">
        <f t="shared" si="5"/>
        <v>1.0324048208157075</v>
      </c>
      <c r="I33" s="37">
        <v>2518.5803999999926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4.0599999999999881</v>
      </c>
      <c r="N33" s="42">
        <f t="shared" si="9"/>
        <v>3.2404820815707461E-2</v>
      </c>
      <c r="O33" s="44" t="s">
        <v>116</v>
      </c>
      <c r="P33" s="44" t="s">
        <v>89</v>
      </c>
      <c r="Q33" s="45" t="s">
        <v>126</v>
      </c>
    </row>
    <row r="34" spans="1:17" s="67" customFormat="1" ht="24.95" customHeight="1">
      <c r="A34" s="47">
        <v>7</v>
      </c>
      <c r="B34" s="36" t="s">
        <v>151</v>
      </c>
      <c r="C34" s="37">
        <v>2503.2672000000007</v>
      </c>
      <c r="D34" s="38">
        <v>59.8</v>
      </c>
      <c r="E34" s="38">
        <v>59.58</v>
      </c>
      <c r="F34" s="38">
        <v>4</v>
      </c>
      <c r="G34" s="37">
        <v>662.24</v>
      </c>
      <c r="H34" s="68">
        <f t="shared" si="5"/>
        <v>1.0632107023411372</v>
      </c>
      <c r="I34" s="37">
        <v>2503.2672000000007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3.7800000000000011</v>
      </c>
      <c r="N34" s="42">
        <f t="shared" si="9"/>
        <v>6.321070234113714E-2</v>
      </c>
      <c r="O34" s="44" t="s">
        <v>116</v>
      </c>
      <c r="P34" s="44" t="s">
        <v>89</v>
      </c>
      <c r="Q34" s="45" t="s">
        <v>100</v>
      </c>
    </row>
    <row r="35" spans="1:17" s="67" customFormat="1" ht="24.95" customHeight="1">
      <c r="A35" s="35">
        <v>8</v>
      </c>
      <c r="B35" s="36" t="s">
        <v>153</v>
      </c>
      <c r="C35" s="37">
        <v>2232.6184000000012</v>
      </c>
      <c r="D35" s="38">
        <v>137.47</v>
      </c>
      <c r="E35" s="38">
        <v>137.43</v>
      </c>
      <c r="F35" s="38">
        <v>3.6</v>
      </c>
      <c r="G35" s="37">
        <v>627.14</v>
      </c>
      <c r="H35" s="68">
        <f t="shared" si="5"/>
        <v>1.0258965592492908</v>
      </c>
      <c r="I35" s="37">
        <v>2232.6184000000012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3.5600000000000023</v>
      </c>
      <c r="N35" s="42">
        <f t="shared" si="9"/>
        <v>2.5896559249290772E-2</v>
      </c>
      <c r="O35" s="44" t="s">
        <v>116</v>
      </c>
      <c r="P35" s="44" t="s">
        <v>89</v>
      </c>
      <c r="Q35" s="45" t="s">
        <v>154</v>
      </c>
    </row>
    <row r="36" spans="1:17" s="67" customFormat="1" ht="24.95" customHeight="1">
      <c r="A36" s="47">
        <v>9</v>
      </c>
      <c r="B36" s="36" t="s">
        <v>155</v>
      </c>
      <c r="C36" s="37">
        <v>2221.7043000000003</v>
      </c>
      <c r="D36" s="38">
        <v>66.58</v>
      </c>
      <c r="E36" s="38">
        <v>66.61</v>
      </c>
      <c r="F36" s="38">
        <v>3.36</v>
      </c>
      <c r="G36" s="37">
        <v>655.37</v>
      </c>
      <c r="H36" s="68">
        <f t="shared" si="5"/>
        <v>1.0509161910483629</v>
      </c>
      <c r="I36" s="37">
        <v>2221.7043000000003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3.3900000000000006</v>
      </c>
      <c r="N36" s="42">
        <f t="shared" si="9"/>
        <v>5.0916191048362883E-2</v>
      </c>
      <c r="O36" s="44" t="s">
        <v>131</v>
      </c>
      <c r="P36" s="44" t="s">
        <v>89</v>
      </c>
      <c r="Q36" s="45" t="s">
        <v>122</v>
      </c>
    </row>
    <row r="37" spans="1:17" s="67" customFormat="1" ht="24.95" customHeight="1" thickBot="1">
      <c r="A37" s="48">
        <v>10</v>
      </c>
      <c r="B37" s="49" t="s">
        <v>274</v>
      </c>
      <c r="C37" s="50">
        <v>1929.6978000000006</v>
      </c>
      <c r="D37" s="51">
        <v>43.16</v>
      </c>
      <c r="E37" s="51">
        <v>39.32</v>
      </c>
      <c r="F37" s="51">
        <v>6.3</v>
      </c>
      <c r="G37" s="50">
        <v>784.43</v>
      </c>
      <c r="H37" s="70">
        <f t="shared" si="5"/>
        <v>1.0569972196478221</v>
      </c>
      <c r="I37" s="50">
        <v>1929.6978000000006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2.4600000000000009</v>
      </c>
      <c r="N37" s="55">
        <f t="shared" si="9"/>
        <v>5.6997219647822082E-2</v>
      </c>
      <c r="O37" s="57" t="s">
        <v>131</v>
      </c>
      <c r="P37" s="57" t="s">
        <v>89</v>
      </c>
      <c r="Q37" s="58" t="s">
        <v>253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106</v>
      </c>
      <c r="C44" s="37">
        <v>320.51340000000005</v>
      </c>
      <c r="D44" s="76">
        <f t="shared" ref="D44:D53" si="10">C44/$L$5</f>
        <v>0.11743362456387416</v>
      </c>
      <c r="E44" s="77"/>
    </row>
    <row r="45" spans="1:17" s="78" customFormat="1" ht="24.95" customHeight="1">
      <c r="A45" s="79">
        <v>2</v>
      </c>
      <c r="B45" s="36" t="s">
        <v>168</v>
      </c>
      <c r="C45" s="37">
        <v>307.7</v>
      </c>
      <c r="D45" s="76">
        <f t="shared" si="10"/>
        <v>0.11273889415638806</v>
      </c>
      <c r="E45" s="77"/>
    </row>
    <row r="46" spans="1:17" s="78" customFormat="1" ht="24.95" customHeight="1">
      <c r="A46" s="79">
        <v>3</v>
      </c>
      <c r="B46" s="36" t="s">
        <v>137</v>
      </c>
      <c r="C46" s="37">
        <v>301.35000000000002</v>
      </c>
      <c r="D46" s="76">
        <f t="shared" si="10"/>
        <v>0.1104123033930047</v>
      </c>
      <c r="E46" s="77"/>
    </row>
    <row r="47" spans="1:17" s="78" customFormat="1" ht="24.95" customHeight="1">
      <c r="A47" s="75">
        <v>4</v>
      </c>
      <c r="B47" s="36" t="s">
        <v>138</v>
      </c>
      <c r="C47" s="37">
        <v>284.31</v>
      </c>
      <c r="D47" s="76">
        <f t="shared" si="10"/>
        <v>0.10416897951772081</v>
      </c>
      <c r="E47" s="77"/>
    </row>
    <row r="48" spans="1:17" s="78" customFormat="1" ht="24.95" customHeight="1">
      <c r="A48" s="79">
        <v>5</v>
      </c>
      <c r="B48" s="36" t="s">
        <v>143</v>
      </c>
      <c r="C48" s="37">
        <v>187.04519999999997</v>
      </c>
      <c r="D48" s="76">
        <f t="shared" si="10"/>
        <v>6.853191096932218E-2</v>
      </c>
      <c r="E48" s="77"/>
    </row>
    <row r="49" spans="1:5" s="78" customFormat="1" ht="24.95" customHeight="1">
      <c r="A49" s="75">
        <v>6</v>
      </c>
      <c r="B49" s="36" t="s">
        <v>139</v>
      </c>
      <c r="C49" s="37">
        <v>185.36799999999999</v>
      </c>
      <c r="D49" s="76">
        <f t="shared" si="10"/>
        <v>6.791739789399201E-2</v>
      </c>
      <c r="E49" s="77"/>
    </row>
    <row r="50" spans="1:5" s="78" customFormat="1" ht="24.95" customHeight="1">
      <c r="A50" s="79">
        <v>7</v>
      </c>
      <c r="B50" s="36" t="s">
        <v>134</v>
      </c>
      <c r="C50" s="37">
        <v>165.76350000000002</v>
      </c>
      <c r="D50" s="76">
        <f t="shared" si="10"/>
        <v>6.0734461103322833E-2</v>
      </c>
      <c r="E50" s="77"/>
    </row>
    <row r="51" spans="1:5" s="78" customFormat="1" ht="24.95" customHeight="1">
      <c r="A51" s="75">
        <v>8</v>
      </c>
      <c r="B51" s="36" t="s">
        <v>141</v>
      </c>
      <c r="C51" s="37">
        <v>164.75</v>
      </c>
      <c r="D51" s="76">
        <f t="shared" si="10"/>
        <v>6.0363122561796989E-2</v>
      </c>
      <c r="E51" s="77"/>
    </row>
    <row r="52" spans="1:5" s="78" customFormat="1" ht="24.95" customHeight="1">
      <c r="A52" s="79">
        <v>9</v>
      </c>
      <c r="B52" s="36" t="s">
        <v>159</v>
      </c>
      <c r="C52" s="37">
        <v>162.21</v>
      </c>
      <c r="D52" s="76">
        <f t="shared" si="10"/>
        <v>5.9432486256443644E-2</v>
      </c>
      <c r="E52" s="77"/>
    </row>
    <row r="53" spans="1:5" s="78" customFormat="1" ht="24.95" customHeight="1" thickBot="1">
      <c r="A53" s="80">
        <v>10</v>
      </c>
      <c r="B53" s="49" t="s">
        <v>234</v>
      </c>
      <c r="C53" s="50">
        <v>126.91249999999999</v>
      </c>
      <c r="D53" s="81">
        <f t="shared" si="10"/>
        <v>4.6499755946124793E-2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69" priority="34" operator="containsText" text="中華">
      <formula>NOT(ISERROR(SEARCH("中華",A12)))</formula>
    </cfRule>
    <cfRule type="containsText" dxfId="168" priority="33" operator="containsText" text="湯凍">
      <formula>NOT(ISERROR(SEARCH("湯凍",A12)))</formula>
    </cfRule>
    <cfRule type="containsText" dxfId="167" priority="32" operator="containsText" text=")川燙小青花菜">
      <formula>NOT(ISERROR(SEARCH(")川燙小青花菜",A12)))</formula>
    </cfRule>
    <cfRule type="containsText" dxfId="166" priority="31" operator="containsText" text="青蔥">
      <formula>NOT(ISERROR(SEARCH("青蔥",A12)))</formula>
    </cfRule>
    <cfRule type="containsText" dxfId="165" priority="30" operator="containsText" text="白醬">
      <formula>NOT(ISERROR(SEARCH("白醬",A12)))</formula>
    </cfRule>
    <cfRule type="containsText" dxfId="164" priority="29" operator="containsText" text="024">
      <formula>NOT(ISERROR(SEARCH("024",A12)))</formula>
    </cfRule>
    <cfRule type="containsText" dxfId="163" priority="28" operator="containsText" text="煮白細麵生(方#12)">
      <formula>NOT(ISERROR(SEARCH("煮白細麵生(方#12)",A12)))</formula>
    </cfRule>
    <cfRule type="containsText" dxfId="162" priority="27" operator="containsText" text="綠豆芽">
      <formula>NOT(ISERROR(SEARCH("綠豆芽",A12)))</formula>
    </cfRule>
  </conditionalFormatting>
  <conditionalFormatting sqref="A28:A37">
    <cfRule type="containsText" dxfId="161" priority="5" operator="containsText" text="綠豆芽">
      <formula>NOT(ISERROR(SEARCH("綠豆芽",A28)))</formula>
    </cfRule>
    <cfRule type="containsText" dxfId="160" priority="6" operator="containsText" text="煮白細麵生(方#12)">
      <formula>NOT(ISERROR(SEARCH("煮白細麵生(方#12)",A28)))</formula>
    </cfRule>
    <cfRule type="containsText" dxfId="159" priority="7" operator="containsText" text="024">
      <formula>NOT(ISERROR(SEARCH("024",A28)))</formula>
    </cfRule>
    <cfRule type="containsText" dxfId="158" priority="8" operator="containsText" text="白醬">
      <formula>NOT(ISERROR(SEARCH("白醬",A28)))</formula>
    </cfRule>
    <cfRule type="containsText" dxfId="157" priority="9" operator="containsText" text="青蔥">
      <formula>NOT(ISERROR(SEARCH("青蔥",A28)))</formula>
    </cfRule>
    <cfRule type="containsText" dxfId="156" priority="10" operator="containsText" text=")川燙小青花菜">
      <formula>NOT(ISERROR(SEARCH(")川燙小青花菜",A28)))</formula>
    </cfRule>
    <cfRule type="containsText" dxfId="155" priority="11" operator="containsText" text="湯凍">
      <formula>NOT(ISERROR(SEARCH("湯凍",A28)))</formula>
    </cfRule>
    <cfRule type="containsText" dxfId="154" priority="12" operator="containsText" text="中華">
      <formula>NOT(ISERROR(SEARCH("中華",A28)))</formula>
    </cfRule>
  </conditionalFormatting>
  <conditionalFormatting sqref="A44:A53">
    <cfRule type="containsText" dxfId="153" priority="17" operator="containsText" text="綠豆芽">
      <formula>NOT(ISERROR(SEARCH("綠豆芽",A44)))</formula>
    </cfRule>
    <cfRule type="containsText" dxfId="152" priority="18" operator="containsText" text="煮白細麵生(方#12)">
      <formula>NOT(ISERROR(SEARCH("煮白細麵生(方#12)",A44)))</formula>
    </cfRule>
    <cfRule type="containsText" dxfId="151" priority="19" operator="containsText" text="024">
      <formula>NOT(ISERROR(SEARCH("024",A44)))</formula>
    </cfRule>
    <cfRule type="containsText" dxfId="150" priority="20" operator="containsText" text="白醬">
      <formula>NOT(ISERROR(SEARCH("白醬",A44)))</formula>
    </cfRule>
    <cfRule type="containsText" dxfId="149" priority="21" operator="containsText" text="青蔥">
      <formula>NOT(ISERROR(SEARCH("青蔥",A44)))</formula>
    </cfRule>
    <cfRule type="containsText" dxfId="148" priority="22" operator="containsText" text=")川燙小青花菜">
      <formula>NOT(ISERROR(SEARCH(")川燙小青花菜",A44)))</formula>
    </cfRule>
    <cfRule type="containsText" dxfId="147" priority="23" operator="containsText" text="湯凍">
      <formula>NOT(ISERROR(SEARCH("湯凍",A44)))</formula>
    </cfRule>
    <cfRule type="containsText" dxfId="146" priority="24" operator="containsText" text="中華">
      <formula>NOT(ISERROR(SEARCH("中華",A44)))</formula>
    </cfRule>
  </conditionalFormatting>
  <conditionalFormatting sqref="D44:D53">
    <cfRule type="cellIs" dxfId="145" priority="16" operator="greaterThan">
      <formula>0.146</formula>
    </cfRule>
  </conditionalFormatting>
  <conditionalFormatting sqref="E5">
    <cfRule type="cellIs" dxfId="144" priority="25" operator="greaterThan">
      <formula>0.072</formula>
    </cfRule>
    <cfRule type="cellIs" dxfId="143" priority="26" operator="greaterThan">
      <formula>7.2</formula>
    </cfRule>
    <cfRule type="cellIs" dxfId="142" priority="14" operator="greaterThan">
      <formula>0.0025</formula>
    </cfRule>
  </conditionalFormatting>
  <conditionalFormatting sqref="G5">
    <cfRule type="cellIs" dxfId="141" priority="3" operator="greaterThan">
      <formula>7.2</formula>
    </cfRule>
    <cfRule type="cellIs" dxfId="140" priority="2" operator="greaterThan">
      <formula>0.072</formula>
    </cfRule>
    <cfRule type="cellIs" dxfId="139" priority="1" operator="greaterThan">
      <formula>0.0025</formula>
    </cfRule>
  </conditionalFormatting>
  <conditionalFormatting sqref="H12:H22">
    <cfRule type="cellIs" dxfId="138" priority="15" operator="greaterThan">
      <formula>1.1</formula>
    </cfRule>
  </conditionalFormatting>
  <conditionalFormatting sqref="H28:H37">
    <cfRule type="cellIs" dxfId="137" priority="4" operator="greaterThan">
      <formula>1.1</formula>
    </cfRule>
  </conditionalFormatting>
  <conditionalFormatting sqref="I5">
    <cfRule type="cellIs" dxfId="13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D393-1C05-4E88-A52A-DDE1005601EA}">
  <sheetPr>
    <tabColor rgb="FFFF0000"/>
    <pageSetUpPr fitToPage="1"/>
  </sheetPr>
  <dimension ref="A1:Q56"/>
  <sheetViews>
    <sheetView zoomScale="70" zoomScaleNormal="70" workbookViewId="0">
      <selection activeCell="L5" sqref="L5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45873</v>
      </c>
      <c r="B3" s="150"/>
      <c r="C3" s="151">
        <v>7902480.4100000001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19143</v>
      </c>
      <c r="E5" s="25">
        <f>D5/C3</f>
        <v>2.4224039803725371E-3</v>
      </c>
      <c r="F5" s="24">
        <v>67519</v>
      </c>
      <c r="G5" s="26">
        <f>F5/C3</f>
        <v>8.5440262420087409E-3</v>
      </c>
      <c r="H5" s="27">
        <f>SUM(C12:C21)</f>
        <v>4995.8101999999999</v>
      </c>
      <c r="I5" s="28">
        <f>H5/D5</f>
        <v>0.26097321214020791</v>
      </c>
      <c r="J5" s="27">
        <f>SUM(C28:C37)</f>
        <v>19331.029599999987</v>
      </c>
      <c r="K5" s="29">
        <f>J5/F5</f>
        <v>0.28630503413853858</v>
      </c>
      <c r="L5" s="30">
        <v>2641</v>
      </c>
      <c r="M5" s="31">
        <f>L5/D5</f>
        <v>0.13796165700255969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91</v>
      </c>
      <c r="C12" s="37">
        <v>927</v>
      </c>
      <c r="D12" s="38">
        <v>4149</v>
      </c>
      <c r="E12" s="38">
        <v>4209</v>
      </c>
      <c r="F12" s="38">
        <v>0</v>
      </c>
      <c r="G12" s="37">
        <v>15.45</v>
      </c>
      <c r="H12" s="39">
        <f>(E12+F12)/D12</f>
        <v>1.0144613159797542</v>
      </c>
      <c r="I12" s="37">
        <v>927</v>
      </c>
      <c r="J12" s="38">
        <v>60</v>
      </c>
      <c r="K12" s="40">
        <f>J12/D12</f>
        <v>1.4461315979754157E-2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223</v>
      </c>
      <c r="Q12" s="45" t="s">
        <v>94</v>
      </c>
    </row>
    <row r="13" spans="1:17" s="46" customFormat="1" ht="24.95" customHeight="1">
      <c r="A13" s="47">
        <v>2</v>
      </c>
      <c r="B13" s="36" t="s">
        <v>98</v>
      </c>
      <c r="C13" s="37">
        <v>884.85</v>
      </c>
      <c r="D13" s="38">
        <v>8685</v>
      </c>
      <c r="E13" s="38">
        <v>8770</v>
      </c>
      <c r="F13" s="38">
        <v>0</v>
      </c>
      <c r="G13" s="37">
        <v>10.41</v>
      </c>
      <c r="H13" s="39">
        <f t="shared" ref="H13:H21" si="1">(E13+F13)/D13</f>
        <v>1.0097869890616005</v>
      </c>
      <c r="I13" s="37">
        <v>884.85</v>
      </c>
      <c r="J13" s="38">
        <v>85</v>
      </c>
      <c r="K13" s="40">
        <f>J13/D13</f>
        <v>9.7869890616004603E-3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223</v>
      </c>
      <c r="Q13" s="45" t="s">
        <v>100</v>
      </c>
    </row>
    <row r="14" spans="1:17" s="46" customFormat="1" ht="24.95" customHeight="1">
      <c r="A14" s="47">
        <v>3</v>
      </c>
      <c r="B14" s="36" t="s">
        <v>168</v>
      </c>
      <c r="C14" s="37">
        <v>510</v>
      </c>
      <c r="D14" s="38">
        <v>14772</v>
      </c>
      <c r="E14" s="38">
        <v>15520</v>
      </c>
      <c r="F14" s="38">
        <v>0</v>
      </c>
      <c r="G14" s="37">
        <v>0.85</v>
      </c>
      <c r="H14" s="39">
        <f>(E14+F14)/D14</f>
        <v>1.0506363390197671</v>
      </c>
      <c r="I14" s="37">
        <v>635.79999999999995</v>
      </c>
      <c r="J14" s="38">
        <v>600</v>
      </c>
      <c r="K14" s="40">
        <f t="shared" ref="K14:K21" si="4">J14/D14</f>
        <v>4.0617384240454912E-2</v>
      </c>
      <c r="L14" s="41">
        <f t="shared" si="2"/>
        <v>148</v>
      </c>
      <c r="M14" s="42">
        <f t="shared" si="3"/>
        <v>1.0018954779312212E-2</v>
      </c>
      <c r="N14" s="43">
        <f t="shared" si="0"/>
        <v>125.8</v>
      </c>
      <c r="O14" s="44" t="s">
        <v>88</v>
      </c>
      <c r="P14" s="44" t="s">
        <v>223</v>
      </c>
      <c r="Q14" s="45" t="s">
        <v>103</v>
      </c>
    </row>
    <row r="15" spans="1:17" s="46" customFormat="1" ht="24.95" customHeight="1">
      <c r="A15" s="35">
        <v>4</v>
      </c>
      <c r="B15" s="36" t="s">
        <v>107</v>
      </c>
      <c r="C15" s="37">
        <v>422.18999999999994</v>
      </c>
      <c r="D15" s="38">
        <v>21.18</v>
      </c>
      <c r="E15" s="38">
        <v>24.51</v>
      </c>
      <c r="F15" s="38">
        <v>0</v>
      </c>
      <c r="G15" s="37">
        <v>140.72999999999999</v>
      </c>
      <c r="H15" s="39">
        <f>(E15+F15)/D15</f>
        <v>1.1572237960339944</v>
      </c>
      <c r="I15" s="37">
        <v>468.63090000000022</v>
      </c>
      <c r="J15" s="38">
        <v>3</v>
      </c>
      <c r="K15" s="40">
        <f t="shared" si="4"/>
        <v>0.14164305949008499</v>
      </c>
      <c r="L15" s="41">
        <f t="shared" si="2"/>
        <v>0.33000000000000185</v>
      </c>
      <c r="M15" s="42">
        <f t="shared" si="3"/>
        <v>1.5580736543909436E-2</v>
      </c>
      <c r="N15" s="43">
        <f t="shared" si="0"/>
        <v>46.440900000000255</v>
      </c>
      <c r="O15" s="44" t="s">
        <v>88</v>
      </c>
      <c r="P15" s="44" t="s">
        <v>275</v>
      </c>
      <c r="Q15" s="45" t="s">
        <v>108</v>
      </c>
    </row>
    <row r="16" spans="1:17" s="46" customFormat="1" ht="24.95" customHeight="1">
      <c r="A16" s="47">
        <v>5</v>
      </c>
      <c r="B16" s="36" t="s">
        <v>150</v>
      </c>
      <c r="C16" s="37">
        <v>385.3424</v>
      </c>
      <c r="D16" s="38">
        <v>116.62</v>
      </c>
      <c r="E16" s="38">
        <v>120.87</v>
      </c>
      <c r="F16" s="38">
        <v>0</v>
      </c>
      <c r="G16" s="37">
        <v>141.66999999999999</v>
      </c>
      <c r="H16" s="39">
        <f t="shared" si="1"/>
        <v>1.0364431486880465</v>
      </c>
      <c r="I16" s="37">
        <v>602.09749999999997</v>
      </c>
      <c r="J16" s="38">
        <v>2.72</v>
      </c>
      <c r="K16" s="40">
        <f t="shared" si="4"/>
        <v>2.3323615160349854E-2</v>
      </c>
      <c r="L16" s="41">
        <f t="shared" si="2"/>
        <v>1.5299999999999998</v>
      </c>
      <c r="M16" s="42">
        <f t="shared" si="3"/>
        <v>1.311953352769679E-2</v>
      </c>
      <c r="N16" s="43">
        <f t="shared" si="0"/>
        <v>216.75509999999994</v>
      </c>
      <c r="O16" s="44" t="s">
        <v>88</v>
      </c>
      <c r="P16" s="44" t="s">
        <v>275</v>
      </c>
      <c r="Q16" s="45" t="s">
        <v>133</v>
      </c>
    </row>
    <row r="17" spans="1:17" s="46" customFormat="1" ht="24.95" customHeight="1">
      <c r="A17" s="35">
        <v>6</v>
      </c>
      <c r="B17" s="36" t="s">
        <v>111</v>
      </c>
      <c r="C17" s="37">
        <v>377.28000000000003</v>
      </c>
      <c r="D17" s="38">
        <v>129.19999999999999</v>
      </c>
      <c r="E17" s="38">
        <v>134.47</v>
      </c>
      <c r="F17" s="38">
        <v>0</v>
      </c>
      <c r="G17" s="37">
        <v>96</v>
      </c>
      <c r="H17" s="39">
        <f t="shared" si="1"/>
        <v>1.0407894736842107</v>
      </c>
      <c r="I17" s="37">
        <v>505.92000000000098</v>
      </c>
      <c r="J17" s="38">
        <v>3.93</v>
      </c>
      <c r="K17" s="40">
        <f t="shared" si="4"/>
        <v>3.0417956656346754E-2</v>
      </c>
      <c r="L17" s="41">
        <f t="shared" si="2"/>
        <v>1.3400000000000101</v>
      </c>
      <c r="M17" s="42">
        <f t="shared" si="3"/>
        <v>1.0371517027863856E-2</v>
      </c>
      <c r="N17" s="43">
        <f t="shared" si="0"/>
        <v>128.64000000000095</v>
      </c>
      <c r="O17" s="44" t="s">
        <v>88</v>
      </c>
      <c r="P17" s="44" t="s">
        <v>199</v>
      </c>
      <c r="Q17" s="45" t="s">
        <v>113</v>
      </c>
    </row>
    <row r="18" spans="1:17" s="46" customFormat="1" ht="24.95" customHeight="1">
      <c r="A18" s="47">
        <v>7</v>
      </c>
      <c r="B18" s="36" t="s">
        <v>161</v>
      </c>
      <c r="C18" s="37">
        <v>376.48249999999996</v>
      </c>
      <c r="D18" s="38">
        <v>52.75</v>
      </c>
      <c r="E18" s="38">
        <v>54.8</v>
      </c>
      <c r="F18" s="38">
        <v>0</v>
      </c>
      <c r="G18" s="37">
        <v>183.65</v>
      </c>
      <c r="H18" s="39">
        <f t="shared" si="1"/>
        <v>1.038862559241706</v>
      </c>
      <c r="I18" s="37">
        <v>376.4824999999995</v>
      </c>
      <c r="J18" s="38">
        <v>2.0499999999999998</v>
      </c>
      <c r="K18" s="40">
        <f t="shared" si="4"/>
        <v>3.886255924170616E-2</v>
      </c>
      <c r="L18" s="41">
        <f>((E18+F18)-D18)-J18</f>
        <v>0</v>
      </c>
      <c r="M18" s="42">
        <f t="shared" si="3"/>
        <v>0</v>
      </c>
      <c r="N18" s="43">
        <f t="shared" si="0"/>
        <v>0</v>
      </c>
      <c r="O18" s="44" t="s">
        <v>88</v>
      </c>
      <c r="P18" s="44" t="s">
        <v>275</v>
      </c>
      <c r="Q18" s="45" t="s">
        <v>162</v>
      </c>
    </row>
    <row r="19" spans="1:17" s="46" customFormat="1" ht="24.95" customHeight="1">
      <c r="A19" s="35">
        <v>8</v>
      </c>
      <c r="B19" s="36" t="s">
        <v>190</v>
      </c>
      <c r="C19" s="37">
        <v>371.34999999999997</v>
      </c>
      <c r="D19" s="38">
        <v>1492</v>
      </c>
      <c r="E19" s="38">
        <v>1527</v>
      </c>
      <c r="F19" s="38">
        <v>0</v>
      </c>
      <c r="G19" s="37">
        <v>10.61</v>
      </c>
      <c r="H19" s="39">
        <f t="shared" si="1"/>
        <v>1.0234584450402144</v>
      </c>
      <c r="I19" s="37">
        <v>371.34999999999997</v>
      </c>
      <c r="J19" s="38">
        <v>35</v>
      </c>
      <c r="K19" s="40">
        <f t="shared" si="4"/>
        <v>2.3458445040214475E-2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88</v>
      </c>
      <c r="P19" s="44" t="s">
        <v>223</v>
      </c>
      <c r="Q19" s="45" t="s">
        <v>189</v>
      </c>
    </row>
    <row r="20" spans="1:17" s="46" customFormat="1" ht="24.95" customHeight="1">
      <c r="A20" s="47">
        <v>9</v>
      </c>
      <c r="B20" s="36" t="s">
        <v>148</v>
      </c>
      <c r="C20" s="37">
        <v>371.23680000000002</v>
      </c>
      <c r="D20" s="38">
        <v>49.82</v>
      </c>
      <c r="E20" s="38">
        <v>52.08</v>
      </c>
      <c r="F20" s="38">
        <v>0</v>
      </c>
      <c r="G20" s="37">
        <v>208.56</v>
      </c>
      <c r="H20" s="39">
        <f t="shared" si="1"/>
        <v>1.0453633079084705</v>
      </c>
      <c r="I20" s="37">
        <v>471.34559999999959</v>
      </c>
      <c r="J20" s="38">
        <v>1.78</v>
      </c>
      <c r="K20" s="40">
        <f t="shared" si="4"/>
        <v>3.5728623042954634E-2</v>
      </c>
      <c r="L20" s="41">
        <f t="shared" si="2"/>
        <v>0.47999999999999798</v>
      </c>
      <c r="M20" s="42">
        <f t="shared" si="3"/>
        <v>9.6346848655158163E-3</v>
      </c>
      <c r="N20" s="43">
        <f t="shared" si="0"/>
        <v>100.10879999999958</v>
      </c>
      <c r="O20" s="44" t="s">
        <v>88</v>
      </c>
      <c r="P20" s="44" t="s">
        <v>275</v>
      </c>
      <c r="Q20" s="45" t="s">
        <v>149</v>
      </c>
    </row>
    <row r="21" spans="1:17" s="46" customFormat="1" ht="24.95" customHeight="1" thickBot="1">
      <c r="A21" s="48">
        <v>10</v>
      </c>
      <c r="B21" s="49" t="s">
        <v>186</v>
      </c>
      <c r="C21" s="50">
        <v>370.07850000000002</v>
      </c>
      <c r="D21" s="51">
        <v>208.88</v>
      </c>
      <c r="E21" s="51">
        <v>219.15</v>
      </c>
      <c r="F21" s="51">
        <v>0</v>
      </c>
      <c r="G21" s="50">
        <v>61.17</v>
      </c>
      <c r="H21" s="52">
        <f t="shared" si="1"/>
        <v>1.0491669858291843</v>
      </c>
      <c r="I21" s="50">
        <v>628.2159000000006</v>
      </c>
      <c r="J21" s="51">
        <v>6.05</v>
      </c>
      <c r="K21" s="53">
        <f t="shared" si="4"/>
        <v>2.8963998468019916E-2</v>
      </c>
      <c r="L21" s="54">
        <f t="shared" si="2"/>
        <v>4.2200000000000104</v>
      </c>
      <c r="M21" s="55">
        <f t="shared" si="3"/>
        <v>2.0202987361164354E-2</v>
      </c>
      <c r="N21" s="56">
        <f t="shared" si="0"/>
        <v>258.13740000000064</v>
      </c>
      <c r="O21" s="57" t="s">
        <v>88</v>
      </c>
      <c r="P21" s="57" t="s">
        <v>276</v>
      </c>
      <c r="Q21" s="58" t="s">
        <v>189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117</v>
      </c>
      <c r="C28" s="37">
        <v>3844.4769000000024</v>
      </c>
      <c r="D28" s="38">
        <v>118.27</v>
      </c>
      <c r="E28" s="38">
        <v>127.28</v>
      </c>
      <c r="F28" s="38">
        <v>0</v>
      </c>
      <c r="G28" s="37">
        <v>426.69</v>
      </c>
      <c r="H28" s="68">
        <f t="shared" ref="H28:H37" si="5">(E28+F28)/D28</f>
        <v>1.0761816183309378</v>
      </c>
      <c r="I28" s="37">
        <v>3844.4769000000024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9.0100000000000051</v>
      </c>
      <c r="N28" s="42">
        <f t="shared" ref="N28:N37" si="9">M28/D28</f>
        <v>7.6181618330937728E-2</v>
      </c>
      <c r="O28" s="44" t="s">
        <v>116</v>
      </c>
      <c r="P28" s="69" t="s">
        <v>277</v>
      </c>
      <c r="Q28" s="45" t="s">
        <v>97</v>
      </c>
    </row>
    <row r="29" spans="1:17" s="67" customFormat="1" ht="24.95" customHeight="1">
      <c r="A29" s="47">
        <v>2</v>
      </c>
      <c r="B29" s="36" t="s">
        <v>101</v>
      </c>
      <c r="C29" s="37">
        <v>2581.4992999999986</v>
      </c>
      <c r="D29" s="38">
        <v>696.85</v>
      </c>
      <c r="E29" s="38">
        <v>691.22</v>
      </c>
      <c r="F29" s="38">
        <v>23.14</v>
      </c>
      <c r="G29" s="37">
        <v>147.43</v>
      </c>
      <c r="H29" s="68">
        <f t="shared" si="5"/>
        <v>1.0251273588290162</v>
      </c>
      <c r="I29" s="37">
        <v>2581.4992999999986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17.509999999999991</v>
      </c>
      <c r="N29" s="42">
        <f t="shared" si="9"/>
        <v>2.5127358829016275E-2</v>
      </c>
      <c r="O29" s="44" t="s">
        <v>116</v>
      </c>
      <c r="P29" s="44" t="s">
        <v>224</v>
      </c>
      <c r="Q29" s="45" t="s">
        <v>103</v>
      </c>
    </row>
    <row r="30" spans="1:17" s="67" customFormat="1" ht="24.95" customHeight="1">
      <c r="A30" s="47">
        <v>3</v>
      </c>
      <c r="B30" s="36" t="s">
        <v>140</v>
      </c>
      <c r="C30" s="37">
        <v>2088.0000000000023</v>
      </c>
      <c r="D30" s="38">
        <v>148.69999999999999</v>
      </c>
      <c r="E30" s="38">
        <v>152.5</v>
      </c>
      <c r="F30" s="38">
        <v>7.5</v>
      </c>
      <c r="G30" s="37">
        <v>200</v>
      </c>
      <c r="H30" s="68">
        <f t="shared" si="5"/>
        <v>1.0759919300605247</v>
      </c>
      <c r="I30" s="37">
        <v>2260.0000000000023</v>
      </c>
      <c r="J30" s="38">
        <v>0.86</v>
      </c>
      <c r="K30" s="40">
        <f t="shared" si="6"/>
        <v>5.7834566240753194E-3</v>
      </c>
      <c r="L30" s="43">
        <f t="shared" si="7"/>
        <v>172</v>
      </c>
      <c r="M30" s="41">
        <f t="shared" si="8"/>
        <v>10.440000000000012</v>
      </c>
      <c r="N30" s="42">
        <f t="shared" si="9"/>
        <v>7.0208473436449315E-2</v>
      </c>
      <c r="O30" s="44" t="s">
        <v>116</v>
      </c>
      <c r="P30" s="69" t="s">
        <v>277</v>
      </c>
      <c r="Q30" s="45" t="s">
        <v>103</v>
      </c>
    </row>
    <row r="31" spans="1:17" s="67" customFormat="1" ht="24.95" customHeight="1">
      <c r="A31" s="35">
        <v>4</v>
      </c>
      <c r="B31" s="36" t="s">
        <v>129</v>
      </c>
      <c r="C31" s="37">
        <v>2086.8821999999827</v>
      </c>
      <c r="D31" s="38">
        <v>5491.11</v>
      </c>
      <c r="E31" s="38">
        <v>5471.19</v>
      </c>
      <c r="F31" s="38">
        <v>72.900000000000006</v>
      </c>
      <c r="G31" s="37">
        <v>39.39</v>
      </c>
      <c r="H31" s="68">
        <f t="shared" si="5"/>
        <v>1.0096483224703201</v>
      </c>
      <c r="I31" s="37">
        <v>2086.8821999999827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52.979999999999563</v>
      </c>
      <c r="N31" s="42">
        <f t="shared" si="9"/>
        <v>9.6483224703201292E-3</v>
      </c>
      <c r="O31" s="44" t="s">
        <v>116</v>
      </c>
      <c r="P31" s="69" t="s">
        <v>225</v>
      </c>
      <c r="Q31" s="45" t="s">
        <v>103</v>
      </c>
    </row>
    <row r="32" spans="1:17" s="67" customFormat="1" ht="24.95" customHeight="1">
      <c r="A32" s="47">
        <v>5</v>
      </c>
      <c r="B32" s="36" t="s">
        <v>278</v>
      </c>
      <c r="C32" s="37">
        <v>1680</v>
      </c>
      <c r="D32" s="38">
        <v>5.36</v>
      </c>
      <c r="E32" s="38">
        <v>6.36</v>
      </c>
      <c r="F32" s="38">
        <v>0</v>
      </c>
      <c r="G32" s="37">
        <v>1680</v>
      </c>
      <c r="H32" s="68">
        <f t="shared" si="5"/>
        <v>1.1865671641791045</v>
      </c>
      <c r="I32" s="37">
        <v>1680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1</v>
      </c>
      <c r="N32" s="42">
        <f t="shared" si="9"/>
        <v>0.18656716417910446</v>
      </c>
      <c r="O32" s="44" t="s">
        <v>116</v>
      </c>
      <c r="P32" s="69" t="s">
        <v>277</v>
      </c>
      <c r="Q32" s="45" t="s">
        <v>103</v>
      </c>
    </row>
    <row r="33" spans="1:17" s="67" customFormat="1" ht="24.95" customHeight="1">
      <c r="A33" s="35">
        <v>6</v>
      </c>
      <c r="B33" s="36" t="s">
        <v>167</v>
      </c>
      <c r="C33" s="37">
        <v>1583.6022000000016</v>
      </c>
      <c r="D33" s="38">
        <v>21.33</v>
      </c>
      <c r="E33" s="38">
        <v>21.37</v>
      </c>
      <c r="F33" s="38">
        <v>1.95</v>
      </c>
      <c r="G33" s="37">
        <v>795.78</v>
      </c>
      <c r="H33" s="68">
        <f t="shared" si="5"/>
        <v>1.0932958274730427</v>
      </c>
      <c r="I33" s="37">
        <v>1583.6022000000016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1.990000000000002</v>
      </c>
      <c r="N33" s="42">
        <f t="shared" si="9"/>
        <v>9.3295827473042769E-2</v>
      </c>
      <c r="O33" s="44" t="s">
        <v>116</v>
      </c>
      <c r="P33" s="69" t="s">
        <v>277</v>
      </c>
      <c r="Q33" s="45" t="s">
        <v>147</v>
      </c>
    </row>
    <row r="34" spans="1:17" s="67" customFormat="1" ht="24.95" customHeight="1">
      <c r="A34" s="47">
        <v>7</v>
      </c>
      <c r="B34" s="36" t="s">
        <v>279</v>
      </c>
      <c r="C34" s="37">
        <v>1506.7151000000013</v>
      </c>
      <c r="D34" s="38">
        <v>42.58</v>
      </c>
      <c r="E34" s="38">
        <v>42.35</v>
      </c>
      <c r="F34" s="38">
        <v>4.32</v>
      </c>
      <c r="G34" s="37">
        <v>368.39</v>
      </c>
      <c r="H34" s="68">
        <f t="shared" si="5"/>
        <v>1.0960544856740255</v>
      </c>
      <c r="I34" s="37">
        <v>1506.7151000000013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4.0900000000000034</v>
      </c>
      <c r="N34" s="42">
        <f t="shared" si="9"/>
        <v>9.6054485674025442E-2</v>
      </c>
      <c r="O34" s="44" t="s">
        <v>116</v>
      </c>
      <c r="P34" s="69" t="s">
        <v>277</v>
      </c>
      <c r="Q34" s="45" t="s">
        <v>280</v>
      </c>
    </row>
    <row r="35" spans="1:17" s="67" customFormat="1" ht="24.95" customHeight="1">
      <c r="A35" s="35">
        <v>8</v>
      </c>
      <c r="B35" s="36" t="s">
        <v>256</v>
      </c>
      <c r="C35" s="37">
        <v>1490.400000000001</v>
      </c>
      <c r="D35" s="38">
        <v>11.19</v>
      </c>
      <c r="E35" s="38">
        <v>12</v>
      </c>
      <c r="F35" s="38">
        <v>0</v>
      </c>
      <c r="G35" s="37">
        <v>1840</v>
      </c>
      <c r="H35" s="68">
        <f t="shared" si="5"/>
        <v>1.0723860589812333</v>
      </c>
      <c r="I35" s="37">
        <v>1490.400000000001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0.8100000000000005</v>
      </c>
      <c r="N35" s="42">
        <f t="shared" si="9"/>
        <v>7.2386058981233292E-2</v>
      </c>
      <c r="O35" s="44" t="s">
        <v>116</v>
      </c>
      <c r="P35" s="69" t="s">
        <v>277</v>
      </c>
      <c r="Q35" s="45" t="s">
        <v>257</v>
      </c>
    </row>
    <row r="36" spans="1:17" s="67" customFormat="1" ht="24.95" customHeight="1">
      <c r="A36" s="47">
        <v>9</v>
      </c>
      <c r="B36" s="36" t="s">
        <v>155</v>
      </c>
      <c r="C36" s="37">
        <v>1330.4011000000007</v>
      </c>
      <c r="D36" s="38">
        <v>72.260000000000005</v>
      </c>
      <c r="E36" s="38">
        <v>69.25</v>
      </c>
      <c r="F36" s="38">
        <v>5.04</v>
      </c>
      <c r="G36" s="37">
        <v>655.37</v>
      </c>
      <c r="H36" s="68">
        <f t="shared" si="5"/>
        <v>1.0280929975089954</v>
      </c>
      <c r="I36" s="37">
        <v>1330.4011000000007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2.0300000000000011</v>
      </c>
      <c r="N36" s="42">
        <f t="shared" si="9"/>
        <v>2.8092997508995309E-2</v>
      </c>
      <c r="O36" s="44" t="s">
        <v>131</v>
      </c>
      <c r="P36" s="69" t="s">
        <v>277</v>
      </c>
      <c r="Q36" s="45" t="s">
        <v>122</v>
      </c>
    </row>
    <row r="37" spans="1:17" s="67" customFormat="1" ht="24.95" customHeight="1" thickBot="1">
      <c r="A37" s="48">
        <v>10</v>
      </c>
      <c r="B37" s="49" t="s">
        <v>151</v>
      </c>
      <c r="C37" s="50">
        <v>1139.0527999999993</v>
      </c>
      <c r="D37" s="51">
        <v>57.9</v>
      </c>
      <c r="E37" s="51">
        <v>58.22</v>
      </c>
      <c r="F37" s="51">
        <v>1.4</v>
      </c>
      <c r="G37" s="50">
        <v>662.24</v>
      </c>
      <c r="H37" s="70">
        <f t="shared" si="5"/>
        <v>1.029706390328152</v>
      </c>
      <c r="I37" s="50">
        <v>1139.0527999999993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1.7199999999999989</v>
      </c>
      <c r="N37" s="55">
        <f t="shared" si="9"/>
        <v>2.9706390328151967E-2</v>
      </c>
      <c r="O37" s="57" t="s">
        <v>131</v>
      </c>
      <c r="P37" s="57" t="s">
        <v>281</v>
      </c>
      <c r="Q37" s="58" t="s">
        <v>100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168</v>
      </c>
      <c r="C44" s="37">
        <v>510</v>
      </c>
      <c r="D44" s="76">
        <f t="shared" ref="D44:D53" si="10">C44/$L$5</f>
        <v>0.19310867095797046</v>
      </c>
      <c r="E44" s="77"/>
    </row>
    <row r="45" spans="1:17" s="78" customFormat="1" ht="24.95" customHeight="1">
      <c r="A45" s="79">
        <v>2</v>
      </c>
      <c r="B45" s="36" t="s">
        <v>137</v>
      </c>
      <c r="C45" s="37">
        <v>367.5</v>
      </c>
      <c r="D45" s="76">
        <f t="shared" si="10"/>
        <v>0.13915183642559636</v>
      </c>
      <c r="E45" s="77"/>
    </row>
    <row r="46" spans="1:17" s="78" customFormat="1" ht="24.95" customHeight="1">
      <c r="A46" s="79">
        <v>3</v>
      </c>
      <c r="B46" s="36" t="s">
        <v>282</v>
      </c>
      <c r="C46" s="37">
        <v>339.88</v>
      </c>
      <c r="D46" s="76">
        <f t="shared" si="10"/>
        <v>0.12869367663763726</v>
      </c>
      <c r="E46" s="77"/>
    </row>
    <row r="47" spans="1:17" s="78" customFormat="1" ht="24.95" customHeight="1">
      <c r="A47" s="75">
        <v>4</v>
      </c>
      <c r="B47" s="36" t="s">
        <v>138</v>
      </c>
      <c r="C47" s="37">
        <v>322.91999999999996</v>
      </c>
      <c r="D47" s="76">
        <f t="shared" si="10"/>
        <v>0.12227186671715258</v>
      </c>
      <c r="E47" s="77"/>
    </row>
    <row r="48" spans="1:17" s="78" customFormat="1" ht="24.95" customHeight="1">
      <c r="A48" s="79">
        <v>5</v>
      </c>
      <c r="B48" s="36" t="s">
        <v>139</v>
      </c>
      <c r="C48" s="37">
        <v>185.36799999999999</v>
      </c>
      <c r="D48" s="76">
        <f t="shared" si="10"/>
        <v>7.0188564937523665E-2</v>
      </c>
      <c r="E48" s="77"/>
    </row>
    <row r="49" spans="1:5" s="78" customFormat="1" ht="24.95" customHeight="1">
      <c r="A49" s="75">
        <v>6</v>
      </c>
      <c r="B49" s="36" t="s">
        <v>159</v>
      </c>
      <c r="C49" s="37">
        <v>183.83799999999999</v>
      </c>
      <c r="D49" s="76">
        <f t="shared" si="10"/>
        <v>6.9609238924649749E-2</v>
      </c>
      <c r="E49" s="77"/>
    </row>
    <row r="50" spans="1:5" s="78" customFormat="1" ht="24.95" customHeight="1">
      <c r="A50" s="79">
        <v>7</v>
      </c>
      <c r="B50" s="36" t="s">
        <v>106</v>
      </c>
      <c r="C50" s="37">
        <v>173.922</v>
      </c>
      <c r="D50" s="76">
        <f t="shared" si="10"/>
        <v>6.5854600530102239E-2</v>
      </c>
      <c r="E50" s="77"/>
    </row>
    <row r="51" spans="1:5" s="78" customFormat="1" ht="24.95" customHeight="1">
      <c r="A51" s="75">
        <v>8</v>
      </c>
      <c r="B51" s="36" t="s">
        <v>140</v>
      </c>
      <c r="C51" s="37">
        <v>172</v>
      </c>
      <c r="D51" s="76">
        <f t="shared" si="10"/>
        <v>6.5126845891707683E-2</v>
      </c>
      <c r="E51" s="77"/>
    </row>
    <row r="52" spans="1:5" s="78" customFormat="1" ht="24.95" customHeight="1">
      <c r="A52" s="79">
        <v>9</v>
      </c>
      <c r="B52" s="36" t="s">
        <v>233</v>
      </c>
      <c r="C52" s="37">
        <v>123.12</v>
      </c>
      <c r="D52" s="76">
        <f t="shared" si="10"/>
        <v>4.6618705035971222E-2</v>
      </c>
      <c r="E52" s="77"/>
    </row>
    <row r="53" spans="1:5" s="78" customFormat="1" ht="24.95" customHeight="1" thickBot="1">
      <c r="A53" s="80">
        <v>10</v>
      </c>
      <c r="B53" s="49" t="s">
        <v>191</v>
      </c>
      <c r="C53" s="50">
        <v>67.506799999999998</v>
      </c>
      <c r="D53" s="81">
        <f t="shared" si="10"/>
        <v>2.5561075350246119E-2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35" priority="34" operator="containsText" text="中華">
      <formula>NOT(ISERROR(SEARCH("中華",A12)))</formula>
    </cfRule>
    <cfRule type="containsText" dxfId="134" priority="33" operator="containsText" text="湯凍">
      <formula>NOT(ISERROR(SEARCH("湯凍",A12)))</formula>
    </cfRule>
    <cfRule type="containsText" dxfId="133" priority="32" operator="containsText" text=")川燙小青花菜">
      <formula>NOT(ISERROR(SEARCH(")川燙小青花菜",A12)))</formula>
    </cfRule>
    <cfRule type="containsText" dxfId="132" priority="31" operator="containsText" text="青蔥">
      <formula>NOT(ISERROR(SEARCH("青蔥",A12)))</formula>
    </cfRule>
    <cfRule type="containsText" dxfId="131" priority="30" operator="containsText" text="白醬">
      <formula>NOT(ISERROR(SEARCH("白醬",A12)))</formula>
    </cfRule>
    <cfRule type="containsText" dxfId="130" priority="29" operator="containsText" text="024">
      <formula>NOT(ISERROR(SEARCH("024",A12)))</formula>
    </cfRule>
    <cfRule type="containsText" dxfId="129" priority="28" operator="containsText" text="煮白細麵生(方#12)">
      <formula>NOT(ISERROR(SEARCH("煮白細麵生(方#12)",A12)))</formula>
    </cfRule>
    <cfRule type="containsText" dxfId="128" priority="27" operator="containsText" text="綠豆芽">
      <formula>NOT(ISERROR(SEARCH("綠豆芽",A12)))</formula>
    </cfRule>
  </conditionalFormatting>
  <conditionalFormatting sqref="A28:A37">
    <cfRule type="containsText" dxfId="127" priority="5" operator="containsText" text="綠豆芽">
      <formula>NOT(ISERROR(SEARCH("綠豆芽",A28)))</formula>
    </cfRule>
    <cfRule type="containsText" dxfId="126" priority="6" operator="containsText" text="煮白細麵生(方#12)">
      <formula>NOT(ISERROR(SEARCH("煮白細麵生(方#12)",A28)))</formula>
    </cfRule>
    <cfRule type="containsText" dxfId="125" priority="7" operator="containsText" text="024">
      <formula>NOT(ISERROR(SEARCH("024",A28)))</formula>
    </cfRule>
    <cfRule type="containsText" dxfId="124" priority="8" operator="containsText" text="白醬">
      <formula>NOT(ISERROR(SEARCH("白醬",A28)))</formula>
    </cfRule>
    <cfRule type="containsText" dxfId="123" priority="9" operator="containsText" text="青蔥">
      <formula>NOT(ISERROR(SEARCH("青蔥",A28)))</formula>
    </cfRule>
    <cfRule type="containsText" dxfId="122" priority="10" operator="containsText" text=")川燙小青花菜">
      <formula>NOT(ISERROR(SEARCH(")川燙小青花菜",A28)))</formula>
    </cfRule>
    <cfRule type="containsText" dxfId="121" priority="11" operator="containsText" text="湯凍">
      <formula>NOT(ISERROR(SEARCH("湯凍",A28)))</formula>
    </cfRule>
    <cfRule type="containsText" dxfId="120" priority="12" operator="containsText" text="中華">
      <formula>NOT(ISERROR(SEARCH("中華",A28)))</formula>
    </cfRule>
  </conditionalFormatting>
  <conditionalFormatting sqref="A44:A53">
    <cfRule type="containsText" dxfId="119" priority="17" operator="containsText" text="綠豆芽">
      <formula>NOT(ISERROR(SEARCH("綠豆芽",A44)))</formula>
    </cfRule>
    <cfRule type="containsText" dxfId="118" priority="18" operator="containsText" text="煮白細麵生(方#12)">
      <formula>NOT(ISERROR(SEARCH("煮白細麵生(方#12)",A44)))</formula>
    </cfRule>
    <cfRule type="containsText" dxfId="117" priority="19" operator="containsText" text="024">
      <formula>NOT(ISERROR(SEARCH("024",A44)))</formula>
    </cfRule>
    <cfRule type="containsText" dxfId="116" priority="20" operator="containsText" text="白醬">
      <formula>NOT(ISERROR(SEARCH("白醬",A44)))</formula>
    </cfRule>
    <cfRule type="containsText" dxfId="115" priority="21" operator="containsText" text="青蔥">
      <formula>NOT(ISERROR(SEARCH("青蔥",A44)))</formula>
    </cfRule>
    <cfRule type="containsText" dxfId="114" priority="22" operator="containsText" text=")川燙小青花菜">
      <formula>NOT(ISERROR(SEARCH(")川燙小青花菜",A44)))</formula>
    </cfRule>
    <cfRule type="containsText" dxfId="113" priority="23" operator="containsText" text="湯凍">
      <formula>NOT(ISERROR(SEARCH("湯凍",A44)))</formula>
    </cfRule>
    <cfRule type="containsText" dxfId="112" priority="24" operator="containsText" text="中華">
      <formula>NOT(ISERROR(SEARCH("中華",A44)))</formula>
    </cfRule>
  </conditionalFormatting>
  <conditionalFormatting sqref="D44:D53">
    <cfRule type="cellIs" dxfId="111" priority="16" operator="greaterThan">
      <formula>0.146</formula>
    </cfRule>
  </conditionalFormatting>
  <conditionalFormatting sqref="E5">
    <cfRule type="cellIs" dxfId="110" priority="25" operator="greaterThan">
      <formula>0.072</formula>
    </cfRule>
    <cfRule type="cellIs" dxfId="109" priority="26" operator="greaterThan">
      <formula>7.2</formula>
    </cfRule>
    <cfRule type="cellIs" dxfId="108" priority="14" operator="greaterThan">
      <formula>0.0025</formula>
    </cfRule>
  </conditionalFormatting>
  <conditionalFormatting sqref="G5">
    <cfRule type="cellIs" dxfId="107" priority="3" operator="greaterThan">
      <formula>7.2</formula>
    </cfRule>
    <cfRule type="cellIs" dxfId="106" priority="2" operator="greaterThan">
      <formula>0.072</formula>
    </cfRule>
    <cfRule type="cellIs" dxfId="105" priority="1" operator="greaterThan">
      <formula>0.0025</formula>
    </cfRule>
  </conditionalFormatting>
  <conditionalFormatting sqref="H12:H22">
    <cfRule type="cellIs" dxfId="104" priority="15" operator="greaterThan">
      <formula>1.1</formula>
    </cfRule>
  </conditionalFormatting>
  <conditionalFormatting sqref="H28:H37">
    <cfRule type="cellIs" dxfId="103" priority="4" operator="greaterThan">
      <formula>1.1</formula>
    </cfRule>
  </conditionalFormatting>
  <conditionalFormatting sqref="I5">
    <cfRule type="cellIs" dxfId="10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6AD8-B41B-4FB6-9781-BA55D89D7807}">
  <sheetPr>
    <tabColor rgb="FFFF0000"/>
    <pageSetUpPr fitToPage="1"/>
  </sheetPr>
  <dimension ref="A1:Q56"/>
  <sheetViews>
    <sheetView zoomScale="70" zoomScaleNormal="70" workbookViewId="0">
      <selection activeCell="L6" sqref="L6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45872</v>
      </c>
      <c r="B3" s="150"/>
      <c r="C3" s="151">
        <v>8003391.1299999999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19418.772499999999</v>
      </c>
      <c r="E5" s="25">
        <f>D5/C3</f>
        <v>2.426318067501469E-3</v>
      </c>
      <c r="F5" s="24">
        <v>69171</v>
      </c>
      <c r="G5" s="26">
        <f>F5/C3</f>
        <v>8.6427114302484436E-3</v>
      </c>
      <c r="H5" s="27">
        <f>SUM(C12:C21)</f>
        <v>6610.6163000000006</v>
      </c>
      <c r="I5" s="28">
        <f>H5/D5</f>
        <v>0.34042400465837896</v>
      </c>
      <c r="J5" s="27">
        <f>SUM(C28:C37)</f>
        <v>16236.48700000005</v>
      </c>
      <c r="K5" s="29">
        <f>J5/F5</f>
        <v>0.23472968440531508</v>
      </c>
      <c r="L5" s="30">
        <v>2218</v>
      </c>
      <c r="M5" s="31">
        <f>L5/D5</f>
        <v>0.11421937200201507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91</v>
      </c>
      <c r="C12" s="37">
        <v>1390.5</v>
      </c>
      <c r="D12" s="38">
        <v>4202</v>
      </c>
      <c r="E12" s="38">
        <v>4292</v>
      </c>
      <c r="F12" s="38">
        <v>0</v>
      </c>
      <c r="G12" s="37">
        <v>15.45</v>
      </c>
      <c r="H12" s="39">
        <f>(E12+F12)/D12</f>
        <v>1.0214183722037125</v>
      </c>
      <c r="I12" s="37">
        <v>1390.5</v>
      </c>
      <c r="J12" s="38">
        <v>90</v>
      </c>
      <c r="K12" s="40">
        <f>J12/D12</f>
        <v>2.1418372203712517E-2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223</v>
      </c>
      <c r="Q12" s="45" t="s">
        <v>94</v>
      </c>
    </row>
    <row r="13" spans="1:17" s="46" customFormat="1" ht="24.95" customHeight="1">
      <c r="A13" s="47">
        <v>2</v>
      </c>
      <c r="B13" s="36" t="s">
        <v>161</v>
      </c>
      <c r="C13" s="37">
        <v>826.42500000000007</v>
      </c>
      <c r="D13" s="38">
        <v>52.99</v>
      </c>
      <c r="E13" s="38">
        <v>57.49</v>
      </c>
      <c r="F13" s="38">
        <v>0</v>
      </c>
      <c r="G13" s="37">
        <v>183.65</v>
      </c>
      <c r="H13" s="39">
        <f t="shared" ref="H13:H21" si="1">(E13+F13)/D13</f>
        <v>1.0849216833364785</v>
      </c>
      <c r="I13" s="37">
        <v>826.42500000000007</v>
      </c>
      <c r="J13" s="38">
        <v>4.5</v>
      </c>
      <c r="K13" s="40">
        <f>J13/D13</f>
        <v>8.4921683336478579E-2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275</v>
      </c>
      <c r="Q13" s="45" t="s">
        <v>162</v>
      </c>
    </row>
    <row r="14" spans="1:17" s="46" customFormat="1" ht="24.95" customHeight="1">
      <c r="A14" s="47">
        <v>3</v>
      </c>
      <c r="B14" s="36" t="s">
        <v>163</v>
      </c>
      <c r="C14" s="37">
        <v>761.76</v>
      </c>
      <c r="D14" s="38">
        <v>42.8</v>
      </c>
      <c r="E14" s="38">
        <v>45.8</v>
      </c>
      <c r="F14" s="38">
        <v>0</v>
      </c>
      <c r="G14" s="37">
        <v>253.92</v>
      </c>
      <c r="H14" s="39">
        <f>(E14+F14)/D14</f>
        <v>1.0700934579439252</v>
      </c>
      <c r="I14" s="37">
        <v>761.76</v>
      </c>
      <c r="J14" s="38">
        <v>3</v>
      </c>
      <c r="K14" s="40">
        <f t="shared" ref="K14:K21" si="4">J14/D14</f>
        <v>7.0093457943925241E-2</v>
      </c>
      <c r="L14" s="41">
        <f t="shared" si="2"/>
        <v>0</v>
      </c>
      <c r="M14" s="42">
        <f t="shared" si="3"/>
        <v>0</v>
      </c>
      <c r="N14" s="43">
        <f t="shared" si="0"/>
        <v>0</v>
      </c>
      <c r="O14" s="44" t="s">
        <v>88</v>
      </c>
      <c r="P14" s="44" t="s">
        <v>275</v>
      </c>
      <c r="Q14" s="45" t="s">
        <v>162</v>
      </c>
    </row>
    <row r="15" spans="1:17" s="46" customFormat="1" ht="24.95" customHeight="1">
      <c r="A15" s="35">
        <v>4</v>
      </c>
      <c r="B15" s="36" t="s">
        <v>98</v>
      </c>
      <c r="C15" s="37">
        <v>759.93000000000006</v>
      </c>
      <c r="D15" s="38">
        <v>8397</v>
      </c>
      <c r="E15" s="38">
        <v>8335</v>
      </c>
      <c r="F15" s="38">
        <v>135</v>
      </c>
      <c r="G15" s="37">
        <v>10.41</v>
      </c>
      <c r="H15" s="39">
        <f>(E15+F15)/D15</f>
        <v>1.0086935810408479</v>
      </c>
      <c r="I15" s="37">
        <v>759.93000000000006</v>
      </c>
      <c r="J15" s="38">
        <v>73</v>
      </c>
      <c r="K15" s="40">
        <f t="shared" si="4"/>
        <v>8.6935810408479211E-3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88</v>
      </c>
      <c r="P15" s="44" t="s">
        <v>223</v>
      </c>
      <c r="Q15" s="45" t="s">
        <v>100</v>
      </c>
    </row>
    <row r="16" spans="1:17" s="46" customFormat="1" ht="24.95" customHeight="1">
      <c r="A16" s="47">
        <v>5</v>
      </c>
      <c r="B16" s="36" t="s">
        <v>168</v>
      </c>
      <c r="C16" s="37">
        <v>512.54999999999995</v>
      </c>
      <c r="D16" s="38">
        <v>16293</v>
      </c>
      <c r="E16" s="38">
        <v>16896</v>
      </c>
      <c r="F16" s="38">
        <v>0</v>
      </c>
      <c r="G16" s="37">
        <v>0.85</v>
      </c>
      <c r="H16" s="39">
        <f t="shared" si="1"/>
        <v>1.0370097587921192</v>
      </c>
      <c r="I16" s="37">
        <v>512.54999999999995</v>
      </c>
      <c r="J16" s="38">
        <v>603</v>
      </c>
      <c r="K16" s="40">
        <f t="shared" si="4"/>
        <v>3.7009758792119318E-2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88</v>
      </c>
      <c r="P16" s="44" t="s">
        <v>223</v>
      </c>
      <c r="Q16" s="45" t="s">
        <v>103</v>
      </c>
    </row>
    <row r="17" spans="1:17" s="46" customFormat="1" ht="24.95" customHeight="1">
      <c r="A17" s="35">
        <v>6</v>
      </c>
      <c r="B17" s="36" t="s">
        <v>95</v>
      </c>
      <c r="C17" s="37">
        <v>510.185</v>
      </c>
      <c r="D17" s="38">
        <v>192.52</v>
      </c>
      <c r="E17" s="38">
        <v>199.14</v>
      </c>
      <c r="F17" s="38">
        <v>0</v>
      </c>
      <c r="G17" s="37">
        <v>152.75</v>
      </c>
      <c r="H17" s="39">
        <f t="shared" si="1"/>
        <v>1.0343860378142529</v>
      </c>
      <c r="I17" s="37">
        <v>1011.2049999999964</v>
      </c>
      <c r="J17" s="38">
        <v>3.34</v>
      </c>
      <c r="K17" s="40">
        <f t="shared" si="4"/>
        <v>1.7348846873052149E-2</v>
      </c>
      <c r="L17" s="41">
        <f t="shared" si="2"/>
        <v>3.2799999999999763</v>
      </c>
      <c r="M17" s="42">
        <f t="shared" si="3"/>
        <v>1.7037190941200792E-2</v>
      </c>
      <c r="N17" s="43">
        <f t="shared" si="0"/>
        <v>501.0199999999964</v>
      </c>
      <c r="O17" s="44" t="s">
        <v>88</v>
      </c>
      <c r="P17" s="44" t="s">
        <v>275</v>
      </c>
      <c r="Q17" s="45" t="s">
        <v>97</v>
      </c>
    </row>
    <row r="18" spans="1:17" s="46" customFormat="1" ht="24.95" customHeight="1">
      <c r="A18" s="47">
        <v>7</v>
      </c>
      <c r="B18" s="36" t="s">
        <v>231</v>
      </c>
      <c r="C18" s="37">
        <v>479.04</v>
      </c>
      <c r="D18" s="38">
        <v>63.52</v>
      </c>
      <c r="E18" s="38">
        <v>66.52000000000001</v>
      </c>
      <c r="F18" s="38">
        <v>0</v>
      </c>
      <c r="G18" s="37">
        <v>159.68</v>
      </c>
      <c r="H18" s="39">
        <f t="shared" si="1"/>
        <v>1.047229219143577</v>
      </c>
      <c r="I18" s="37">
        <v>479.04000000000116</v>
      </c>
      <c r="J18" s="38">
        <v>3</v>
      </c>
      <c r="K18" s="40">
        <f t="shared" si="4"/>
        <v>4.7229219143576827E-2</v>
      </c>
      <c r="L18" s="41">
        <f>((E18+F18)-D18)-J18</f>
        <v>7.1054273576010019E-15</v>
      </c>
      <c r="M18" s="42">
        <f t="shared" si="3"/>
        <v>1.1186126192696792E-16</v>
      </c>
      <c r="N18" s="43">
        <f t="shared" si="0"/>
        <v>1.134594640461728E-12</v>
      </c>
      <c r="O18" s="44" t="s">
        <v>88</v>
      </c>
      <c r="P18" s="44" t="s">
        <v>275</v>
      </c>
      <c r="Q18" s="45" t="s">
        <v>147</v>
      </c>
    </row>
    <row r="19" spans="1:17" s="46" customFormat="1" ht="24.95" customHeight="1">
      <c r="A19" s="35">
        <v>8</v>
      </c>
      <c r="B19" s="36" t="s">
        <v>186</v>
      </c>
      <c r="C19" s="37">
        <v>474.67919999999998</v>
      </c>
      <c r="D19" s="38">
        <v>223.86</v>
      </c>
      <c r="E19" s="38">
        <v>236.03</v>
      </c>
      <c r="F19" s="38">
        <v>0</v>
      </c>
      <c r="G19" s="37">
        <v>61.17</v>
      </c>
      <c r="H19" s="39">
        <f t="shared" si="1"/>
        <v>1.0543643348521397</v>
      </c>
      <c r="I19" s="37">
        <v>744.43889999999931</v>
      </c>
      <c r="J19" s="38">
        <v>7.76</v>
      </c>
      <c r="K19" s="40">
        <f t="shared" si="4"/>
        <v>3.4664522469400515E-2</v>
      </c>
      <c r="L19" s="41">
        <f t="shared" si="2"/>
        <v>4.4099999999999877</v>
      </c>
      <c r="M19" s="42">
        <f t="shared" si="3"/>
        <v>1.9699812382739157E-2</v>
      </c>
      <c r="N19" s="43">
        <f t="shared" si="0"/>
        <v>269.75969999999927</v>
      </c>
      <c r="O19" s="44" t="s">
        <v>88</v>
      </c>
      <c r="P19" s="44" t="s">
        <v>273</v>
      </c>
      <c r="Q19" s="45" t="s">
        <v>189</v>
      </c>
    </row>
    <row r="20" spans="1:17" s="46" customFormat="1" ht="24.95" customHeight="1">
      <c r="A20" s="47">
        <v>9</v>
      </c>
      <c r="B20" s="36" t="s">
        <v>104</v>
      </c>
      <c r="C20" s="37">
        <v>473.35709999999995</v>
      </c>
      <c r="D20" s="38">
        <v>49.11</v>
      </c>
      <c r="E20" s="38">
        <v>52.199999999999996</v>
      </c>
      <c r="F20" s="38">
        <v>0</v>
      </c>
      <c r="G20" s="37">
        <v>153.19</v>
      </c>
      <c r="H20" s="39">
        <f t="shared" si="1"/>
        <v>1.062919975565058</v>
      </c>
      <c r="I20" s="37">
        <v>473.35709999999943</v>
      </c>
      <c r="J20" s="38">
        <v>3.09</v>
      </c>
      <c r="K20" s="40">
        <f t="shared" si="4"/>
        <v>6.2919975565058031E-2</v>
      </c>
      <c r="L20" s="41">
        <f t="shared" si="2"/>
        <v>-3.5527136788005009E-15</v>
      </c>
      <c r="M20" s="42">
        <f t="shared" si="3"/>
        <v>-7.2341960472419078E-17</v>
      </c>
      <c r="N20" s="43">
        <f t="shared" si="0"/>
        <v>-5.4424020845544873E-13</v>
      </c>
      <c r="O20" s="44" t="s">
        <v>88</v>
      </c>
      <c r="P20" s="44" t="s">
        <v>275</v>
      </c>
      <c r="Q20" s="45" t="s">
        <v>105</v>
      </c>
    </row>
    <row r="21" spans="1:17" s="46" customFormat="1" ht="24.95" customHeight="1" thickBot="1">
      <c r="A21" s="48">
        <v>10</v>
      </c>
      <c r="B21" s="49" t="s">
        <v>107</v>
      </c>
      <c r="C21" s="50">
        <v>422.18999999999994</v>
      </c>
      <c r="D21" s="51">
        <v>21.42</v>
      </c>
      <c r="E21" s="51">
        <v>25.2</v>
      </c>
      <c r="F21" s="51">
        <v>0</v>
      </c>
      <c r="G21" s="50">
        <v>140.72999999999999</v>
      </c>
      <c r="H21" s="52">
        <f t="shared" si="1"/>
        <v>1.1764705882352939</v>
      </c>
      <c r="I21" s="50">
        <v>531.95939999999962</v>
      </c>
      <c r="J21" s="51">
        <v>3</v>
      </c>
      <c r="K21" s="53">
        <f t="shared" si="4"/>
        <v>0.14005602240896359</v>
      </c>
      <c r="L21" s="54">
        <f t="shared" si="2"/>
        <v>0.77999999999999758</v>
      </c>
      <c r="M21" s="55">
        <f t="shared" si="3"/>
        <v>3.6414565826330417E-2</v>
      </c>
      <c r="N21" s="56">
        <f t="shared" si="0"/>
        <v>109.76939999999965</v>
      </c>
      <c r="O21" s="57" t="s">
        <v>88</v>
      </c>
      <c r="P21" s="57" t="s">
        <v>283</v>
      </c>
      <c r="Q21" s="58" t="s">
        <v>108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129</v>
      </c>
      <c r="C28" s="37">
        <v>2834.5044000000371</v>
      </c>
      <c r="D28" s="38">
        <v>5349.48</v>
      </c>
      <c r="E28" s="38">
        <v>5326.64</v>
      </c>
      <c r="F28" s="38">
        <v>94.8</v>
      </c>
      <c r="G28" s="37">
        <v>39.39</v>
      </c>
      <c r="H28" s="68">
        <f t="shared" ref="H28:H37" si="5">(E28+F28)/D28</f>
        <v>1.0134517747519387</v>
      </c>
      <c r="I28" s="37">
        <v>2834.5044000000371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71.960000000000946</v>
      </c>
      <c r="N28" s="42">
        <f t="shared" ref="N28:N37" si="9">M28/D28</f>
        <v>1.3451774751938685E-2</v>
      </c>
      <c r="O28" s="44" t="s">
        <v>116</v>
      </c>
      <c r="P28" s="69" t="s">
        <v>225</v>
      </c>
      <c r="Q28" s="45" t="s">
        <v>103</v>
      </c>
    </row>
    <row r="29" spans="1:17" s="67" customFormat="1" ht="24.95" customHeight="1">
      <c r="A29" s="47">
        <v>2</v>
      </c>
      <c r="B29" s="36" t="s">
        <v>170</v>
      </c>
      <c r="C29" s="37">
        <v>2208.2830000000063</v>
      </c>
      <c r="D29" s="38">
        <v>108.91</v>
      </c>
      <c r="E29" s="38">
        <v>107.93</v>
      </c>
      <c r="F29" s="38">
        <v>6.93</v>
      </c>
      <c r="G29" s="37">
        <v>371.14</v>
      </c>
      <c r="H29" s="68">
        <f t="shared" si="5"/>
        <v>1.0546322651730788</v>
      </c>
      <c r="I29" s="37">
        <v>2208.2830000000063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5.9500000000000171</v>
      </c>
      <c r="N29" s="42">
        <f t="shared" si="9"/>
        <v>5.4632265173078849E-2</v>
      </c>
      <c r="O29" s="44" t="s">
        <v>116</v>
      </c>
      <c r="P29" s="69" t="s">
        <v>277</v>
      </c>
      <c r="Q29" s="45" t="s">
        <v>103</v>
      </c>
    </row>
    <row r="30" spans="1:17" s="67" customFormat="1" ht="24.95" customHeight="1">
      <c r="A30" s="47">
        <v>3</v>
      </c>
      <c r="B30" s="36" t="s">
        <v>196</v>
      </c>
      <c r="C30" s="37">
        <v>2107.016000000001</v>
      </c>
      <c r="D30" s="38">
        <v>57.76</v>
      </c>
      <c r="E30" s="38">
        <v>58.07</v>
      </c>
      <c r="F30" s="38">
        <v>3.04</v>
      </c>
      <c r="G30" s="37">
        <v>628.96</v>
      </c>
      <c r="H30" s="68">
        <f t="shared" si="5"/>
        <v>1.0579986149584488</v>
      </c>
      <c r="I30" s="37">
        <v>2107.016000000001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3.3500000000000014</v>
      </c>
      <c r="N30" s="42">
        <f t="shared" si="9"/>
        <v>5.7998614958448783E-2</v>
      </c>
      <c r="O30" s="44" t="s">
        <v>116</v>
      </c>
      <c r="P30" s="69" t="s">
        <v>277</v>
      </c>
      <c r="Q30" s="45" t="s">
        <v>110</v>
      </c>
    </row>
    <row r="31" spans="1:17" s="67" customFormat="1" ht="24.95" customHeight="1">
      <c r="A31" s="35">
        <v>4</v>
      </c>
      <c r="B31" s="36" t="s">
        <v>155</v>
      </c>
      <c r="C31" s="37">
        <v>1566.3343000000004</v>
      </c>
      <c r="D31" s="38">
        <v>74.400000000000006</v>
      </c>
      <c r="E31" s="38">
        <v>73.67</v>
      </c>
      <c r="F31" s="38">
        <v>3.12</v>
      </c>
      <c r="G31" s="37">
        <v>655.37</v>
      </c>
      <c r="H31" s="68">
        <f t="shared" si="5"/>
        <v>1.0321236559139786</v>
      </c>
      <c r="I31" s="37">
        <v>1566.3343000000004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2.3900000000000006</v>
      </c>
      <c r="N31" s="42">
        <f t="shared" si="9"/>
        <v>3.2123655913978498E-2</v>
      </c>
      <c r="O31" s="44" t="s">
        <v>116</v>
      </c>
      <c r="P31" s="69" t="s">
        <v>277</v>
      </c>
      <c r="Q31" s="45" t="s">
        <v>122</v>
      </c>
    </row>
    <row r="32" spans="1:17" s="67" customFormat="1" ht="24.95" customHeight="1">
      <c r="A32" s="47">
        <v>5</v>
      </c>
      <c r="B32" s="36" t="s">
        <v>208</v>
      </c>
      <c r="C32" s="37">
        <v>1516.3787999999954</v>
      </c>
      <c r="D32" s="38">
        <v>61.59</v>
      </c>
      <c r="E32" s="38">
        <v>61.26</v>
      </c>
      <c r="F32" s="38">
        <v>4.5</v>
      </c>
      <c r="G32" s="37">
        <v>363.64</v>
      </c>
      <c r="H32" s="68">
        <f t="shared" si="5"/>
        <v>1.0677057963955185</v>
      </c>
      <c r="I32" s="37">
        <v>1516.3787999999954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4.1699999999999875</v>
      </c>
      <c r="N32" s="42">
        <f t="shared" si="9"/>
        <v>6.7705796395518547E-2</v>
      </c>
      <c r="O32" s="44" t="s">
        <v>116</v>
      </c>
      <c r="P32" s="69" t="s">
        <v>277</v>
      </c>
      <c r="Q32" s="45" t="s">
        <v>211</v>
      </c>
    </row>
    <row r="33" spans="1:17" s="67" customFormat="1" ht="24.95" customHeight="1">
      <c r="A33" s="35">
        <v>6</v>
      </c>
      <c r="B33" s="36" t="s">
        <v>130</v>
      </c>
      <c r="C33" s="37">
        <v>1490.2188000000046</v>
      </c>
      <c r="D33" s="38">
        <v>197.76</v>
      </c>
      <c r="E33" s="38">
        <v>197.64</v>
      </c>
      <c r="F33" s="38">
        <v>2.58</v>
      </c>
      <c r="G33" s="37">
        <v>605.78</v>
      </c>
      <c r="H33" s="68">
        <f t="shared" si="5"/>
        <v>1.0124393203883495</v>
      </c>
      <c r="I33" s="37">
        <v>1490.2188000000046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2.460000000000008</v>
      </c>
      <c r="N33" s="42">
        <f t="shared" si="9"/>
        <v>1.2439320388349556E-2</v>
      </c>
      <c r="O33" s="44" t="s">
        <v>116</v>
      </c>
      <c r="P33" s="69" t="s">
        <v>225</v>
      </c>
      <c r="Q33" s="45" t="s">
        <v>133</v>
      </c>
    </row>
    <row r="34" spans="1:17" s="67" customFormat="1" ht="24.95" customHeight="1">
      <c r="A34" s="47">
        <v>7</v>
      </c>
      <c r="B34" s="36" t="s">
        <v>101</v>
      </c>
      <c r="C34" s="37">
        <v>1340.1387000000047</v>
      </c>
      <c r="D34" s="38">
        <v>710.91</v>
      </c>
      <c r="E34" s="38">
        <v>704.2</v>
      </c>
      <c r="F34" s="38">
        <v>15.8</v>
      </c>
      <c r="G34" s="37">
        <v>147.43</v>
      </c>
      <c r="H34" s="68">
        <f t="shared" si="5"/>
        <v>1.012786428661856</v>
      </c>
      <c r="I34" s="37">
        <v>1340.1387000000047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9.0900000000000318</v>
      </c>
      <c r="N34" s="42">
        <f t="shared" si="9"/>
        <v>1.2786428661855977E-2</v>
      </c>
      <c r="O34" s="44" t="s">
        <v>116</v>
      </c>
      <c r="P34" s="44" t="s">
        <v>224</v>
      </c>
      <c r="Q34" s="45" t="s">
        <v>103</v>
      </c>
    </row>
    <row r="35" spans="1:17" s="67" customFormat="1" ht="24.95" customHeight="1">
      <c r="A35" s="35">
        <v>8</v>
      </c>
      <c r="B35" s="36" t="s">
        <v>152</v>
      </c>
      <c r="C35" s="37">
        <v>1081.8800000000015</v>
      </c>
      <c r="D35" s="38">
        <v>28.06</v>
      </c>
      <c r="E35" s="38">
        <v>29.78</v>
      </c>
      <c r="F35" s="38">
        <v>0</v>
      </c>
      <c r="G35" s="37">
        <v>629</v>
      </c>
      <c r="H35" s="68">
        <f t="shared" si="5"/>
        <v>1.0612972202423379</v>
      </c>
      <c r="I35" s="37">
        <v>1081.8800000000015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1.7200000000000024</v>
      </c>
      <c r="N35" s="42">
        <f t="shared" si="9"/>
        <v>6.1297220242337934E-2</v>
      </c>
      <c r="O35" s="44" t="s">
        <v>116</v>
      </c>
      <c r="P35" s="69" t="s">
        <v>277</v>
      </c>
      <c r="Q35" s="45" t="s">
        <v>105</v>
      </c>
    </row>
    <row r="36" spans="1:17" s="67" customFormat="1" ht="24.95" customHeight="1">
      <c r="A36" s="47">
        <v>9</v>
      </c>
      <c r="B36" s="36" t="s">
        <v>181</v>
      </c>
      <c r="C36" s="37">
        <v>1061.1970000000022</v>
      </c>
      <c r="D36" s="38">
        <v>103.57</v>
      </c>
      <c r="E36" s="38">
        <v>103.19</v>
      </c>
      <c r="F36" s="38">
        <v>3.28</v>
      </c>
      <c r="G36" s="37">
        <v>365.93</v>
      </c>
      <c r="H36" s="68">
        <f t="shared" si="5"/>
        <v>1.0280003862122238</v>
      </c>
      <c r="I36" s="37">
        <v>1061.1970000000022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2.9000000000000057</v>
      </c>
      <c r="N36" s="42">
        <f t="shared" si="9"/>
        <v>2.8000386212223675E-2</v>
      </c>
      <c r="O36" s="44" t="s">
        <v>131</v>
      </c>
      <c r="P36" s="69" t="s">
        <v>277</v>
      </c>
      <c r="Q36" s="45" t="s">
        <v>182</v>
      </c>
    </row>
    <row r="37" spans="1:17" s="67" customFormat="1" ht="24.95" customHeight="1" thickBot="1">
      <c r="A37" s="48">
        <v>10</v>
      </c>
      <c r="B37" s="49" t="s">
        <v>119</v>
      </c>
      <c r="C37" s="50">
        <v>1030.5359999999978</v>
      </c>
      <c r="D37" s="51">
        <v>790.5</v>
      </c>
      <c r="E37" s="51">
        <v>750.3</v>
      </c>
      <c r="F37" s="51">
        <v>71.400000000000006</v>
      </c>
      <c r="G37" s="50">
        <v>33.03</v>
      </c>
      <c r="H37" s="70">
        <f t="shared" si="5"/>
        <v>1.0394686907020871</v>
      </c>
      <c r="I37" s="50">
        <v>1030.5359999999978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31.199999999999932</v>
      </c>
      <c r="N37" s="55">
        <f t="shared" si="9"/>
        <v>3.9468690702087202E-2</v>
      </c>
      <c r="O37" s="57" t="s">
        <v>131</v>
      </c>
      <c r="P37" s="57" t="s">
        <v>121</v>
      </c>
      <c r="Q37" s="58" t="s">
        <v>122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168</v>
      </c>
      <c r="C44" s="37">
        <v>512.54999999999995</v>
      </c>
      <c r="D44" s="76">
        <f t="shared" ref="D44:D53" si="10">C44/$L$5</f>
        <v>0.23108656447249773</v>
      </c>
      <c r="E44" s="77"/>
    </row>
    <row r="45" spans="1:17" s="78" customFormat="1" ht="24.95" customHeight="1">
      <c r="A45" s="79">
        <v>2</v>
      </c>
      <c r="B45" s="36" t="s">
        <v>138</v>
      </c>
      <c r="C45" s="37">
        <v>354.51</v>
      </c>
      <c r="D45" s="76">
        <f t="shared" si="10"/>
        <v>0.15983318304779079</v>
      </c>
      <c r="E45" s="77"/>
    </row>
    <row r="46" spans="1:17" s="78" customFormat="1" ht="24.95" customHeight="1">
      <c r="A46" s="79">
        <v>3</v>
      </c>
      <c r="B46" s="36" t="s">
        <v>137</v>
      </c>
      <c r="C46" s="37">
        <v>222.95000000000002</v>
      </c>
      <c r="D46" s="76">
        <f t="shared" si="10"/>
        <v>0.1005184851217313</v>
      </c>
      <c r="E46" s="77"/>
    </row>
    <row r="47" spans="1:17" s="78" customFormat="1" ht="24.95" customHeight="1">
      <c r="A47" s="75">
        <v>4</v>
      </c>
      <c r="B47" s="36" t="s">
        <v>233</v>
      </c>
      <c r="C47" s="37">
        <v>184.67999999999998</v>
      </c>
      <c r="D47" s="76">
        <f t="shared" si="10"/>
        <v>8.3264201983769145E-2</v>
      </c>
      <c r="E47" s="77"/>
    </row>
    <row r="48" spans="1:17" s="78" customFormat="1" ht="24.95" customHeight="1">
      <c r="A48" s="79">
        <v>5</v>
      </c>
      <c r="B48" s="36" t="s">
        <v>159</v>
      </c>
      <c r="C48" s="37">
        <v>183.83799999999999</v>
      </c>
      <c r="D48" s="76">
        <f t="shared" si="10"/>
        <v>8.2884580703336333E-2</v>
      </c>
      <c r="E48" s="77"/>
    </row>
    <row r="49" spans="1:5" s="78" customFormat="1" ht="24.95" customHeight="1">
      <c r="A49" s="75">
        <v>6</v>
      </c>
      <c r="B49" s="36" t="s">
        <v>106</v>
      </c>
      <c r="C49" s="37">
        <v>173.922</v>
      </c>
      <c r="D49" s="76">
        <f t="shared" si="10"/>
        <v>7.8413886384129841E-2</v>
      </c>
      <c r="E49" s="77"/>
    </row>
    <row r="50" spans="1:5" s="78" customFormat="1" ht="24.95" customHeight="1">
      <c r="A50" s="79">
        <v>7</v>
      </c>
      <c r="B50" s="36" t="s">
        <v>139</v>
      </c>
      <c r="C50" s="37">
        <v>172.584</v>
      </c>
      <c r="D50" s="76">
        <f t="shared" si="10"/>
        <v>7.7810640216411181E-2</v>
      </c>
      <c r="E50" s="77"/>
    </row>
    <row r="51" spans="1:5" s="78" customFormat="1" ht="24.95" customHeight="1">
      <c r="A51" s="75">
        <v>8</v>
      </c>
      <c r="B51" s="36" t="s">
        <v>140</v>
      </c>
      <c r="C51" s="37">
        <v>130</v>
      </c>
      <c r="D51" s="76">
        <f t="shared" si="10"/>
        <v>5.8611361587015326E-2</v>
      </c>
      <c r="E51" s="77"/>
    </row>
    <row r="52" spans="1:5" s="78" customFormat="1" ht="24.95" customHeight="1">
      <c r="A52" s="79">
        <v>9</v>
      </c>
      <c r="B52" s="36" t="s">
        <v>191</v>
      </c>
      <c r="C52" s="37">
        <v>67.506799999999998</v>
      </c>
      <c r="D52" s="76">
        <f t="shared" si="10"/>
        <v>3.0435888187556357E-2</v>
      </c>
      <c r="E52" s="77"/>
    </row>
    <row r="53" spans="1:5" s="78" customFormat="1" ht="24.95" customHeight="1" thickBot="1">
      <c r="A53" s="80">
        <v>10</v>
      </c>
      <c r="B53" s="49" t="s">
        <v>144</v>
      </c>
      <c r="C53" s="50">
        <v>57.920000000000009</v>
      </c>
      <c r="D53" s="81">
        <f t="shared" si="10"/>
        <v>2.6113615870153296E-2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01" priority="34" operator="containsText" text="中華">
      <formula>NOT(ISERROR(SEARCH("中華",A12)))</formula>
    </cfRule>
    <cfRule type="containsText" dxfId="100" priority="33" operator="containsText" text="湯凍">
      <formula>NOT(ISERROR(SEARCH("湯凍",A12)))</formula>
    </cfRule>
    <cfRule type="containsText" dxfId="99" priority="32" operator="containsText" text=")川燙小青花菜">
      <formula>NOT(ISERROR(SEARCH(")川燙小青花菜",A12)))</formula>
    </cfRule>
    <cfRule type="containsText" dxfId="98" priority="31" operator="containsText" text="青蔥">
      <formula>NOT(ISERROR(SEARCH("青蔥",A12)))</formula>
    </cfRule>
    <cfRule type="containsText" dxfId="97" priority="30" operator="containsText" text="白醬">
      <formula>NOT(ISERROR(SEARCH("白醬",A12)))</formula>
    </cfRule>
    <cfRule type="containsText" dxfId="96" priority="29" operator="containsText" text="024">
      <formula>NOT(ISERROR(SEARCH("024",A12)))</formula>
    </cfRule>
    <cfRule type="containsText" dxfId="95" priority="28" operator="containsText" text="煮白細麵生(方#12)">
      <formula>NOT(ISERROR(SEARCH("煮白細麵生(方#12)",A12)))</formula>
    </cfRule>
    <cfRule type="containsText" dxfId="94" priority="27" operator="containsText" text="綠豆芽">
      <formula>NOT(ISERROR(SEARCH("綠豆芽",A12)))</formula>
    </cfRule>
  </conditionalFormatting>
  <conditionalFormatting sqref="A28:A37">
    <cfRule type="containsText" dxfId="93" priority="5" operator="containsText" text="綠豆芽">
      <formula>NOT(ISERROR(SEARCH("綠豆芽",A28)))</formula>
    </cfRule>
    <cfRule type="containsText" dxfId="92" priority="6" operator="containsText" text="煮白細麵生(方#12)">
      <formula>NOT(ISERROR(SEARCH("煮白細麵生(方#12)",A28)))</formula>
    </cfRule>
    <cfRule type="containsText" dxfId="91" priority="7" operator="containsText" text="024">
      <formula>NOT(ISERROR(SEARCH("024",A28)))</formula>
    </cfRule>
    <cfRule type="containsText" dxfId="90" priority="8" operator="containsText" text="白醬">
      <formula>NOT(ISERROR(SEARCH("白醬",A28)))</formula>
    </cfRule>
    <cfRule type="containsText" dxfId="89" priority="9" operator="containsText" text="青蔥">
      <formula>NOT(ISERROR(SEARCH("青蔥",A28)))</formula>
    </cfRule>
    <cfRule type="containsText" dxfId="88" priority="10" operator="containsText" text=")川燙小青花菜">
      <formula>NOT(ISERROR(SEARCH(")川燙小青花菜",A28)))</formula>
    </cfRule>
    <cfRule type="containsText" dxfId="87" priority="11" operator="containsText" text="湯凍">
      <formula>NOT(ISERROR(SEARCH("湯凍",A28)))</formula>
    </cfRule>
    <cfRule type="containsText" dxfId="86" priority="12" operator="containsText" text="中華">
      <formula>NOT(ISERROR(SEARCH("中華",A28)))</formula>
    </cfRule>
  </conditionalFormatting>
  <conditionalFormatting sqref="A44:A53">
    <cfRule type="containsText" dxfId="85" priority="17" operator="containsText" text="綠豆芽">
      <formula>NOT(ISERROR(SEARCH("綠豆芽",A44)))</formula>
    </cfRule>
    <cfRule type="containsText" dxfId="84" priority="18" operator="containsText" text="煮白細麵生(方#12)">
      <formula>NOT(ISERROR(SEARCH("煮白細麵生(方#12)",A44)))</formula>
    </cfRule>
    <cfRule type="containsText" dxfId="83" priority="19" operator="containsText" text="024">
      <formula>NOT(ISERROR(SEARCH("024",A44)))</formula>
    </cfRule>
    <cfRule type="containsText" dxfId="82" priority="20" operator="containsText" text="白醬">
      <formula>NOT(ISERROR(SEARCH("白醬",A44)))</formula>
    </cfRule>
    <cfRule type="containsText" dxfId="81" priority="21" operator="containsText" text="青蔥">
      <formula>NOT(ISERROR(SEARCH("青蔥",A44)))</formula>
    </cfRule>
    <cfRule type="containsText" dxfId="80" priority="22" operator="containsText" text=")川燙小青花菜">
      <formula>NOT(ISERROR(SEARCH(")川燙小青花菜",A44)))</formula>
    </cfRule>
    <cfRule type="containsText" dxfId="79" priority="23" operator="containsText" text="湯凍">
      <formula>NOT(ISERROR(SEARCH("湯凍",A44)))</formula>
    </cfRule>
    <cfRule type="containsText" dxfId="78" priority="24" operator="containsText" text="中華">
      <formula>NOT(ISERROR(SEARCH("中華",A44)))</formula>
    </cfRule>
  </conditionalFormatting>
  <conditionalFormatting sqref="D44:D53">
    <cfRule type="cellIs" dxfId="77" priority="16" operator="greaterThan">
      <formula>0.146</formula>
    </cfRule>
  </conditionalFormatting>
  <conditionalFormatting sqref="E5">
    <cfRule type="cellIs" dxfId="76" priority="25" operator="greaterThan">
      <formula>0.072</formula>
    </cfRule>
    <cfRule type="cellIs" dxfId="75" priority="26" operator="greaterThan">
      <formula>7.2</formula>
    </cfRule>
    <cfRule type="cellIs" dxfId="74" priority="14" operator="greaterThan">
      <formula>0.0025</formula>
    </cfRule>
  </conditionalFormatting>
  <conditionalFormatting sqref="G5">
    <cfRule type="cellIs" dxfId="73" priority="3" operator="greaterThan">
      <formula>7.2</formula>
    </cfRule>
    <cfRule type="cellIs" dxfId="72" priority="2" operator="greaterThan">
      <formula>0.072</formula>
    </cfRule>
    <cfRule type="cellIs" dxfId="71" priority="1" operator="greaterThan">
      <formula>0.0025</formula>
    </cfRule>
  </conditionalFormatting>
  <conditionalFormatting sqref="H12:H22">
    <cfRule type="cellIs" dxfId="70" priority="15" operator="greaterThan">
      <formula>1.1</formula>
    </cfRule>
  </conditionalFormatting>
  <conditionalFormatting sqref="H28:H37">
    <cfRule type="cellIs" dxfId="69" priority="4" operator="greaterThan">
      <formula>1.1</formula>
    </cfRule>
  </conditionalFormatting>
  <conditionalFormatting sqref="I5">
    <cfRule type="cellIs" dxfId="6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7E37-52C1-4271-8316-B1654176146E}">
  <sheetPr>
    <tabColor rgb="FFFF0000"/>
    <pageSetUpPr fitToPage="1"/>
  </sheetPr>
  <dimension ref="A1:Q56"/>
  <sheetViews>
    <sheetView zoomScale="70" zoomScaleNormal="70" workbookViewId="0">
      <selection activeCell="D5" sqref="D5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45871</v>
      </c>
      <c r="B3" s="150"/>
      <c r="C3" s="151">
        <v>6281760.9800000004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15177.069299999999</v>
      </c>
      <c r="E5" s="25">
        <f>D5/C3</f>
        <v>2.4160532927504029E-3</v>
      </c>
      <c r="F5" s="24">
        <v>54183.438500000018</v>
      </c>
      <c r="G5" s="26">
        <f>F5/C3</f>
        <v>8.6255173784087549E-3</v>
      </c>
      <c r="H5" s="27">
        <f>SUM(C12:C21)</f>
        <v>5919.6139999999996</v>
      </c>
      <c r="I5" s="28">
        <f>H5/D5</f>
        <v>0.39003669832356896</v>
      </c>
      <c r="J5" s="27">
        <f>SUM(C28:C37)</f>
        <v>15905.34659999999</v>
      </c>
      <c r="K5" s="29">
        <f>J5/F5</f>
        <v>0.29354627613749512</v>
      </c>
      <c r="L5" s="30">
        <v>2131.8720000000003</v>
      </c>
      <c r="M5" s="31">
        <f>L5/D5</f>
        <v>0.14046664463738071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143</v>
      </c>
      <c r="C12" s="37">
        <v>1219.8599999999999</v>
      </c>
      <c r="D12" s="38">
        <v>106.19</v>
      </c>
      <c r="E12" s="38">
        <v>118.58</v>
      </c>
      <c r="F12" s="38">
        <v>0</v>
      </c>
      <c r="G12" s="37">
        <v>135.54</v>
      </c>
      <c r="H12" s="39">
        <f>(E12+F12)/D12</f>
        <v>1.1166776532630192</v>
      </c>
      <c r="I12" s="37">
        <v>1679.3406</v>
      </c>
      <c r="J12" s="38">
        <v>9</v>
      </c>
      <c r="K12" s="40">
        <f>J12/D12</f>
        <v>8.4753743290328656E-2</v>
      </c>
      <c r="L12" s="41">
        <f>((E12+F12)-D12)-J12</f>
        <v>3.3900000000000006</v>
      </c>
      <c r="M12" s="42">
        <f>L12/D12</f>
        <v>3.1923909972690463E-2</v>
      </c>
      <c r="N12" s="43">
        <f t="shared" ref="N12:N21" si="0">L12*G12</f>
        <v>459.48060000000004</v>
      </c>
      <c r="O12" s="44" t="s">
        <v>88</v>
      </c>
      <c r="P12" s="44" t="s">
        <v>275</v>
      </c>
      <c r="Q12" s="45" t="s">
        <v>100</v>
      </c>
    </row>
    <row r="13" spans="1:17" s="46" customFormat="1" ht="24.95" customHeight="1">
      <c r="A13" s="47">
        <v>2</v>
      </c>
      <c r="B13" s="36" t="s">
        <v>91</v>
      </c>
      <c r="C13" s="37">
        <v>757.05</v>
      </c>
      <c r="D13" s="38">
        <v>2961</v>
      </c>
      <c r="E13" s="38">
        <v>3010</v>
      </c>
      <c r="F13" s="38">
        <v>0</v>
      </c>
      <c r="G13" s="37">
        <v>15.45</v>
      </c>
      <c r="H13" s="39">
        <f t="shared" ref="H13:H21" si="1">(E13+F13)/D13</f>
        <v>1.0165484633569739</v>
      </c>
      <c r="I13" s="37">
        <v>757.05</v>
      </c>
      <c r="J13" s="38">
        <v>49</v>
      </c>
      <c r="K13" s="40">
        <f>J13/D13</f>
        <v>1.6548463356973995E-2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223</v>
      </c>
      <c r="Q13" s="45" t="s">
        <v>94</v>
      </c>
    </row>
    <row r="14" spans="1:17" s="46" customFormat="1" ht="24.95" customHeight="1">
      <c r="A14" s="47">
        <v>3</v>
      </c>
      <c r="B14" s="36" t="s">
        <v>98</v>
      </c>
      <c r="C14" s="37">
        <v>749.52</v>
      </c>
      <c r="D14" s="38">
        <v>9102</v>
      </c>
      <c r="E14" s="38">
        <v>9090</v>
      </c>
      <c r="F14" s="38">
        <v>90</v>
      </c>
      <c r="G14" s="37">
        <v>10.41</v>
      </c>
      <c r="H14" s="39">
        <f>(E14+F14)/D14</f>
        <v>1.008569545154911</v>
      </c>
      <c r="I14" s="37">
        <v>811.98</v>
      </c>
      <c r="J14" s="38">
        <v>72</v>
      </c>
      <c r="K14" s="40">
        <f t="shared" ref="K14:K21" si="4">J14/D14</f>
        <v>7.9103493737640081E-3</v>
      </c>
      <c r="L14" s="41">
        <f t="shared" si="2"/>
        <v>6</v>
      </c>
      <c r="M14" s="42">
        <f t="shared" si="3"/>
        <v>6.5919578114700061E-4</v>
      </c>
      <c r="N14" s="43">
        <f t="shared" si="0"/>
        <v>62.46</v>
      </c>
      <c r="O14" s="44" t="s">
        <v>88</v>
      </c>
      <c r="P14" s="44" t="s">
        <v>223</v>
      </c>
      <c r="Q14" s="45" t="s">
        <v>100</v>
      </c>
    </row>
    <row r="15" spans="1:17" s="46" customFormat="1" ht="24.95" customHeight="1">
      <c r="A15" s="35">
        <v>4</v>
      </c>
      <c r="B15" s="36" t="s">
        <v>186</v>
      </c>
      <c r="C15" s="37">
        <v>623.93399999999997</v>
      </c>
      <c r="D15" s="38">
        <v>225.96</v>
      </c>
      <c r="E15" s="38">
        <v>240.96</v>
      </c>
      <c r="F15" s="38">
        <v>0</v>
      </c>
      <c r="G15" s="37">
        <v>61.17</v>
      </c>
      <c r="H15" s="39">
        <f>(E15+F15)/D15</f>
        <v>1.0663834306956983</v>
      </c>
      <c r="I15" s="37">
        <v>917.55000000000007</v>
      </c>
      <c r="J15" s="38">
        <v>10.199999999999999</v>
      </c>
      <c r="K15" s="40">
        <f t="shared" si="4"/>
        <v>4.5140732873074879E-2</v>
      </c>
      <c r="L15" s="41">
        <f t="shared" si="2"/>
        <v>4.8000000000000007</v>
      </c>
      <c r="M15" s="42">
        <f t="shared" si="3"/>
        <v>2.1242697822623474E-2</v>
      </c>
      <c r="N15" s="43">
        <f t="shared" si="0"/>
        <v>293.61600000000004</v>
      </c>
      <c r="O15" s="44" t="s">
        <v>88</v>
      </c>
      <c r="P15" s="44" t="s">
        <v>273</v>
      </c>
      <c r="Q15" s="45" t="s">
        <v>189</v>
      </c>
    </row>
    <row r="16" spans="1:17" s="46" customFormat="1" ht="24.95" customHeight="1">
      <c r="A16" s="47">
        <v>5</v>
      </c>
      <c r="B16" s="36" t="s">
        <v>168</v>
      </c>
      <c r="C16" s="37">
        <v>499.8</v>
      </c>
      <c r="D16" s="38">
        <v>14004</v>
      </c>
      <c r="E16" s="38">
        <v>14592</v>
      </c>
      <c r="F16" s="38">
        <v>0</v>
      </c>
      <c r="G16" s="37">
        <v>0.85</v>
      </c>
      <c r="H16" s="39">
        <f t="shared" si="1"/>
        <v>1.0419880034275921</v>
      </c>
      <c r="I16" s="37">
        <v>499.8</v>
      </c>
      <c r="J16" s="38">
        <v>588</v>
      </c>
      <c r="K16" s="40">
        <f t="shared" si="4"/>
        <v>4.1988003427592117E-2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88</v>
      </c>
      <c r="P16" s="44" t="s">
        <v>223</v>
      </c>
      <c r="Q16" s="45" t="s">
        <v>103</v>
      </c>
    </row>
    <row r="17" spans="1:17" s="46" customFormat="1" ht="24.95" customHeight="1">
      <c r="A17" s="35">
        <v>6</v>
      </c>
      <c r="B17" s="36" t="s">
        <v>284</v>
      </c>
      <c r="C17" s="37">
        <v>492.608</v>
      </c>
      <c r="D17" s="38">
        <v>30.67</v>
      </c>
      <c r="E17" s="38">
        <v>34.97</v>
      </c>
      <c r="F17" s="38">
        <v>0</v>
      </c>
      <c r="G17" s="37">
        <v>114.56</v>
      </c>
      <c r="H17" s="39">
        <f t="shared" si="1"/>
        <v>1.1402021519400065</v>
      </c>
      <c r="I17" s="37">
        <v>492.60799999999966</v>
      </c>
      <c r="J17" s="38">
        <v>4.3</v>
      </c>
      <c r="K17" s="40">
        <f t="shared" si="4"/>
        <v>0.14020215194000651</v>
      </c>
      <c r="L17" s="41">
        <f t="shared" si="2"/>
        <v>0</v>
      </c>
      <c r="M17" s="42">
        <f t="shared" si="3"/>
        <v>0</v>
      </c>
      <c r="N17" s="43">
        <f t="shared" si="0"/>
        <v>0</v>
      </c>
      <c r="O17" s="44" t="s">
        <v>88</v>
      </c>
      <c r="P17" s="44" t="s">
        <v>275</v>
      </c>
      <c r="Q17" s="45" t="s">
        <v>285</v>
      </c>
    </row>
    <row r="18" spans="1:17" s="46" customFormat="1" ht="24.95" customHeight="1">
      <c r="A18" s="47">
        <v>7</v>
      </c>
      <c r="B18" s="36" t="s">
        <v>286</v>
      </c>
      <c r="C18" s="37">
        <v>480</v>
      </c>
      <c r="D18" s="38">
        <v>10.82</v>
      </c>
      <c r="E18" s="38">
        <v>15.129999999999999</v>
      </c>
      <c r="F18" s="38">
        <v>0</v>
      </c>
      <c r="G18" s="37">
        <v>150</v>
      </c>
      <c r="H18" s="39">
        <f t="shared" si="1"/>
        <v>1.398336414048059</v>
      </c>
      <c r="I18" s="37">
        <v>646.49999999999977</v>
      </c>
      <c r="J18" s="38">
        <v>3.2</v>
      </c>
      <c r="K18" s="40">
        <f t="shared" si="4"/>
        <v>0.29574861367837341</v>
      </c>
      <c r="L18" s="41">
        <f>((E18+F18)-D18)-J18</f>
        <v>1.1099999999999985</v>
      </c>
      <c r="M18" s="42">
        <f t="shared" si="3"/>
        <v>0.10258780036968564</v>
      </c>
      <c r="N18" s="43">
        <f t="shared" si="0"/>
        <v>166.49999999999977</v>
      </c>
      <c r="O18" s="44" t="s">
        <v>88</v>
      </c>
      <c r="P18" s="44" t="s">
        <v>275</v>
      </c>
      <c r="Q18" s="45" t="s">
        <v>285</v>
      </c>
    </row>
    <row r="19" spans="1:17" s="46" customFormat="1" ht="24.95" customHeight="1">
      <c r="A19" s="35">
        <v>8</v>
      </c>
      <c r="B19" s="36" t="s">
        <v>107</v>
      </c>
      <c r="C19" s="37">
        <v>422.18999999999994</v>
      </c>
      <c r="D19" s="38">
        <v>20.5</v>
      </c>
      <c r="E19" s="38">
        <v>23.5</v>
      </c>
      <c r="F19" s="38">
        <v>0</v>
      </c>
      <c r="G19" s="37">
        <v>140.72999999999999</v>
      </c>
      <c r="H19" s="39">
        <f t="shared" si="1"/>
        <v>1.1463414634146341</v>
      </c>
      <c r="I19" s="37">
        <v>422.18999999999994</v>
      </c>
      <c r="J19" s="38">
        <v>3</v>
      </c>
      <c r="K19" s="40">
        <f t="shared" si="4"/>
        <v>0.14634146341463414</v>
      </c>
      <c r="L19" s="41">
        <f t="shared" si="2"/>
        <v>0</v>
      </c>
      <c r="M19" s="42">
        <f t="shared" si="3"/>
        <v>0</v>
      </c>
      <c r="N19" s="43">
        <f t="shared" si="0"/>
        <v>0</v>
      </c>
      <c r="O19" s="44" t="s">
        <v>88</v>
      </c>
      <c r="P19" s="44" t="s">
        <v>275</v>
      </c>
      <c r="Q19" s="45" t="s">
        <v>108</v>
      </c>
    </row>
    <row r="20" spans="1:17" s="46" customFormat="1" ht="24.95" customHeight="1">
      <c r="A20" s="47">
        <v>9</v>
      </c>
      <c r="B20" s="36" t="s">
        <v>255</v>
      </c>
      <c r="C20" s="37">
        <v>356.35199999999998</v>
      </c>
      <c r="D20" s="38">
        <v>8.82</v>
      </c>
      <c r="E20" s="38">
        <v>10.02</v>
      </c>
      <c r="F20" s="38">
        <v>0</v>
      </c>
      <c r="G20" s="37">
        <v>296.95999999999998</v>
      </c>
      <c r="H20" s="39">
        <f t="shared" si="1"/>
        <v>1.1360544217687074</v>
      </c>
      <c r="I20" s="37">
        <v>356.35199999999975</v>
      </c>
      <c r="J20" s="38">
        <v>1.2</v>
      </c>
      <c r="K20" s="40">
        <f t="shared" si="4"/>
        <v>0.13605442176870747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88</v>
      </c>
      <c r="P20" s="44" t="s">
        <v>275</v>
      </c>
      <c r="Q20" s="45" t="s">
        <v>253</v>
      </c>
    </row>
    <row r="21" spans="1:17" s="46" customFormat="1" ht="24.95" customHeight="1" thickBot="1">
      <c r="A21" s="48">
        <v>10</v>
      </c>
      <c r="B21" s="49" t="s">
        <v>190</v>
      </c>
      <c r="C21" s="50">
        <v>318.29999999999995</v>
      </c>
      <c r="D21" s="51">
        <v>1614</v>
      </c>
      <c r="E21" s="51">
        <v>1644</v>
      </c>
      <c r="F21" s="51">
        <v>0</v>
      </c>
      <c r="G21" s="50">
        <v>10.61</v>
      </c>
      <c r="H21" s="52">
        <f t="shared" si="1"/>
        <v>1.0185873605947955</v>
      </c>
      <c r="I21" s="50">
        <v>318.29999999999995</v>
      </c>
      <c r="J21" s="51">
        <v>30</v>
      </c>
      <c r="K21" s="53">
        <f t="shared" si="4"/>
        <v>1.858736059479554E-2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88</v>
      </c>
      <c r="P21" s="57" t="s">
        <v>261</v>
      </c>
      <c r="Q21" s="58" t="s">
        <v>189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155</v>
      </c>
      <c r="C28" s="37">
        <v>2228.2579999999989</v>
      </c>
      <c r="D28" s="38">
        <v>60.22</v>
      </c>
      <c r="E28" s="38">
        <v>60.26</v>
      </c>
      <c r="F28" s="38">
        <v>3.36</v>
      </c>
      <c r="G28" s="37">
        <v>655.37</v>
      </c>
      <c r="H28" s="68">
        <f t="shared" ref="H28:H37" si="5">(E28+F28)/D28</f>
        <v>1.0564596479574893</v>
      </c>
      <c r="I28" s="37">
        <v>2228.2579999999989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3.3999999999999986</v>
      </c>
      <c r="N28" s="42">
        <f t="shared" ref="N28:N37" si="9">M28/D28</f>
        <v>5.6459647957489187E-2</v>
      </c>
      <c r="O28" s="44" t="s">
        <v>116</v>
      </c>
      <c r="P28" s="69" t="s">
        <v>277</v>
      </c>
      <c r="Q28" s="45" t="s">
        <v>122</v>
      </c>
    </row>
    <row r="29" spans="1:17" s="67" customFormat="1" ht="24.95" customHeight="1">
      <c r="A29" s="47">
        <v>2</v>
      </c>
      <c r="B29" s="36" t="s">
        <v>101</v>
      </c>
      <c r="C29" s="37">
        <v>2221.7700999999993</v>
      </c>
      <c r="D29" s="38">
        <v>452.91</v>
      </c>
      <c r="E29" s="38">
        <v>452.5</v>
      </c>
      <c r="F29" s="38">
        <v>15.48</v>
      </c>
      <c r="G29" s="37">
        <v>147.43</v>
      </c>
      <c r="H29" s="68">
        <f t="shared" si="5"/>
        <v>1.0332737188403878</v>
      </c>
      <c r="I29" s="37">
        <v>2221.7700999999993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15.069999999999993</v>
      </c>
      <c r="N29" s="42">
        <f t="shared" si="9"/>
        <v>3.3273718840387698E-2</v>
      </c>
      <c r="O29" s="44" t="s">
        <v>116</v>
      </c>
      <c r="P29" s="44" t="s">
        <v>224</v>
      </c>
      <c r="Q29" s="45" t="s">
        <v>103</v>
      </c>
    </row>
    <row r="30" spans="1:17" s="67" customFormat="1" ht="24.95" customHeight="1">
      <c r="A30" s="47">
        <v>3</v>
      </c>
      <c r="B30" s="36" t="s">
        <v>140</v>
      </c>
      <c r="C30" s="37">
        <v>2050</v>
      </c>
      <c r="D30" s="38">
        <v>142.75</v>
      </c>
      <c r="E30" s="38">
        <v>146.65</v>
      </c>
      <c r="F30" s="38">
        <v>6.35</v>
      </c>
      <c r="G30" s="37">
        <v>200</v>
      </c>
      <c r="H30" s="68">
        <f t="shared" si="5"/>
        <v>1.0718038528896672</v>
      </c>
      <c r="I30" s="37">
        <v>2050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10.25</v>
      </c>
      <c r="N30" s="42">
        <f t="shared" si="9"/>
        <v>7.1803852889667244E-2</v>
      </c>
      <c r="O30" s="44" t="s">
        <v>116</v>
      </c>
      <c r="P30" s="69" t="s">
        <v>277</v>
      </c>
      <c r="Q30" s="45" t="s">
        <v>103</v>
      </c>
    </row>
    <row r="31" spans="1:17" s="67" customFormat="1" ht="24.95" customHeight="1">
      <c r="A31" s="35">
        <v>4</v>
      </c>
      <c r="B31" s="36" t="s">
        <v>129</v>
      </c>
      <c r="C31" s="37">
        <v>1936.8063000000029</v>
      </c>
      <c r="D31" s="38">
        <v>3799.17</v>
      </c>
      <c r="E31" s="38">
        <v>3776.34</v>
      </c>
      <c r="F31" s="38">
        <v>72</v>
      </c>
      <c r="G31" s="37">
        <v>39.39</v>
      </c>
      <c r="H31" s="68">
        <f t="shared" si="5"/>
        <v>1.0129423005551212</v>
      </c>
      <c r="I31" s="37">
        <v>1936.8063000000029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49.170000000000073</v>
      </c>
      <c r="N31" s="42">
        <f t="shared" si="9"/>
        <v>1.2942300555121269E-2</v>
      </c>
      <c r="O31" s="44" t="s">
        <v>116</v>
      </c>
      <c r="P31" s="69" t="s">
        <v>225</v>
      </c>
      <c r="Q31" s="45" t="s">
        <v>103</v>
      </c>
    </row>
    <row r="32" spans="1:17" s="67" customFormat="1" ht="24.95" customHeight="1">
      <c r="A32" s="47">
        <v>5</v>
      </c>
      <c r="B32" s="36" t="s">
        <v>151</v>
      </c>
      <c r="C32" s="37">
        <v>1708.579199999999</v>
      </c>
      <c r="D32" s="38">
        <v>60.68</v>
      </c>
      <c r="E32" s="38">
        <v>60.66</v>
      </c>
      <c r="F32" s="38">
        <v>2.6</v>
      </c>
      <c r="G32" s="37">
        <v>662.24</v>
      </c>
      <c r="H32" s="68">
        <f t="shared" si="5"/>
        <v>1.0425181278839815</v>
      </c>
      <c r="I32" s="37">
        <v>1708.579199999999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2.5799999999999983</v>
      </c>
      <c r="N32" s="42">
        <f t="shared" si="9"/>
        <v>4.2518127883981516E-2</v>
      </c>
      <c r="O32" s="44" t="s">
        <v>116</v>
      </c>
      <c r="P32" s="69" t="s">
        <v>277</v>
      </c>
      <c r="Q32" s="45" t="s">
        <v>100</v>
      </c>
    </row>
    <row r="33" spans="1:17" s="67" customFormat="1" ht="24.95" customHeight="1">
      <c r="A33" s="35">
        <v>6</v>
      </c>
      <c r="B33" s="36" t="s">
        <v>170</v>
      </c>
      <c r="C33" s="37">
        <v>1484.5599999999947</v>
      </c>
      <c r="D33" s="38">
        <v>80.98</v>
      </c>
      <c r="E33" s="38">
        <v>78.989999999999995</v>
      </c>
      <c r="F33" s="38">
        <v>5.99</v>
      </c>
      <c r="G33" s="37">
        <v>371.14</v>
      </c>
      <c r="H33" s="68">
        <f t="shared" si="5"/>
        <v>1.0493949123240305</v>
      </c>
      <c r="I33" s="37">
        <v>1484.5599999999947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3.9999999999999858</v>
      </c>
      <c r="N33" s="42">
        <f t="shared" si="9"/>
        <v>4.9394912324030447E-2</v>
      </c>
      <c r="O33" s="44" t="s">
        <v>116</v>
      </c>
      <c r="P33" s="69" t="s">
        <v>277</v>
      </c>
      <c r="Q33" s="45" t="s">
        <v>287</v>
      </c>
    </row>
    <row r="34" spans="1:17" s="67" customFormat="1" ht="24.95" customHeight="1">
      <c r="A34" s="47">
        <v>7</v>
      </c>
      <c r="B34" s="36" t="s">
        <v>179</v>
      </c>
      <c r="C34" s="37">
        <v>1219.1426000000038</v>
      </c>
      <c r="D34" s="38">
        <v>135.38</v>
      </c>
      <c r="E34" s="38">
        <v>134.87</v>
      </c>
      <c r="F34" s="38">
        <v>3.5</v>
      </c>
      <c r="G34" s="37">
        <v>407.74</v>
      </c>
      <c r="H34" s="68">
        <f t="shared" si="5"/>
        <v>1.0220859802038706</v>
      </c>
      <c r="I34" s="37">
        <v>1219.1426000000038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2.9900000000000091</v>
      </c>
      <c r="N34" s="42">
        <f t="shared" si="9"/>
        <v>2.2085980203870655E-2</v>
      </c>
      <c r="O34" s="44" t="s">
        <v>116</v>
      </c>
      <c r="P34" s="69" t="s">
        <v>225</v>
      </c>
      <c r="Q34" s="45" t="s">
        <v>180</v>
      </c>
    </row>
    <row r="35" spans="1:17" s="67" customFormat="1" ht="24.95" customHeight="1">
      <c r="A35" s="35">
        <v>8</v>
      </c>
      <c r="B35" s="36" t="s">
        <v>217</v>
      </c>
      <c r="C35" s="37">
        <v>1182.4043999999958</v>
      </c>
      <c r="D35" s="38">
        <v>310.10000000000002</v>
      </c>
      <c r="E35" s="38">
        <v>302.77999999999997</v>
      </c>
      <c r="F35" s="38">
        <v>25.2</v>
      </c>
      <c r="G35" s="37">
        <v>66.13</v>
      </c>
      <c r="H35" s="68">
        <f t="shared" si="5"/>
        <v>1.057658819735569</v>
      </c>
      <c r="I35" s="37">
        <v>1182.4043999999958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17.879999999999939</v>
      </c>
      <c r="N35" s="42">
        <f t="shared" si="9"/>
        <v>5.7658819735568967E-2</v>
      </c>
      <c r="O35" s="44" t="s">
        <v>116</v>
      </c>
      <c r="P35" s="69" t="s">
        <v>243</v>
      </c>
      <c r="Q35" s="45" t="s">
        <v>218</v>
      </c>
    </row>
    <row r="36" spans="1:17" s="67" customFormat="1" ht="24.95" customHeight="1">
      <c r="A36" s="47">
        <v>9</v>
      </c>
      <c r="B36" s="36" t="s">
        <v>254</v>
      </c>
      <c r="C36" s="37">
        <v>999.51599999999848</v>
      </c>
      <c r="D36" s="38">
        <v>61.74</v>
      </c>
      <c r="E36" s="38">
        <v>61.6</v>
      </c>
      <c r="F36" s="38">
        <v>5.25</v>
      </c>
      <c r="G36" s="37">
        <v>195.6</v>
      </c>
      <c r="H36" s="68">
        <f t="shared" si="5"/>
        <v>1.0827664399092969</v>
      </c>
      <c r="I36" s="37">
        <v>999.51599999999848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5.1099999999999923</v>
      </c>
      <c r="N36" s="42">
        <f t="shared" si="9"/>
        <v>8.2766439909296927E-2</v>
      </c>
      <c r="O36" s="44" t="s">
        <v>131</v>
      </c>
      <c r="P36" s="69" t="s">
        <v>277</v>
      </c>
      <c r="Q36" s="45" t="s">
        <v>253</v>
      </c>
    </row>
    <row r="37" spans="1:17" s="67" customFormat="1" ht="24.95" customHeight="1" thickBot="1">
      <c r="A37" s="48">
        <v>10</v>
      </c>
      <c r="B37" s="49" t="s">
        <v>152</v>
      </c>
      <c r="C37" s="50">
        <v>874.3100000000004</v>
      </c>
      <c r="D37" s="51">
        <v>23.59</v>
      </c>
      <c r="E37" s="51">
        <v>24.98</v>
      </c>
      <c r="F37" s="51">
        <v>0</v>
      </c>
      <c r="G37" s="50">
        <v>629</v>
      </c>
      <c r="H37" s="70">
        <f t="shared" si="5"/>
        <v>1.0589232725731241</v>
      </c>
      <c r="I37" s="50">
        <v>874.3100000000004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1.3900000000000006</v>
      </c>
      <c r="N37" s="55">
        <f t="shared" si="9"/>
        <v>5.8923272573124227E-2</v>
      </c>
      <c r="O37" s="57" t="s">
        <v>131</v>
      </c>
      <c r="P37" s="57" t="s">
        <v>277</v>
      </c>
      <c r="Q37" s="58" t="s">
        <v>105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168</v>
      </c>
      <c r="C44" s="37">
        <v>499.8</v>
      </c>
      <c r="D44" s="76">
        <f t="shared" ref="D44:D53" si="10">C44/$L$5</f>
        <v>0.23444184266222359</v>
      </c>
      <c r="E44" s="77"/>
    </row>
    <row r="45" spans="1:17" s="78" customFormat="1" ht="24.95" customHeight="1">
      <c r="A45" s="79">
        <v>2</v>
      </c>
      <c r="B45" s="36" t="s">
        <v>282</v>
      </c>
      <c r="C45" s="37">
        <v>299.27999999999997</v>
      </c>
      <c r="D45" s="76">
        <f t="shared" si="10"/>
        <v>0.14038366280902415</v>
      </c>
      <c r="E45" s="77"/>
    </row>
    <row r="46" spans="1:17" s="78" customFormat="1" ht="24.95" customHeight="1">
      <c r="A46" s="79">
        <v>3</v>
      </c>
      <c r="B46" s="36" t="s">
        <v>141</v>
      </c>
      <c r="C46" s="37">
        <v>270.19</v>
      </c>
      <c r="D46" s="76">
        <f t="shared" si="10"/>
        <v>0.12673837828912804</v>
      </c>
      <c r="E46" s="77"/>
    </row>
    <row r="47" spans="1:17" s="78" customFormat="1" ht="24.95" customHeight="1">
      <c r="A47" s="75">
        <v>4</v>
      </c>
      <c r="B47" s="36" t="s">
        <v>137</v>
      </c>
      <c r="C47" s="37">
        <v>259.70000000000005</v>
      </c>
      <c r="D47" s="76">
        <f t="shared" si="10"/>
        <v>0.12181782020684169</v>
      </c>
      <c r="E47" s="77"/>
    </row>
    <row r="48" spans="1:17" s="78" customFormat="1" ht="24.95" customHeight="1">
      <c r="A48" s="79">
        <v>5</v>
      </c>
      <c r="B48" s="36" t="s">
        <v>138</v>
      </c>
      <c r="C48" s="37">
        <v>231.66</v>
      </c>
      <c r="D48" s="76">
        <f t="shared" si="10"/>
        <v>0.10866506056648803</v>
      </c>
      <c r="E48" s="77"/>
    </row>
    <row r="49" spans="1:5" s="78" customFormat="1" ht="24.95" customHeight="1">
      <c r="A49" s="75">
        <v>6</v>
      </c>
      <c r="B49" s="36" t="s">
        <v>159</v>
      </c>
      <c r="C49" s="37">
        <v>140.58199999999999</v>
      </c>
      <c r="D49" s="76">
        <f t="shared" si="10"/>
        <v>6.5942983443658898E-2</v>
      </c>
      <c r="E49" s="77"/>
    </row>
    <row r="50" spans="1:5" s="78" customFormat="1" ht="24.95" customHeight="1">
      <c r="A50" s="79">
        <v>7</v>
      </c>
      <c r="B50" s="36" t="s">
        <v>139</v>
      </c>
      <c r="C50" s="37">
        <v>134.232</v>
      </c>
      <c r="D50" s="76">
        <f t="shared" si="10"/>
        <v>6.2964380600711481E-2</v>
      </c>
      <c r="E50" s="77"/>
    </row>
    <row r="51" spans="1:5" s="78" customFormat="1" ht="24.95" customHeight="1">
      <c r="A51" s="75">
        <v>8</v>
      </c>
      <c r="B51" s="36" t="s">
        <v>233</v>
      </c>
      <c r="C51" s="37">
        <v>113.39999999999999</v>
      </c>
      <c r="D51" s="76">
        <f t="shared" si="10"/>
        <v>5.3192686990588545E-2</v>
      </c>
      <c r="E51" s="77"/>
    </row>
    <row r="52" spans="1:5" s="78" customFormat="1" ht="24.95" customHeight="1">
      <c r="A52" s="79">
        <v>9</v>
      </c>
      <c r="B52" s="36" t="s">
        <v>288</v>
      </c>
      <c r="C52" s="37">
        <v>49.705500000000001</v>
      </c>
      <c r="D52" s="76">
        <f t="shared" si="10"/>
        <v>2.3315424190570536E-2</v>
      </c>
      <c r="E52" s="77"/>
    </row>
    <row r="53" spans="1:5" s="78" customFormat="1" ht="24.95" customHeight="1" thickBot="1">
      <c r="A53" s="80">
        <v>10</v>
      </c>
      <c r="B53" s="49" t="s">
        <v>160</v>
      </c>
      <c r="C53" s="50">
        <v>38.176000000000002</v>
      </c>
      <c r="D53" s="81">
        <f t="shared" si="10"/>
        <v>1.7907266477537112E-2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67" priority="34" operator="containsText" text="中華">
      <formula>NOT(ISERROR(SEARCH("中華",A12)))</formula>
    </cfRule>
    <cfRule type="containsText" dxfId="66" priority="33" operator="containsText" text="湯凍">
      <formula>NOT(ISERROR(SEARCH("湯凍",A12)))</formula>
    </cfRule>
    <cfRule type="containsText" dxfId="65" priority="32" operator="containsText" text=")川燙小青花菜">
      <formula>NOT(ISERROR(SEARCH(")川燙小青花菜",A12)))</formula>
    </cfRule>
    <cfRule type="containsText" dxfId="64" priority="31" operator="containsText" text="青蔥">
      <formula>NOT(ISERROR(SEARCH("青蔥",A12)))</formula>
    </cfRule>
    <cfRule type="containsText" dxfId="63" priority="30" operator="containsText" text="白醬">
      <formula>NOT(ISERROR(SEARCH("白醬",A12)))</formula>
    </cfRule>
    <cfRule type="containsText" dxfId="62" priority="29" operator="containsText" text="024">
      <formula>NOT(ISERROR(SEARCH("024",A12)))</formula>
    </cfRule>
    <cfRule type="containsText" dxfId="61" priority="28" operator="containsText" text="煮白細麵生(方#12)">
      <formula>NOT(ISERROR(SEARCH("煮白細麵生(方#12)",A12)))</formula>
    </cfRule>
    <cfRule type="containsText" dxfId="60" priority="27" operator="containsText" text="綠豆芽">
      <formula>NOT(ISERROR(SEARCH("綠豆芽",A12)))</formula>
    </cfRule>
  </conditionalFormatting>
  <conditionalFormatting sqref="A28:A37">
    <cfRule type="containsText" dxfId="59" priority="5" operator="containsText" text="綠豆芽">
      <formula>NOT(ISERROR(SEARCH("綠豆芽",A28)))</formula>
    </cfRule>
    <cfRule type="containsText" dxfId="58" priority="6" operator="containsText" text="煮白細麵生(方#12)">
      <formula>NOT(ISERROR(SEARCH("煮白細麵生(方#12)",A28)))</formula>
    </cfRule>
    <cfRule type="containsText" dxfId="57" priority="7" operator="containsText" text="024">
      <formula>NOT(ISERROR(SEARCH("024",A28)))</formula>
    </cfRule>
    <cfRule type="containsText" dxfId="56" priority="8" operator="containsText" text="白醬">
      <formula>NOT(ISERROR(SEARCH("白醬",A28)))</formula>
    </cfRule>
    <cfRule type="containsText" dxfId="55" priority="9" operator="containsText" text="青蔥">
      <formula>NOT(ISERROR(SEARCH("青蔥",A28)))</formula>
    </cfRule>
    <cfRule type="containsText" dxfId="54" priority="10" operator="containsText" text=")川燙小青花菜">
      <formula>NOT(ISERROR(SEARCH(")川燙小青花菜",A28)))</formula>
    </cfRule>
    <cfRule type="containsText" dxfId="53" priority="11" operator="containsText" text="湯凍">
      <formula>NOT(ISERROR(SEARCH("湯凍",A28)))</formula>
    </cfRule>
    <cfRule type="containsText" dxfId="52" priority="12" operator="containsText" text="中華">
      <formula>NOT(ISERROR(SEARCH("中華",A28)))</formula>
    </cfRule>
  </conditionalFormatting>
  <conditionalFormatting sqref="A44:A53">
    <cfRule type="containsText" dxfId="51" priority="17" operator="containsText" text="綠豆芽">
      <formula>NOT(ISERROR(SEARCH("綠豆芽",A44)))</formula>
    </cfRule>
    <cfRule type="containsText" dxfId="50" priority="18" operator="containsText" text="煮白細麵生(方#12)">
      <formula>NOT(ISERROR(SEARCH("煮白細麵生(方#12)",A44)))</formula>
    </cfRule>
    <cfRule type="containsText" dxfId="49" priority="19" operator="containsText" text="024">
      <formula>NOT(ISERROR(SEARCH("024",A44)))</formula>
    </cfRule>
    <cfRule type="containsText" dxfId="48" priority="20" operator="containsText" text="白醬">
      <formula>NOT(ISERROR(SEARCH("白醬",A44)))</formula>
    </cfRule>
    <cfRule type="containsText" dxfId="47" priority="21" operator="containsText" text="青蔥">
      <formula>NOT(ISERROR(SEARCH("青蔥",A44)))</formula>
    </cfRule>
    <cfRule type="containsText" dxfId="46" priority="22" operator="containsText" text=")川燙小青花菜">
      <formula>NOT(ISERROR(SEARCH(")川燙小青花菜",A44)))</formula>
    </cfRule>
    <cfRule type="containsText" dxfId="45" priority="23" operator="containsText" text="湯凍">
      <formula>NOT(ISERROR(SEARCH("湯凍",A44)))</formula>
    </cfRule>
    <cfRule type="containsText" dxfId="44" priority="24" operator="containsText" text="中華">
      <formula>NOT(ISERROR(SEARCH("中華",A44)))</formula>
    </cfRule>
  </conditionalFormatting>
  <conditionalFormatting sqref="D44:D53">
    <cfRule type="cellIs" dxfId="43" priority="16" operator="greaterThan">
      <formula>0.146</formula>
    </cfRule>
  </conditionalFormatting>
  <conditionalFormatting sqref="E5">
    <cfRule type="cellIs" dxfId="42" priority="25" operator="greaterThan">
      <formula>0.072</formula>
    </cfRule>
    <cfRule type="cellIs" dxfId="41" priority="26" operator="greaterThan">
      <formula>7.2</formula>
    </cfRule>
    <cfRule type="cellIs" dxfId="40" priority="14" operator="greaterThan">
      <formula>0.0025</formula>
    </cfRule>
  </conditionalFormatting>
  <conditionalFormatting sqref="G5">
    <cfRule type="cellIs" dxfId="39" priority="3" operator="greaterThan">
      <formula>7.2</formula>
    </cfRule>
    <cfRule type="cellIs" dxfId="38" priority="2" operator="greaterThan">
      <formula>0.072</formula>
    </cfRule>
    <cfRule type="cellIs" dxfId="37" priority="1" operator="greaterThan">
      <formula>0.0025</formula>
    </cfRule>
  </conditionalFormatting>
  <conditionalFormatting sqref="H12:H22">
    <cfRule type="cellIs" dxfId="36" priority="15" operator="greaterThan">
      <formula>1.1</formula>
    </cfRule>
  </conditionalFormatting>
  <conditionalFormatting sqref="H28:H37">
    <cfRule type="cellIs" dxfId="35" priority="4" operator="greaterThan">
      <formula>1.1</formula>
    </cfRule>
  </conditionalFormatting>
  <conditionalFormatting sqref="I5">
    <cfRule type="cellIs" dxfId="3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782F-701C-4E40-A3B5-90B817B0902E}">
  <sheetPr>
    <tabColor rgb="FFFF0000"/>
    <pageSetUpPr fitToPage="1"/>
  </sheetPr>
  <dimension ref="A1:Q56"/>
  <sheetViews>
    <sheetView zoomScale="70" zoomScaleNormal="70" workbookViewId="0">
      <selection activeCell="D5" sqref="D5"/>
    </sheetView>
  </sheetViews>
  <sheetFormatPr defaultRowHeight="15.75"/>
  <cols>
    <col min="1" max="1" width="7.875" style="18" bestFit="1" customWidth="1"/>
    <col min="2" max="2" width="30.75" style="18" customWidth="1"/>
    <col min="3" max="3" width="22.5" style="18" customWidth="1"/>
    <col min="4" max="4" width="19" style="18" customWidth="1"/>
    <col min="5" max="5" width="23.625" style="18" customWidth="1"/>
    <col min="6" max="6" width="19" style="18" customWidth="1"/>
    <col min="7" max="7" width="22.5" style="18" customWidth="1"/>
    <col min="8" max="8" width="22.125" style="18" bestFit="1" customWidth="1"/>
    <col min="9" max="9" width="21.5" style="18" customWidth="1"/>
    <col min="10" max="10" width="19" style="18" customWidth="1"/>
    <col min="11" max="11" width="23.5" style="18" bestFit="1" customWidth="1"/>
    <col min="12" max="12" width="19" style="18" customWidth="1"/>
    <col min="13" max="13" width="20.625" style="18" customWidth="1"/>
    <col min="14" max="14" width="19" style="18" customWidth="1"/>
    <col min="15" max="15" width="29" style="18" bestFit="1" customWidth="1"/>
    <col min="16" max="16" width="89.375" style="18" customWidth="1"/>
    <col min="17" max="17" width="41.75" style="18" customWidth="1"/>
    <col min="18" max="16384" width="9" style="18"/>
  </cols>
  <sheetData>
    <row r="1" spans="1:17" ht="40.5" customHeight="1">
      <c r="A1" s="93" t="s">
        <v>49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7" ht="24.95" customHeight="1">
      <c r="A2" s="153" t="s">
        <v>3</v>
      </c>
      <c r="B2" s="154"/>
      <c r="C2" s="19" t="s">
        <v>4</v>
      </c>
      <c r="D2" s="155" t="s">
        <v>50</v>
      </c>
      <c r="E2" s="155"/>
      <c r="F2" s="155" t="s">
        <v>51</v>
      </c>
      <c r="G2" s="155"/>
      <c r="H2" s="155" t="s">
        <v>50</v>
      </c>
      <c r="I2" s="155"/>
      <c r="J2" s="155" t="s">
        <v>51</v>
      </c>
      <c r="K2" s="155"/>
      <c r="L2" s="155" t="s">
        <v>50</v>
      </c>
      <c r="M2" s="155"/>
    </row>
    <row r="3" spans="1:17" s="20" customFormat="1" ht="28.5">
      <c r="A3" s="149">
        <v>45870</v>
      </c>
      <c r="B3" s="150"/>
      <c r="C3" s="151">
        <v>5795364.71</v>
      </c>
      <c r="D3" s="152" t="s">
        <v>52</v>
      </c>
      <c r="E3" s="152"/>
      <c r="F3" s="152" t="s">
        <v>53</v>
      </c>
      <c r="G3" s="152"/>
      <c r="H3" s="144" t="s">
        <v>54</v>
      </c>
      <c r="I3" s="144"/>
      <c r="J3" s="144" t="s">
        <v>55</v>
      </c>
      <c r="K3" s="144"/>
      <c r="L3" s="144" t="s">
        <v>56</v>
      </c>
      <c r="M3" s="145"/>
    </row>
    <row r="4" spans="1:17" ht="28.5" customHeight="1">
      <c r="A4" s="149"/>
      <c r="B4" s="150"/>
      <c r="C4" s="151"/>
      <c r="D4" s="21" t="s">
        <v>57</v>
      </c>
      <c r="E4" s="21" t="s">
        <v>58</v>
      </c>
      <c r="F4" s="21" t="s">
        <v>57</v>
      </c>
      <c r="G4" s="21" t="s">
        <v>58</v>
      </c>
      <c r="H4" s="22" t="s">
        <v>57</v>
      </c>
      <c r="I4" s="22" t="s">
        <v>59</v>
      </c>
      <c r="J4" s="22" t="s">
        <v>57</v>
      </c>
      <c r="K4" s="22" t="s">
        <v>60</v>
      </c>
      <c r="L4" s="22" t="s">
        <v>57</v>
      </c>
      <c r="M4" s="23" t="s">
        <v>59</v>
      </c>
    </row>
    <row r="5" spans="1:17" ht="46.5" customHeight="1" thickBot="1">
      <c r="A5" s="146" t="s">
        <v>61</v>
      </c>
      <c r="B5" s="147"/>
      <c r="C5" s="147"/>
      <c r="D5" s="24">
        <v>14010.514299999993</v>
      </c>
      <c r="E5" s="25">
        <f>D5/C3</f>
        <v>2.4175379809703115E-3</v>
      </c>
      <c r="F5" s="24">
        <v>49520.757299999968</v>
      </c>
      <c r="G5" s="26">
        <f>F5/C3</f>
        <v>8.5448905768693139E-3</v>
      </c>
      <c r="H5" s="27">
        <f>SUM(C12:C21)</f>
        <v>5524.3520999999992</v>
      </c>
      <c r="I5" s="28">
        <f>H5/D5</f>
        <v>0.39430045048381995</v>
      </c>
      <c r="J5" s="27">
        <f>SUM(C28:C37)</f>
        <v>15556.247499999998</v>
      </c>
      <c r="K5" s="29">
        <f>J5/F5</f>
        <v>0.3141358967060871</v>
      </c>
      <c r="L5" s="30">
        <v>2512.3204000000001</v>
      </c>
      <c r="M5" s="31">
        <f>L5/D5</f>
        <v>0.17931678639377294</v>
      </c>
    </row>
    <row r="6" spans="1:17" ht="46.5" customHeight="1" thickBot="1"/>
    <row r="7" spans="1:17" ht="40.5" customHeight="1">
      <c r="A7" s="93" t="s">
        <v>62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148"/>
      <c r="Q7" s="95"/>
    </row>
    <row r="8" spans="1:17" ht="26.1" customHeight="1">
      <c r="A8" s="96" t="s">
        <v>63</v>
      </c>
      <c r="B8" s="97"/>
      <c r="C8" s="97"/>
      <c r="D8" s="97" t="s">
        <v>64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100" t="s">
        <v>65</v>
      </c>
      <c r="P8" s="100" t="s">
        <v>220</v>
      </c>
      <c r="Q8" s="104" t="s">
        <v>68</v>
      </c>
    </row>
    <row r="9" spans="1:17" ht="20.45" customHeight="1">
      <c r="A9" s="132" t="s">
        <v>69</v>
      </c>
      <c r="B9" s="135" t="s">
        <v>70</v>
      </c>
      <c r="C9" s="136"/>
      <c r="D9" s="140" t="s">
        <v>71</v>
      </c>
      <c r="E9" s="140"/>
      <c r="F9" s="140"/>
      <c r="G9" s="140"/>
      <c r="H9" s="140"/>
      <c r="I9" s="140"/>
      <c r="J9" s="141" t="s">
        <v>72</v>
      </c>
      <c r="K9" s="141"/>
      <c r="L9" s="141"/>
      <c r="M9" s="105"/>
      <c r="N9" s="105"/>
      <c r="O9" s="100"/>
      <c r="P9" s="100"/>
      <c r="Q9" s="104"/>
    </row>
    <row r="10" spans="1:17" ht="20.45" customHeight="1">
      <c r="A10" s="133"/>
      <c r="B10" s="108" t="s">
        <v>73</v>
      </c>
      <c r="C10" s="110" t="s">
        <v>74</v>
      </c>
      <c r="D10" s="142" t="s">
        <v>75</v>
      </c>
      <c r="E10" s="142"/>
      <c r="F10" s="142"/>
      <c r="G10" s="142"/>
      <c r="H10" s="142"/>
      <c r="I10" s="142"/>
      <c r="J10" s="115" t="s">
        <v>76</v>
      </c>
      <c r="K10" s="117"/>
      <c r="L10" s="143" t="s">
        <v>77</v>
      </c>
      <c r="M10" s="115"/>
      <c r="N10" s="115"/>
      <c r="O10" s="100"/>
      <c r="P10" s="100"/>
      <c r="Q10" s="104"/>
    </row>
    <row r="11" spans="1:17" ht="47.25" customHeight="1">
      <c r="A11" s="134"/>
      <c r="B11" s="109"/>
      <c r="C11" s="111"/>
      <c r="D11" s="32" t="s">
        <v>78</v>
      </c>
      <c r="E11" s="32" t="s">
        <v>79</v>
      </c>
      <c r="F11" s="32" t="s">
        <v>80</v>
      </c>
      <c r="G11" s="32" t="s">
        <v>81</v>
      </c>
      <c r="H11" s="32" t="s">
        <v>82</v>
      </c>
      <c r="I11" s="32" t="s">
        <v>83</v>
      </c>
      <c r="J11" s="33" t="s">
        <v>84</v>
      </c>
      <c r="K11" s="33" t="s">
        <v>85</v>
      </c>
      <c r="L11" s="33" t="s">
        <v>84</v>
      </c>
      <c r="M11" s="33" t="s">
        <v>85</v>
      </c>
      <c r="N11" s="34" t="s">
        <v>86</v>
      </c>
      <c r="O11" s="100"/>
      <c r="P11" s="100"/>
      <c r="Q11" s="104"/>
    </row>
    <row r="12" spans="1:17" s="46" customFormat="1" ht="24.95" customHeight="1">
      <c r="A12" s="35">
        <v>1</v>
      </c>
      <c r="B12" s="36" t="s">
        <v>143</v>
      </c>
      <c r="C12" s="37">
        <v>1355.3999999999999</v>
      </c>
      <c r="D12" s="38">
        <v>68.739999999999995</v>
      </c>
      <c r="E12" s="38">
        <v>78.739999999999995</v>
      </c>
      <c r="F12" s="38">
        <v>0</v>
      </c>
      <c r="G12" s="37">
        <v>135.54</v>
      </c>
      <c r="H12" s="39">
        <f>(E12+F12)/D12</f>
        <v>1.145475705557172</v>
      </c>
      <c r="I12" s="37">
        <v>1355.3999999999999</v>
      </c>
      <c r="J12" s="38">
        <v>10</v>
      </c>
      <c r="K12" s="40">
        <f>J12/D12</f>
        <v>0.14547570555717196</v>
      </c>
      <c r="L12" s="41">
        <f>((E12+F12)-D12)-J12</f>
        <v>0</v>
      </c>
      <c r="M12" s="42">
        <f>L12/D12</f>
        <v>0</v>
      </c>
      <c r="N12" s="43">
        <f t="shared" ref="N12:N21" si="0">L12*G12</f>
        <v>0</v>
      </c>
      <c r="O12" s="44" t="s">
        <v>88</v>
      </c>
      <c r="P12" s="44" t="s">
        <v>275</v>
      </c>
      <c r="Q12" s="45" t="s">
        <v>100</v>
      </c>
    </row>
    <row r="13" spans="1:17" s="46" customFormat="1" ht="24.95" customHeight="1">
      <c r="A13" s="47">
        <v>2</v>
      </c>
      <c r="B13" s="36" t="s">
        <v>91</v>
      </c>
      <c r="C13" s="37">
        <v>927</v>
      </c>
      <c r="D13" s="38">
        <v>3024</v>
      </c>
      <c r="E13" s="38">
        <v>3084</v>
      </c>
      <c r="F13" s="38">
        <v>0</v>
      </c>
      <c r="G13" s="37">
        <v>15.45</v>
      </c>
      <c r="H13" s="39">
        <f t="shared" ref="H13:H21" si="1">(E13+F13)/D13</f>
        <v>1.0198412698412698</v>
      </c>
      <c r="I13" s="37">
        <v>927</v>
      </c>
      <c r="J13" s="38">
        <v>60</v>
      </c>
      <c r="K13" s="40">
        <f>J13/D13</f>
        <v>1.984126984126984E-2</v>
      </c>
      <c r="L13" s="41">
        <f t="shared" ref="L13:L21" si="2">((E13+F13)-D13)-J13</f>
        <v>0</v>
      </c>
      <c r="M13" s="42">
        <f t="shared" ref="M13:M21" si="3">L13/D13</f>
        <v>0</v>
      </c>
      <c r="N13" s="43">
        <f t="shared" si="0"/>
        <v>0</v>
      </c>
      <c r="O13" s="44" t="s">
        <v>88</v>
      </c>
      <c r="P13" s="44" t="s">
        <v>223</v>
      </c>
      <c r="Q13" s="45" t="s">
        <v>94</v>
      </c>
    </row>
    <row r="14" spans="1:17" s="46" customFormat="1" ht="24.95" customHeight="1">
      <c r="A14" s="47">
        <v>3</v>
      </c>
      <c r="B14" s="36" t="s">
        <v>168</v>
      </c>
      <c r="C14" s="37">
        <v>691.05</v>
      </c>
      <c r="D14" s="38">
        <v>13587</v>
      </c>
      <c r="E14" s="38">
        <v>13410</v>
      </c>
      <c r="F14" s="38">
        <v>990</v>
      </c>
      <c r="G14" s="37">
        <v>0.85</v>
      </c>
      <c r="H14" s="39">
        <f>(E14+F14)/D14</f>
        <v>1.0598366085228528</v>
      </c>
      <c r="I14" s="37">
        <v>691.05</v>
      </c>
      <c r="J14" s="38">
        <v>813</v>
      </c>
      <c r="K14" s="40">
        <f t="shared" ref="K14:K21" si="4">J14/D14</f>
        <v>5.9836608522852726E-2</v>
      </c>
      <c r="L14" s="41">
        <f t="shared" si="2"/>
        <v>0</v>
      </c>
      <c r="M14" s="42">
        <f t="shared" si="3"/>
        <v>0</v>
      </c>
      <c r="N14" s="43">
        <f t="shared" si="0"/>
        <v>0</v>
      </c>
      <c r="O14" s="44" t="s">
        <v>88</v>
      </c>
      <c r="P14" s="44" t="s">
        <v>223</v>
      </c>
      <c r="Q14" s="45" t="s">
        <v>103</v>
      </c>
    </row>
    <row r="15" spans="1:17" s="46" customFormat="1" ht="24.95" customHeight="1">
      <c r="A15" s="35">
        <v>4</v>
      </c>
      <c r="B15" s="36" t="s">
        <v>98</v>
      </c>
      <c r="C15" s="37">
        <v>593.37</v>
      </c>
      <c r="D15" s="38">
        <v>5892</v>
      </c>
      <c r="E15" s="38">
        <v>5859</v>
      </c>
      <c r="F15" s="38">
        <v>90</v>
      </c>
      <c r="G15" s="37">
        <v>10.41</v>
      </c>
      <c r="H15" s="39">
        <f>(E15+F15)/D15</f>
        <v>1.0096741344195519</v>
      </c>
      <c r="I15" s="37">
        <v>593.37</v>
      </c>
      <c r="J15" s="38">
        <v>57</v>
      </c>
      <c r="K15" s="40">
        <f t="shared" si="4"/>
        <v>9.674134419551934E-3</v>
      </c>
      <c r="L15" s="41">
        <f t="shared" si="2"/>
        <v>0</v>
      </c>
      <c r="M15" s="42">
        <f t="shared" si="3"/>
        <v>0</v>
      </c>
      <c r="N15" s="43">
        <f t="shared" si="0"/>
        <v>0</v>
      </c>
      <c r="O15" s="44" t="s">
        <v>88</v>
      </c>
      <c r="P15" s="44" t="s">
        <v>223</v>
      </c>
      <c r="Q15" s="45" t="s">
        <v>100</v>
      </c>
    </row>
    <row r="16" spans="1:17" s="46" customFormat="1" ht="24.95" customHeight="1">
      <c r="A16" s="47">
        <v>5</v>
      </c>
      <c r="B16" s="36" t="s">
        <v>289</v>
      </c>
      <c r="C16" s="37">
        <v>405.12</v>
      </c>
      <c r="D16" s="38">
        <v>25.34</v>
      </c>
      <c r="E16" s="38">
        <v>27.34</v>
      </c>
      <c r="F16" s="38">
        <v>0</v>
      </c>
      <c r="G16" s="37">
        <v>202.56</v>
      </c>
      <c r="H16" s="39">
        <f t="shared" si="1"/>
        <v>1.0789265982636149</v>
      </c>
      <c r="I16" s="37">
        <v>405.12</v>
      </c>
      <c r="J16" s="38">
        <v>2</v>
      </c>
      <c r="K16" s="40">
        <f t="shared" si="4"/>
        <v>7.8926598263614839E-2</v>
      </c>
      <c r="L16" s="41">
        <f t="shared" si="2"/>
        <v>0</v>
      </c>
      <c r="M16" s="42">
        <f t="shared" si="3"/>
        <v>0</v>
      </c>
      <c r="N16" s="43">
        <f t="shared" si="0"/>
        <v>0</v>
      </c>
      <c r="O16" s="44" t="s">
        <v>88</v>
      </c>
      <c r="P16" s="44" t="s">
        <v>275</v>
      </c>
      <c r="Q16" s="45" t="s">
        <v>211</v>
      </c>
    </row>
    <row r="17" spans="1:17" s="46" customFormat="1" ht="24.95" customHeight="1">
      <c r="A17" s="35">
        <v>6</v>
      </c>
      <c r="B17" s="36" t="s">
        <v>290</v>
      </c>
      <c r="C17" s="37">
        <v>321.98880000000003</v>
      </c>
      <c r="D17" s="38">
        <v>26.9</v>
      </c>
      <c r="E17" s="38">
        <v>29.220000000000002</v>
      </c>
      <c r="F17" s="38">
        <v>0</v>
      </c>
      <c r="G17" s="37">
        <v>145.04</v>
      </c>
      <c r="H17" s="39">
        <f t="shared" si="1"/>
        <v>1.0862453531598515</v>
      </c>
      <c r="I17" s="37">
        <v>336.49280000000056</v>
      </c>
      <c r="J17" s="38">
        <v>2.2200000000000002</v>
      </c>
      <c r="K17" s="40">
        <f t="shared" si="4"/>
        <v>8.2527881040892204E-2</v>
      </c>
      <c r="L17" s="41">
        <f t="shared" si="2"/>
        <v>0.10000000000000364</v>
      </c>
      <c r="M17" s="42">
        <f t="shared" si="3"/>
        <v>3.7174721189592434E-3</v>
      </c>
      <c r="N17" s="43">
        <f t="shared" si="0"/>
        <v>14.504000000000527</v>
      </c>
      <c r="O17" s="44" t="s">
        <v>88</v>
      </c>
      <c r="P17" s="44" t="s">
        <v>275</v>
      </c>
      <c r="Q17" s="45" t="s">
        <v>218</v>
      </c>
    </row>
    <row r="18" spans="1:17" s="46" customFormat="1" ht="24.95" customHeight="1">
      <c r="A18" s="47">
        <v>7</v>
      </c>
      <c r="B18" s="36" t="s">
        <v>186</v>
      </c>
      <c r="C18" s="37">
        <v>316.86059999999998</v>
      </c>
      <c r="D18" s="38">
        <v>172.62</v>
      </c>
      <c r="E18" s="38">
        <v>166.7</v>
      </c>
      <c r="F18" s="38">
        <v>11.1</v>
      </c>
      <c r="G18" s="37">
        <v>61.17</v>
      </c>
      <c r="H18" s="39">
        <f t="shared" si="1"/>
        <v>1.0300081103000809</v>
      </c>
      <c r="I18" s="37">
        <v>316.86059999999867</v>
      </c>
      <c r="J18" s="38">
        <v>5.18</v>
      </c>
      <c r="K18" s="40">
        <f t="shared" si="4"/>
        <v>3.00081103000811E-2</v>
      </c>
      <c r="L18" s="41">
        <f>((E18+F18)-D18)-J18</f>
        <v>-2.1316282072803006E-14</v>
      </c>
      <c r="M18" s="42">
        <f t="shared" si="3"/>
        <v>-1.234867458741919E-16</v>
      </c>
      <c r="N18" s="43">
        <f t="shared" si="0"/>
        <v>-1.3039169743933598E-12</v>
      </c>
      <c r="O18" s="44" t="s">
        <v>88</v>
      </c>
      <c r="P18" s="44" t="s">
        <v>273</v>
      </c>
      <c r="Q18" s="45" t="s">
        <v>189</v>
      </c>
    </row>
    <row r="19" spans="1:17" s="46" customFormat="1" ht="24.95" customHeight="1">
      <c r="A19" s="35">
        <v>8</v>
      </c>
      <c r="B19" s="36" t="s">
        <v>150</v>
      </c>
      <c r="C19" s="37">
        <v>313.09069999999997</v>
      </c>
      <c r="D19" s="38">
        <v>72.84</v>
      </c>
      <c r="E19" s="38">
        <v>75.25</v>
      </c>
      <c r="F19" s="38">
        <v>0</v>
      </c>
      <c r="G19" s="37">
        <v>141.66999999999999</v>
      </c>
      <c r="H19" s="39">
        <f t="shared" si="1"/>
        <v>1.0330862163646348</v>
      </c>
      <c r="I19" s="37">
        <v>341.42469999999946</v>
      </c>
      <c r="J19" s="38">
        <v>2.21</v>
      </c>
      <c r="K19" s="40">
        <f t="shared" si="4"/>
        <v>3.0340472267984621E-2</v>
      </c>
      <c r="L19" s="41">
        <f t="shared" si="2"/>
        <v>0.19999999999999662</v>
      </c>
      <c r="M19" s="42">
        <f t="shared" si="3"/>
        <v>2.7457440966501458E-3</v>
      </c>
      <c r="N19" s="43">
        <f t="shared" si="0"/>
        <v>28.33399999999952</v>
      </c>
      <c r="O19" s="44" t="s">
        <v>88</v>
      </c>
      <c r="P19" s="44" t="s">
        <v>275</v>
      </c>
      <c r="Q19" s="45" t="s">
        <v>133</v>
      </c>
    </row>
    <row r="20" spans="1:17" s="46" customFormat="1" ht="24.95" customHeight="1">
      <c r="A20" s="47">
        <v>9</v>
      </c>
      <c r="B20" s="36" t="s">
        <v>231</v>
      </c>
      <c r="C20" s="37">
        <v>303.392</v>
      </c>
      <c r="D20" s="38">
        <v>39.36</v>
      </c>
      <c r="E20" s="38">
        <v>41.26</v>
      </c>
      <c r="F20" s="38">
        <v>0</v>
      </c>
      <c r="G20" s="37">
        <v>159.68</v>
      </c>
      <c r="H20" s="39">
        <f t="shared" si="1"/>
        <v>1.0482723577235773</v>
      </c>
      <c r="I20" s="37">
        <v>303.39199999999977</v>
      </c>
      <c r="J20" s="38">
        <v>1.9</v>
      </c>
      <c r="K20" s="40">
        <f t="shared" si="4"/>
        <v>4.8272357723577235E-2</v>
      </c>
      <c r="L20" s="41">
        <f t="shared" si="2"/>
        <v>0</v>
      </c>
      <c r="M20" s="42">
        <f t="shared" si="3"/>
        <v>0</v>
      </c>
      <c r="N20" s="43">
        <f t="shared" si="0"/>
        <v>0</v>
      </c>
      <c r="O20" s="44" t="s">
        <v>88</v>
      </c>
      <c r="P20" s="44" t="s">
        <v>275</v>
      </c>
      <c r="Q20" s="45" t="s">
        <v>147</v>
      </c>
    </row>
    <row r="21" spans="1:17" s="46" customFormat="1" ht="24.95" customHeight="1" thickBot="1">
      <c r="A21" s="48">
        <v>10</v>
      </c>
      <c r="B21" s="49" t="s">
        <v>190</v>
      </c>
      <c r="C21" s="50">
        <v>297.08</v>
      </c>
      <c r="D21" s="51">
        <v>1233</v>
      </c>
      <c r="E21" s="51">
        <v>1261</v>
      </c>
      <c r="F21" s="51">
        <v>0</v>
      </c>
      <c r="G21" s="50">
        <v>10.61</v>
      </c>
      <c r="H21" s="52">
        <f t="shared" si="1"/>
        <v>1.0227088402270883</v>
      </c>
      <c r="I21" s="50">
        <v>297.08</v>
      </c>
      <c r="J21" s="51">
        <v>28</v>
      </c>
      <c r="K21" s="53">
        <f t="shared" si="4"/>
        <v>2.2708840227088401E-2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88</v>
      </c>
      <c r="P21" s="57" t="s">
        <v>261</v>
      </c>
      <c r="Q21" s="58" t="s">
        <v>189</v>
      </c>
    </row>
    <row r="22" spans="1:17" s="67" customFormat="1" ht="24.95" customHeight="1" thickBot="1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0"/>
    </row>
    <row r="23" spans="1:17" s="67" customFormat="1" ht="40.5" customHeight="1">
      <c r="A23" s="118" t="s">
        <v>114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</row>
    <row r="24" spans="1:17" s="67" customFormat="1" ht="24.95" customHeight="1">
      <c r="A24" s="121" t="s">
        <v>63</v>
      </c>
      <c r="B24" s="122"/>
      <c r="C24" s="123"/>
      <c r="D24" s="124" t="s">
        <v>64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3"/>
      <c r="O24" s="125" t="s">
        <v>65</v>
      </c>
      <c r="P24" s="125" t="s">
        <v>220</v>
      </c>
      <c r="Q24" s="129" t="s">
        <v>68</v>
      </c>
    </row>
    <row r="25" spans="1:17" s="67" customFormat="1" ht="24.95" customHeight="1">
      <c r="A25" s="132" t="s">
        <v>69</v>
      </c>
      <c r="B25" s="135" t="s">
        <v>70</v>
      </c>
      <c r="C25" s="136"/>
      <c r="D25" s="137" t="s">
        <v>71</v>
      </c>
      <c r="E25" s="138"/>
      <c r="F25" s="138"/>
      <c r="G25" s="138"/>
      <c r="H25" s="138"/>
      <c r="I25" s="139"/>
      <c r="J25" s="105" t="s">
        <v>72</v>
      </c>
      <c r="K25" s="106"/>
      <c r="L25" s="106"/>
      <c r="M25" s="106"/>
      <c r="N25" s="107"/>
      <c r="O25" s="126"/>
      <c r="P25" s="126"/>
      <c r="Q25" s="130"/>
    </row>
    <row r="26" spans="1:17" s="67" customFormat="1" ht="24.95" customHeight="1">
      <c r="A26" s="133"/>
      <c r="B26" s="108" t="s">
        <v>73</v>
      </c>
      <c r="C26" s="110" t="s">
        <v>115</v>
      </c>
      <c r="D26" s="112" t="s">
        <v>75</v>
      </c>
      <c r="E26" s="113"/>
      <c r="F26" s="113"/>
      <c r="G26" s="113"/>
      <c r="H26" s="113"/>
      <c r="I26" s="114"/>
      <c r="J26" s="115" t="s">
        <v>76</v>
      </c>
      <c r="K26" s="116"/>
      <c r="L26" s="117"/>
      <c r="M26" s="115" t="s">
        <v>77</v>
      </c>
      <c r="N26" s="117"/>
      <c r="O26" s="126"/>
      <c r="P26" s="126"/>
      <c r="Q26" s="130"/>
    </row>
    <row r="27" spans="1:17" s="67" customFormat="1" ht="50.1" customHeight="1">
      <c r="A27" s="134"/>
      <c r="B27" s="109"/>
      <c r="C27" s="111"/>
      <c r="D27" s="32" t="s">
        <v>78</v>
      </c>
      <c r="E27" s="32" t="s">
        <v>79</v>
      </c>
      <c r="F27" s="32" t="s">
        <v>80</v>
      </c>
      <c r="G27" s="32" t="s">
        <v>81</v>
      </c>
      <c r="H27" s="32" t="s">
        <v>82</v>
      </c>
      <c r="I27" s="32" t="s">
        <v>83</v>
      </c>
      <c r="J27" s="33" t="s">
        <v>84</v>
      </c>
      <c r="K27" s="33" t="s">
        <v>85</v>
      </c>
      <c r="L27" s="34" t="s">
        <v>86</v>
      </c>
      <c r="M27" s="33" t="s">
        <v>84</v>
      </c>
      <c r="N27" s="33" t="s">
        <v>85</v>
      </c>
      <c r="O27" s="127"/>
      <c r="P27" s="127"/>
      <c r="Q27" s="131"/>
    </row>
    <row r="28" spans="1:17" s="67" customFormat="1" ht="24.95" customHeight="1">
      <c r="A28" s="35">
        <v>1</v>
      </c>
      <c r="B28" s="36" t="s">
        <v>291</v>
      </c>
      <c r="C28" s="37">
        <v>2794.9726000000005</v>
      </c>
      <c r="D28" s="38">
        <v>109.3</v>
      </c>
      <c r="E28" s="38">
        <v>120.36</v>
      </c>
      <c r="F28" s="38">
        <v>0</v>
      </c>
      <c r="G28" s="37">
        <v>252.71</v>
      </c>
      <c r="H28" s="68">
        <f t="shared" ref="H28:H37" si="5">(E28+F28)/D28</f>
        <v>1.1011893870082343</v>
      </c>
      <c r="I28" s="37">
        <v>2794.9726000000005</v>
      </c>
      <c r="J28" s="38">
        <v>0</v>
      </c>
      <c r="K28" s="40">
        <f t="shared" ref="K28:K37" si="6">J28/D28</f>
        <v>0</v>
      </c>
      <c r="L28" s="43">
        <f t="shared" ref="L28:L37" si="7">J28*G28</f>
        <v>0</v>
      </c>
      <c r="M28" s="41">
        <f t="shared" ref="M28:M37" si="8">((E28+F28)-D28)-J28</f>
        <v>11.060000000000002</v>
      </c>
      <c r="N28" s="42">
        <f t="shared" ref="N28:N37" si="9">M28/D28</f>
        <v>0.10118938700823424</v>
      </c>
      <c r="O28" s="44" t="s">
        <v>116</v>
      </c>
      <c r="P28" s="69" t="s">
        <v>277</v>
      </c>
      <c r="Q28" s="45" t="s">
        <v>292</v>
      </c>
    </row>
    <row r="29" spans="1:17" s="67" customFormat="1" ht="24.95" customHeight="1">
      <c r="A29" s="47">
        <v>2</v>
      </c>
      <c r="B29" s="36" t="s">
        <v>101</v>
      </c>
      <c r="C29" s="37">
        <v>2552.0133000000005</v>
      </c>
      <c r="D29" s="38">
        <v>444.07</v>
      </c>
      <c r="E29" s="38">
        <v>443.84</v>
      </c>
      <c r="F29" s="38">
        <v>17.54</v>
      </c>
      <c r="G29" s="37">
        <v>147.43</v>
      </c>
      <c r="H29" s="68">
        <f t="shared" si="5"/>
        <v>1.0389803409372396</v>
      </c>
      <c r="I29" s="37">
        <v>2552.0133000000005</v>
      </c>
      <c r="J29" s="38">
        <v>0</v>
      </c>
      <c r="K29" s="40">
        <f t="shared" si="6"/>
        <v>0</v>
      </c>
      <c r="L29" s="43">
        <f t="shared" si="7"/>
        <v>0</v>
      </c>
      <c r="M29" s="41">
        <f t="shared" si="8"/>
        <v>17.310000000000002</v>
      </c>
      <c r="N29" s="42">
        <f t="shared" si="9"/>
        <v>3.8980340937239628E-2</v>
      </c>
      <c r="O29" s="44" t="s">
        <v>116</v>
      </c>
      <c r="P29" s="44" t="s">
        <v>224</v>
      </c>
      <c r="Q29" s="45" t="s">
        <v>103</v>
      </c>
    </row>
    <row r="30" spans="1:17" s="67" customFormat="1" ht="24.95" customHeight="1">
      <c r="A30" s="47">
        <v>3</v>
      </c>
      <c r="B30" s="36" t="s">
        <v>129</v>
      </c>
      <c r="C30" s="37">
        <v>1657.5311999999972</v>
      </c>
      <c r="D30" s="38">
        <v>3160.77</v>
      </c>
      <c r="E30" s="38">
        <v>3139.85</v>
      </c>
      <c r="F30" s="38">
        <v>63</v>
      </c>
      <c r="G30" s="37">
        <v>39.39</v>
      </c>
      <c r="H30" s="68">
        <f t="shared" si="5"/>
        <v>1.0133132116541221</v>
      </c>
      <c r="I30" s="37">
        <v>1657.5311999999972</v>
      </c>
      <c r="J30" s="38">
        <v>0</v>
      </c>
      <c r="K30" s="40">
        <f t="shared" si="6"/>
        <v>0</v>
      </c>
      <c r="L30" s="43">
        <f t="shared" si="7"/>
        <v>0</v>
      </c>
      <c r="M30" s="41">
        <f t="shared" si="8"/>
        <v>42.079999999999927</v>
      </c>
      <c r="N30" s="42">
        <f t="shared" si="9"/>
        <v>1.3313211654122232E-2</v>
      </c>
      <c r="O30" s="44" t="s">
        <v>116</v>
      </c>
      <c r="P30" s="69" t="s">
        <v>225</v>
      </c>
      <c r="Q30" s="45" t="s">
        <v>103</v>
      </c>
    </row>
    <row r="31" spans="1:17" s="67" customFormat="1" ht="24.95" customHeight="1">
      <c r="A31" s="35">
        <v>4</v>
      </c>
      <c r="B31" s="36" t="s">
        <v>244</v>
      </c>
      <c r="C31" s="37">
        <v>1546.96</v>
      </c>
      <c r="D31" s="38">
        <v>2990</v>
      </c>
      <c r="E31" s="38">
        <v>3307</v>
      </c>
      <c r="F31" s="38">
        <v>0</v>
      </c>
      <c r="G31" s="37">
        <v>4.88</v>
      </c>
      <c r="H31" s="68">
        <f t="shared" si="5"/>
        <v>1.1060200668896321</v>
      </c>
      <c r="I31" s="37">
        <v>1546.96</v>
      </c>
      <c r="J31" s="38">
        <v>0</v>
      </c>
      <c r="K31" s="40">
        <f t="shared" si="6"/>
        <v>0</v>
      </c>
      <c r="L31" s="43">
        <f t="shared" si="7"/>
        <v>0</v>
      </c>
      <c r="M31" s="41">
        <f t="shared" si="8"/>
        <v>317</v>
      </c>
      <c r="N31" s="42">
        <f t="shared" si="9"/>
        <v>0.1060200668896321</v>
      </c>
      <c r="O31" s="44" t="s">
        <v>116</v>
      </c>
      <c r="P31" s="69" t="s">
        <v>277</v>
      </c>
      <c r="Q31" s="45" t="s">
        <v>245</v>
      </c>
    </row>
    <row r="32" spans="1:17" s="67" customFormat="1" ht="24.95" customHeight="1">
      <c r="A32" s="47">
        <v>5</v>
      </c>
      <c r="B32" s="36" t="s">
        <v>279</v>
      </c>
      <c r="C32" s="37">
        <v>1388.830300000001</v>
      </c>
      <c r="D32" s="38">
        <v>35.4</v>
      </c>
      <c r="E32" s="38">
        <v>35.33</v>
      </c>
      <c r="F32" s="38">
        <v>3.84</v>
      </c>
      <c r="G32" s="37">
        <v>368.39</v>
      </c>
      <c r="H32" s="68">
        <f t="shared" si="5"/>
        <v>1.1064971751412431</v>
      </c>
      <c r="I32" s="37">
        <v>1388.830300000001</v>
      </c>
      <c r="J32" s="38">
        <v>0</v>
      </c>
      <c r="K32" s="40">
        <f t="shared" si="6"/>
        <v>0</v>
      </c>
      <c r="L32" s="43">
        <f t="shared" si="7"/>
        <v>0</v>
      </c>
      <c r="M32" s="41">
        <f t="shared" si="8"/>
        <v>3.7700000000000031</v>
      </c>
      <c r="N32" s="42">
        <f t="shared" si="9"/>
        <v>0.10649717514124303</v>
      </c>
      <c r="O32" s="44" t="s">
        <v>116</v>
      </c>
      <c r="P32" s="69" t="s">
        <v>277</v>
      </c>
      <c r="Q32" s="45" t="s">
        <v>280</v>
      </c>
    </row>
    <row r="33" spans="1:17" s="67" customFormat="1" ht="24.95" customHeight="1">
      <c r="A33" s="35">
        <v>6</v>
      </c>
      <c r="B33" s="36" t="s">
        <v>179</v>
      </c>
      <c r="C33" s="37">
        <v>1386.3160000000023</v>
      </c>
      <c r="D33" s="38">
        <v>134.96</v>
      </c>
      <c r="E33" s="38">
        <v>136.61000000000001</v>
      </c>
      <c r="F33" s="38">
        <v>1.75</v>
      </c>
      <c r="G33" s="37">
        <v>407.74</v>
      </c>
      <c r="H33" s="68">
        <f t="shared" si="5"/>
        <v>1.0251926496739776</v>
      </c>
      <c r="I33" s="37">
        <v>1386.3160000000023</v>
      </c>
      <c r="J33" s="38">
        <v>0</v>
      </c>
      <c r="K33" s="40">
        <f t="shared" si="6"/>
        <v>0</v>
      </c>
      <c r="L33" s="43">
        <f t="shared" si="7"/>
        <v>0</v>
      </c>
      <c r="M33" s="41">
        <f t="shared" si="8"/>
        <v>3.4000000000000057</v>
      </c>
      <c r="N33" s="42">
        <f t="shared" si="9"/>
        <v>2.5192649673977517E-2</v>
      </c>
      <c r="O33" s="44" t="s">
        <v>116</v>
      </c>
      <c r="P33" s="69" t="s">
        <v>225</v>
      </c>
      <c r="Q33" s="45" t="s">
        <v>180</v>
      </c>
    </row>
    <row r="34" spans="1:17" s="67" customFormat="1" ht="24.95" customHeight="1">
      <c r="A34" s="47">
        <v>7</v>
      </c>
      <c r="B34" s="36" t="s">
        <v>169</v>
      </c>
      <c r="C34" s="37">
        <v>1379.120799999999</v>
      </c>
      <c r="D34" s="38">
        <v>262.92</v>
      </c>
      <c r="E34" s="38">
        <v>262.95999999999998</v>
      </c>
      <c r="F34" s="38">
        <v>19.600000000000001</v>
      </c>
      <c r="G34" s="37">
        <v>70.22</v>
      </c>
      <c r="H34" s="68">
        <f t="shared" si="5"/>
        <v>1.0746995283736498</v>
      </c>
      <c r="I34" s="37">
        <v>1379.120799999999</v>
      </c>
      <c r="J34" s="38">
        <v>0</v>
      </c>
      <c r="K34" s="40">
        <f t="shared" si="6"/>
        <v>0</v>
      </c>
      <c r="L34" s="43">
        <f t="shared" si="7"/>
        <v>0</v>
      </c>
      <c r="M34" s="41">
        <f t="shared" si="8"/>
        <v>19.639999999999986</v>
      </c>
      <c r="N34" s="42">
        <f t="shared" si="9"/>
        <v>7.4699528373649723E-2</v>
      </c>
      <c r="O34" s="44" t="s">
        <v>116</v>
      </c>
      <c r="P34" s="69" t="s">
        <v>277</v>
      </c>
      <c r="Q34" s="45" t="s">
        <v>90</v>
      </c>
    </row>
    <row r="35" spans="1:17" s="67" customFormat="1" ht="24.95" customHeight="1">
      <c r="A35" s="35">
        <v>8</v>
      </c>
      <c r="B35" s="36" t="s">
        <v>127</v>
      </c>
      <c r="C35" s="37">
        <v>1102.0867999999946</v>
      </c>
      <c r="D35" s="38">
        <v>269.12</v>
      </c>
      <c r="E35" s="38">
        <v>272.89999999999998</v>
      </c>
      <c r="F35" s="38">
        <v>6.4</v>
      </c>
      <c r="G35" s="37">
        <v>108.26</v>
      </c>
      <c r="H35" s="68">
        <f t="shared" si="5"/>
        <v>1.0378269916765752</v>
      </c>
      <c r="I35" s="37">
        <v>1102.0867999999946</v>
      </c>
      <c r="J35" s="38">
        <v>0</v>
      </c>
      <c r="K35" s="40">
        <f t="shared" si="6"/>
        <v>0</v>
      </c>
      <c r="L35" s="43">
        <f t="shared" si="7"/>
        <v>0</v>
      </c>
      <c r="M35" s="41">
        <f t="shared" si="8"/>
        <v>10.17999999999995</v>
      </c>
      <c r="N35" s="42">
        <f t="shared" si="9"/>
        <v>3.7826991676575321E-2</v>
      </c>
      <c r="O35" s="44" t="s">
        <v>116</v>
      </c>
      <c r="P35" s="69" t="s">
        <v>243</v>
      </c>
      <c r="Q35" s="45" t="s">
        <v>128</v>
      </c>
    </row>
    <row r="36" spans="1:17" s="67" customFormat="1" ht="24.95" customHeight="1">
      <c r="A36" s="47">
        <v>9</v>
      </c>
      <c r="B36" s="36" t="s">
        <v>119</v>
      </c>
      <c r="C36" s="37">
        <v>910.30679999999825</v>
      </c>
      <c r="D36" s="38">
        <v>610.47</v>
      </c>
      <c r="E36" s="38">
        <v>592.13</v>
      </c>
      <c r="F36" s="38">
        <v>45.9</v>
      </c>
      <c r="G36" s="37">
        <v>33.03</v>
      </c>
      <c r="H36" s="68">
        <f t="shared" si="5"/>
        <v>1.0451455435975558</v>
      </c>
      <c r="I36" s="37">
        <v>910.30679999999825</v>
      </c>
      <c r="J36" s="38">
        <v>0</v>
      </c>
      <c r="K36" s="40">
        <f t="shared" si="6"/>
        <v>0</v>
      </c>
      <c r="L36" s="43">
        <f t="shared" si="7"/>
        <v>0</v>
      </c>
      <c r="M36" s="41">
        <f t="shared" si="8"/>
        <v>27.559999999999945</v>
      </c>
      <c r="N36" s="42">
        <f t="shared" si="9"/>
        <v>4.514554359755589E-2</v>
      </c>
      <c r="O36" s="44" t="s">
        <v>131</v>
      </c>
      <c r="P36" s="69" t="s">
        <v>243</v>
      </c>
      <c r="Q36" s="45" t="s">
        <v>122</v>
      </c>
    </row>
    <row r="37" spans="1:17" s="67" customFormat="1" ht="24.95" customHeight="1" thickBot="1">
      <c r="A37" s="48">
        <v>10</v>
      </c>
      <c r="B37" s="49" t="s">
        <v>258</v>
      </c>
      <c r="C37" s="50">
        <v>838.10970000000123</v>
      </c>
      <c r="D37" s="51">
        <v>396.34</v>
      </c>
      <c r="E37" s="51">
        <v>396.06</v>
      </c>
      <c r="F37" s="51">
        <v>10.45</v>
      </c>
      <c r="G37" s="50">
        <v>82.41</v>
      </c>
      <c r="H37" s="70">
        <f t="shared" si="5"/>
        <v>1.0256597870515214</v>
      </c>
      <c r="I37" s="50">
        <v>838.10970000000123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10.170000000000016</v>
      </c>
      <c r="N37" s="55">
        <f t="shared" si="9"/>
        <v>2.5659787051521464E-2</v>
      </c>
      <c r="O37" s="57" t="s">
        <v>131</v>
      </c>
      <c r="P37" s="57" t="s">
        <v>225</v>
      </c>
      <c r="Q37" s="58" t="s">
        <v>260</v>
      </c>
    </row>
    <row r="38" spans="1:17" ht="15.75" customHeight="1" thickBot="1"/>
    <row r="39" spans="1:17" ht="40.5" customHeight="1">
      <c r="A39" s="93" t="s">
        <v>135</v>
      </c>
      <c r="B39" s="94"/>
      <c r="C39" s="94"/>
      <c r="D39" s="95"/>
      <c r="E39" s="71"/>
      <c r="F39" s="72"/>
      <c r="H39" s="73"/>
      <c r="I39" s="72"/>
    </row>
    <row r="40" spans="1:17" ht="26.1" customHeight="1">
      <c r="A40" s="96" t="s">
        <v>63</v>
      </c>
      <c r="B40" s="97"/>
      <c r="C40" s="97"/>
      <c r="D40" s="98"/>
      <c r="E40" s="71"/>
      <c r="G40" s="74"/>
    </row>
    <row r="41" spans="1:17" ht="25.5" customHeight="1">
      <c r="A41" s="99" t="s">
        <v>69</v>
      </c>
      <c r="B41" s="100" t="s">
        <v>70</v>
      </c>
      <c r="C41" s="100"/>
      <c r="D41" s="101"/>
      <c r="E41" s="71"/>
    </row>
    <row r="42" spans="1:17" ht="20.45" customHeight="1">
      <c r="A42" s="99"/>
      <c r="B42" s="102" t="s">
        <v>73</v>
      </c>
      <c r="C42" s="103" t="s">
        <v>74</v>
      </c>
      <c r="D42" s="104" t="s">
        <v>136</v>
      </c>
      <c r="E42" s="71"/>
    </row>
    <row r="43" spans="1:17" ht="20.45" customHeight="1">
      <c r="A43" s="99"/>
      <c r="B43" s="102"/>
      <c r="C43" s="103"/>
      <c r="D43" s="104"/>
      <c r="E43" s="71"/>
    </row>
    <row r="44" spans="1:17" s="78" customFormat="1" ht="24.95" customHeight="1">
      <c r="A44" s="75">
        <v>1</v>
      </c>
      <c r="B44" s="36" t="s">
        <v>168</v>
      </c>
      <c r="C44" s="37">
        <v>691.05</v>
      </c>
      <c r="D44" s="76">
        <f t="shared" ref="D44:D53" si="10">C44/$L$5</f>
        <v>0.27506443843707196</v>
      </c>
      <c r="E44" s="77"/>
    </row>
    <row r="45" spans="1:17" s="78" customFormat="1" ht="24.95" customHeight="1">
      <c r="A45" s="79">
        <v>2</v>
      </c>
      <c r="B45" s="36" t="s">
        <v>139</v>
      </c>
      <c r="C45" s="37">
        <v>287.64</v>
      </c>
      <c r="D45" s="76">
        <f t="shared" si="10"/>
        <v>0.11449176625720189</v>
      </c>
      <c r="E45" s="77"/>
    </row>
    <row r="46" spans="1:17" s="78" customFormat="1" ht="24.95" customHeight="1">
      <c r="A46" s="79">
        <v>3</v>
      </c>
      <c r="B46" s="36" t="s">
        <v>141</v>
      </c>
      <c r="C46" s="37">
        <v>263.60000000000002</v>
      </c>
      <c r="D46" s="76">
        <f t="shared" si="10"/>
        <v>0.10492292304755398</v>
      </c>
      <c r="E46" s="77"/>
    </row>
    <row r="47" spans="1:17" s="78" customFormat="1" ht="24.95" customHeight="1">
      <c r="A47" s="75">
        <v>4</v>
      </c>
      <c r="B47" s="36" t="s">
        <v>138</v>
      </c>
      <c r="C47" s="37">
        <v>210.6</v>
      </c>
      <c r="D47" s="76">
        <f t="shared" si="10"/>
        <v>8.3826887685185369E-2</v>
      </c>
      <c r="E47" s="77"/>
    </row>
    <row r="48" spans="1:17" s="78" customFormat="1" ht="24.95" customHeight="1">
      <c r="A48" s="79">
        <v>5</v>
      </c>
      <c r="B48" s="36" t="s">
        <v>140</v>
      </c>
      <c r="C48" s="37">
        <v>210</v>
      </c>
      <c r="D48" s="76">
        <f t="shared" si="10"/>
        <v>8.358806464334724E-2</v>
      </c>
      <c r="E48" s="77"/>
    </row>
    <row r="49" spans="1:5" s="78" customFormat="1" ht="24.95" customHeight="1">
      <c r="A49" s="75">
        <v>6</v>
      </c>
      <c r="B49" s="36" t="s">
        <v>159</v>
      </c>
      <c r="C49" s="37">
        <v>183.83799999999999</v>
      </c>
      <c r="D49" s="76">
        <f t="shared" si="10"/>
        <v>7.3174583942398425E-2</v>
      </c>
      <c r="E49" s="77"/>
    </row>
    <row r="50" spans="1:5" s="78" customFormat="1" ht="24.95" customHeight="1">
      <c r="A50" s="79">
        <v>7</v>
      </c>
      <c r="B50" s="36" t="s">
        <v>137</v>
      </c>
      <c r="C50" s="37">
        <v>171.5</v>
      </c>
      <c r="D50" s="76">
        <f t="shared" si="10"/>
        <v>6.8263586125400247E-2</v>
      </c>
      <c r="E50" s="77"/>
    </row>
    <row r="51" spans="1:5" s="78" customFormat="1" ht="24.95" customHeight="1">
      <c r="A51" s="75">
        <v>8</v>
      </c>
      <c r="B51" s="36" t="s">
        <v>282</v>
      </c>
      <c r="C51" s="37">
        <v>117.16</v>
      </c>
      <c r="D51" s="76">
        <f t="shared" si="10"/>
        <v>4.6634179302926487E-2</v>
      </c>
      <c r="E51" s="77"/>
    </row>
    <row r="52" spans="1:5" s="78" customFormat="1" ht="24.95" customHeight="1">
      <c r="A52" s="79">
        <v>9</v>
      </c>
      <c r="B52" s="36" t="s">
        <v>106</v>
      </c>
      <c r="C52" s="37">
        <v>101.8686</v>
      </c>
      <c r="D52" s="76">
        <f t="shared" si="10"/>
        <v>4.0547614866320393E-2</v>
      </c>
      <c r="E52" s="77"/>
    </row>
    <row r="53" spans="1:5" s="78" customFormat="1" ht="24.95" customHeight="1" thickBot="1">
      <c r="A53" s="80">
        <v>10</v>
      </c>
      <c r="B53" s="49" t="s">
        <v>134</v>
      </c>
      <c r="C53" s="50">
        <v>78.935000000000002</v>
      </c>
      <c r="D53" s="81">
        <f t="shared" si="10"/>
        <v>3.1419161345821976E-2</v>
      </c>
      <c r="E53" s="77"/>
    </row>
    <row r="54" spans="1:5">
      <c r="A54" s="92" t="s">
        <v>145</v>
      </c>
      <c r="B54" s="92"/>
      <c r="C54" s="92"/>
      <c r="D54" s="92"/>
      <c r="E54" s="92"/>
    </row>
    <row r="55" spans="1:5">
      <c r="A55" s="92"/>
      <c r="B55" s="92"/>
      <c r="C55" s="92"/>
      <c r="D55" s="92"/>
      <c r="E55" s="92"/>
    </row>
    <row r="56" spans="1:5" ht="27">
      <c r="A56" s="86" t="s">
        <v>45</v>
      </c>
      <c r="B56" s="86"/>
      <c r="C56" s="86"/>
      <c r="D56" s="86"/>
      <c r="E56" s="86"/>
    </row>
  </sheetData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33" priority="34" operator="containsText" text="中華">
      <formula>NOT(ISERROR(SEARCH("中華",A12)))</formula>
    </cfRule>
    <cfRule type="containsText" dxfId="32" priority="33" operator="containsText" text="湯凍">
      <formula>NOT(ISERROR(SEARCH("湯凍",A12)))</formula>
    </cfRule>
    <cfRule type="containsText" dxfId="31" priority="32" operator="containsText" text=")川燙小青花菜">
      <formula>NOT(ISERROR(SEARCH(")川燙小青花菜",A12)))</formula>
    </cfRule>
    <cfRule type="containsText" dxfId="30" priority="31" operator="containsText" text="青蔥">
      <formula>NOT(ISERROR(SEARCH("青蔥",A12)))</formula>
    </cfRule>
    <cfRule type="containsText" dxfId="29" priority="30" operator="containsText" text="白醬">
      <formula>NOT(ISERROR(SEARCH("白醬",A12)))</formula>
    </cfRule>
    <cfRule type="containsText" dxfId="28" priority="29" operator="containsText" text="024">
      <formula>NOT(ISERROR(SEARCH("024",A12)))</formula>
    </cfRule>
    <cfRule type="containsText" dxfId="27" priority="28" operator="containsText" text="煮白細麵生(方#12)">
      <formula>NOT(ISERROR(SEARCH("煮白細麵生(方#12)",A12)))</formula>
    </cfRule>
    <cfRule type="containsText" dxfId="26" priority="27" operator="containsText" text="綠豆芽">
      <formula>NOT(ISERROR(SEARCH("綠豆芽",A12)))</formula>
    </cfRule>
  </conditionalFormatting>
  <conditionalFormatting sqref="A28:A37">
    <cfRule type="containsText" dxfId="25" priority="5" operator="containsText" text="綠豆芽">
      <formula>NOT(ISERROR(SEARCH("綠豆芽",A28)))</formula>
    </cfRule>
    <cfRule type="containsText" dxfId="24" priority="6" operator="containsText" text="煮白細麵生(方#12)">
      <formula>NOT(ISERROR(SEARCH("煮白細麵生(方#12)",A28)))</formula>
    </cfRule>
    <cfRule type="containsText" dxfId="23" priority="7" operator="containsText" text="024">
      <formula>NOT(ISERROR(SEARCH("024",A28)))</formula>
    </cfRule>
    <cfRule type="containsText" dxfId="22" priority="8" operator="containsText" text="白醬">
      <formula>NOT(ISERROR(SEARCH("白醬",A28)))</formula>
    </cfRule>
    <cfRule type="containsText" dxfId="21" priority="9" operator="containsText" text="青蔥">
      <formula>NOT(ISERROR(SEARCH("青蔥",A28)))</formula>
    </cfRule>
    <cfRule type="containsText" dxfId="20" priority="10" operator="containsText" text=")川燙小青花菜">
      <formula>NOT(ISERROR(SEARCH(")川燙小青花菜",A28)))</formula>
    </cfRule>
    <cfRule type="containsText" dxfId="19" priority="11" operator="containsText" text="湯凍">
      <formula>NOT(ISERROR(SEARCH("湯凍",A28)))</formula>
    </cfRule>
    <cfRule type="containsText" dxfId="18" priority="12" operator="containsText" text="中華">
      <formula>NOT(ISERROR(SEARCH("中華",A28)))</formula>
    </cfRule>
  </conditionalFormatting>
  <conditionalFormatting sqref="A44:A53">
    <cfRule type="containsText" dxfId="17" priority="17" operator="containsText" text="綠豆芽">
      <formula>NOT(ISERROR(SEARCH("綠豆芽",A44)))</formula>
    </cfRule>
    <cfRule type="containsText" dxfId="16" priority="18" operator="containsText" text="煮白細麵生(方#12)">
      <formula>NOT(ISERROR(SEARCH("煮白細麵生(方#12)",A44)))</formula>
    </cfRule>
    <cfRule type="containsText" dxfId="15" priority="19" operator="containsText" text="024">
      <formula>NOT(ISERROR(SEARCH("024",A44)))</formula>
    </cfRule>
    <cfRule type="containsText" dxfId="14" priority="20" operator="containsText" text="白醬">
      <formula>NOT(ISERROR(SEARCH("白醬",A44)))</formula>
    </cfRule>
    <cfRule type="containsText" dxfId="13" priority="21" operator="containsText" text="青蔥">
      <formula>NOT(ISERROR(SEARCH("青蔥",A44)))</formula>
    </cfRule>
    <cfRule type="containsText" dxfId="12" priority="22" operator="containsText" text=")川燙小青花菜">
      <formula>NOT(ISERROR(SEARCH(")川燙小青花菜",A44)))</formula>
    </cfRule>
    <cfRule type="containsText" dxfId="11" priority="23" operator="containsText" text="湯凍">
      <formula>NOT(ISERROR(SEARCH("湯凍",A44)))</formula>
    </cfRule>
    <cfRule type="containsText" dxfId="10" priority="24" operator="containsText" text="中華">
      <formula>NOT(ISERROR(SEARCH("中華",A44)))</formula>
    </cfRule>
  </conditionalFormatting>
  <conditionalFormatting sqref="D44:D53">
    <cfRule type="cellIs" dxfId="9" priority="16" operator="greaterThan">
      <formula>0.146</formula>
    </cfRule>
  </conditionalFormatting>
  <conditionalFormatting sqref="E5">
    <cfRule type="cellIs" dxfId="8" priority="25" operator="greaterThan">
      <formula>0.072</formula>
    </cfRule>
    <cfRule type="cellIs" dxfId="7" priority="26" operator="greaterThan">
      <formula>7.2</formula>
    </cfRule>
    <cfRule type="cellIs" dxfId="6" priority="14" operator="greaterThan">
      <formula>0.0025</formula>
    </cfRule>
  </conditionalFormatting>
  <conditionalFormatting sqref="G5">
    <cfRule type="cellIs" dxfId="5" priority="3" operator="greaterThan">
      <formula>7.2</formula>
    </cfRule>
    <cfRule type="cellIs" dxfId="4" priority="2" operator="greaterThan">
      <formula>0.072</formula>
    </cfRule>
    <cfRule type="cellIs" dxfId="3" priority="1" operator="greaterThan">
      <formula>0.0025</formula>
    </cfRule>
  </conditionalFormatting>
  <conditionalFormatting sqref="H12:H22">
    <cfRule type="cellIs" dxfId="2" priority="15" operator="greaterThan">
      <formula>1.1</formula>
    </cfRule>
  </conditionalFormatting>
  <conditionalFormatting sqref="H28:H37">
    <cfRule type="cellIs" dxfId="1" priority="4" operator="greaterThan">
      <formula>1.1</formula>
    </cfRule>
  </conditionalFormatting>
  <conditionalFormatting sqref="I5">
    <cfRule type="cellIs" dxfId="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81E1AA-21C8-4BAF-9348-AE8CB559B31F}"/>
</file>

<file path=customXml/itemProps2.xml><?xml version="1.0" encoding="utf-8"?>
<ds:datastoreItem xmlns:ds="http://schemas.openxmlformats.org/officeDocument/2006/customXml" ds:itemID="{9D26F28A-A10F-4433-B89C-A3260178D0DF}"/>
</file>

<file path=customXml/itemProps3.xml><?xml version="1.0" encoding="utf-8"?>
<ds:datastoreItem xmlns:ds="http://schemas.openxmlformats.org/officeDocument/2006/customXml" ds:itemID="{5526D83C-2728-4027-8A83-ADB1005F16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食品 屏榮</dc:creator>
  <cp:keywords/>
  <dc:description/>
  <cp:lastModifiedBy>陳佳萱</cp:lastModifiedBy>
  <cp:revision/>
  <dcterms:created xsi:type="dcterms:W3CDTF">2025-08-04T06:35:19Z</dcterms:created>
  <dcterms:modified xsi:type="dcterms:W3CDTF">2025-09-04T06:19:23Z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