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13_ncr:1_{70C91587-0237-48BD-875A-E9A5717DAD54}" xr6:coauthVersionLast="47" xr6:coauthVersionMax="47" xr10:uidLastSave="{00000000-0000-0000-0000-000000000000}"/>
  <bookViews>
    <workbookView xWindow="-120" yWindow="-120" windowWidth="29040" windowHeight="15720" xr2:uid="{3A2452E7-0DD7-4510-9F51-4763A1C992AE}"/>
  </bookViews>
  <sheets>
    <sheet name="日別報廢率總表 " sheetId="1" r:id="rId1"/>
    <sheet name="0930分析標準表" sheetId="31" r:id="rId2"/>
    <sheet name="0929分析標準表" sheetId="30" r:id="rId3"/>
    <sheet name="0928分析標準表" sheetId="28" r:id="rId4"/>
    <sheet name="0927分析標準表" sheetId="29" r:id="rId5"/>
    <sheet name="0926分析標準表" sheetId="24" r:id="rId6"/>
    <sheet name="0925分析標準表" sheetId="25" r:id="rId7"/>
    <sheet name="0924分析標準表" sheetId="26" r:id="rId8"/>
    <sheet name="0923分析標準表" sheetId="27" r:id="rId9"/>
    <sheet name="0922分析標準表" sheetId="18" r:id="rId10"/>
    <sheet name="0921分析標準表" sheetId="19" r:id="rId11"/>
    <sheet name="0920分析標準表" sheetId="20" r:id="rId12"/>
    <sheet name="0919分析標準表" sheetId="21" r:id="rId13"/>
    <sheet name="0918分析標準表" sheetId="22" r:id="rId14"/>
    <sheet name="0917分析標準表" sheetId="23" r:id="rId15"/>
    <sheet name="0916分析標準表" sheetId="17" r:id="rId16"/>
    <sheet name="0915分析標準表" sheetId="13" r:id="rId17"/>
    <sheet name="0914分析標準表" sheetId="14" r:id="rId18"/>
    <sheet name="0913分析標準表" sheetId="15" r:id="rId19"/>
    <sheet name="0912分析標準表" sheetId="16" r:id="rId20"/>
    <sheet name="0911分析標準表" sheetId="12" r:id="rId21"/>
    <sheet name="0910分析標準表" sheetId="10" r:id="rId22"/>
    <sheet name="0909分析標準表" sheetId="11" r:id="rId23"/>
    <sheet name="0908分析標準表" sheetId="9" r:id="rId24"/>
    <sheet name="0907分析標準表" sheetId="8" r:id="rId25"/>
    <sheet name="0906分析標準表" sheetId="7" r:id="rId26"/>
    <sheet name="0905分析標準表" sheetId="6" r:id="rId27"/>
    <sheet name="0904分析標準表" sheetId="5" r:id="rId28"/>
    <sheet name="0903分析標準表" sheetId="3" r:id="rId29"/>
    <sheet name="0902分析標準表" sheetId="4" r:id="rId30"/>
    <sheet name="0901分析標準表" sheetId="2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1" l="1"/>
  <c r="I33" i="1"/>
  <c r="G33" i="1"/>
  <c r="E33" i="1"/>
  <c r="C33" i="1"/>
  <c r="B33" i="1"/>
  <c r="M37" i="31"/>
  <c r="N37" i="31" s="1"/>
  <c r="L37" i="31"/>
  <c r="K37" i="31"/>
  <c r="H37" i="31"/>
  <c r="M36" i="31"/>
  <c r="N36" i="31" s="1"/>
  <c r="L36" i="31"/>
  <c r="K36" i="31"/>
  <c r="H36" i="31"/>
  <c r="M35" i="31"/>
  <c r="N35" i="31" s="1"/>
  <c r="L35" i="31"/>
  <c r="K35" i="31"/>
  <c r="H35" i="31"/>
  <c r="M34" i="31"/>
  <c r="N34" i="31" s="1"/>
  <c r="L34" i="31"/>
  <c r="K34" i="31"/>
  <c r="H34" i="31"/>
  <c r="M33" i="31"/>
  <c r="N33" i="31" s="1"/>
  <c r="L33" i="31"/>
  <c r="K33" i="31"/>
  <c r="H33" i="31"/>
  <c r="M32" i="31"/>
  <c r="N32" i="31" s="1"/>
  <c r="L32" i="31"/>
  <c r="K32" i="31"/>
  <c r="H32" i="31"/>
  <c r="M31" i="31"/>
  <c r="N31" i="31" s="1"/>
  <c r="L31" i="31"/>
  <c r="K31" i="31"/>
  <c r="H31" i="31"/>
  <c r="M30" i="31"/>
  <c r="N30" i="31" s="1"/>
  <c r="L30" i="31"/>
  <c r="K30" i="31"/>
  <c r="H30" i="31"/>
  <c r="M29" i="31"/>
  <c r="N29" i="31" s="1"/>
  <c r="L29" i="31"/>
  <c r="K29" i="31"/>
  <c r="H29" i="31"/>
  <c r="M28" i="31"/>
  <c r="N28" i="31" s="1"/>
  <c r="L28" i="31"/>
  <c r="K28" i="31"/>
  <c r="H28" i="31"/>
  <c r="L21" i="31"/>
  <c r="N21" i="31" s="1"/>
  <c r="K21" i="31"/>
  <c r="H21" i="31"/>
  <c r="L20" i="31"/>
  <c r="N20" i="31" s="1"/>
  <c r="K20" i="31"/>
  <c r="H20" i="31"/>
  <c r="L19" i="31"/>
  <c r="N19" i="31" s="1"/>
  <c r="K19" i="31"/>
  <c r="H19" i="31"/>
  <c r="L18" i="31"/>
  <c r="N18" i="31" s="1"/>
  <c r="K18" i="31"/>
  <c r="H18" i="31"/>
  <c r="L17" i="31"/>
  <c r="N17" i="31" s="1"/>
  <c r="K17" i="31"/>
  <c r="H17" i="31"/>
  <c r="L16" i="31"/>
  <c r="N16" i="31" s="1"/>
  <c r="K16" i="31"/>
  <c r="H16" i="31"/>
  <c r="L15" i="31"/>
  <c r="N15" i="31" s="1"/>
  <c r="K15" i="31"/>
  <c r="H15" i="31"/>
  <c r="L14" i="31"/>
  <c r="N14" i="31" s="1"/>
  <c r="K14" i="31"/>
  <c r="H14" i="31"/>
  <c r="L13" i="31"/>
  <c r="N13" i="31" s="1"/>
  <c r="K13" i="31"/>
  <c r="H13" i="31"/>
  <c r="L12" i="31"/>
  <c r="N12" i="31" s="1"/>
  <c r="K12" i="31"/>
  <c r="H12" i="31"/>
  <c r="D53" i="31"/>
  <c r="J5" i="31"/>
  <c r="K5" i="31" s="1"/>
  <c r="H5" i="31"/>
  <c r="I5" i="31" s="1"/>
  <c r="G5" i="31"/>
  <c r="E5" i="31"/>
  <c r="M28" i="30"/>
  <c r="K32" i="1"/>
  <c r="I32" i="1"/>
  <c r="G32" i="1"/>
  <c r="E32" i="1"/>
  <c r="C32" i="1"/>
  <c r="B32" i="1"/>
  <c r="M37" i="30"/>
  <c r="N37" i="30" s="1"/>
  <c r="L37" i="30"/>
  <c r="K37" i="30"/>
  <c r="H37" i="30"/>
  <c r="M36" i="30"/>
  <c r="N36" i="30" s="1"/>
  <c r="L36" i="30"/>
  <c r="K36" i="30"/>
  <c r="H36" i="30"/>
  <c r="M35" i="30"/>
  <c r="N35" i="30" s="1"/>
  <c r="L35" i="30"/>
  <c r="K35" i="30"/>
  <c r="H35" i="30"/>
  <c r="M34" i="30"/>
  <c r="N34" i="30" s="1"/>
  <c r="L34" i="30"/>
  <c r="K34" i="30"/>
  <c r="H34" i="30"/>
  <c r="M33" i="30"/>
  <c r="N33" i="30" s="1"/>
  <c r="L33" i="30"/>
  <c r="K33" i="30"/>
  <c r="H33" i="30"/>
  <c r="M32" i="30"/>
  <c r="N32" i="30" s="1"/>
  <c r="L32" i="30"/>
  <c r="K32" i="30"/>
  <c r="H32" i="30"/>
  <c r="M31" i="30"/>
  <c r="N31" i="30" s="1"/>
  <c r="L31" i="30"/>
  <c r="K31" i="30"/>
  <c r="H31" i="30"/>
  <c r="M30" i="30"/>
  <c r="N30" i="30" s="1"/>
  <c r="L30" i="30"/>
  <c r="K30" i="30"/>
  <c r="H30" i="30"/>
  <c r="M29" i="30"/>
  <c r="N29" i="30" s="1"/>
  <c r="L29" i="30"/>
  <c r="K29" i="30"/>
  <c r="H29" i="30"/>
  <c r="N28" i="30"/>
  <c r="L28" i="30"/>
  <c r="K28" i="30"/>
  <c r="H28" i="30"/>
  <c r="L21" i="30"/>
  <c r="N21" i="30" s="1"/>
  <c r="K21" i="30"/>
  <c r="H21" i="30"/>
  <c r="L20" i="30"/>
  <c r="N20" i="30" s="1"/>
  <c r="K20" i="30"/>
  <c r="H20" i="30"/>
  <c r="L19" i="30"/>
  <c r="N19" i="30" s="1"/>
  <c r="K19" i="30"/>
  <c r="H19" i="30"/>
  <c r="L18" i="30"/>
  <c r="N18" i="30" s="1"/>
  <c r="K18" i="30"/>
  <c r="H18" i="30"/>
  <c r="L17" i="30"/>
  <c r="N17" i="30" s="1"/>
  <c r="K17" i="30"/>
  <c r="H17" i="30"/>
  <c r="L16" i="30"/>
  <c r="N16" i="30" s="1"/>
  <c r="K16" i="30"/>
  <c r="H16" i="30"/>
  <c r="L15" i="30"/>
  <c r="N15" i="30" s="1"/>
  <c r="K15" i="30"/>
  <c r="H15" i="30"/>
  <c r="L14" i="30"/>
  <c r="N14" i="30" s="1"/>
  <c r="K14" i="30"/>
  <c r="H14" i="30"/>
  <c r="L13" i="30"/>
  <c r="N13" i="30" s="1"/>
  <c r="K13" i="30"/>
  <c r="H13" i="30"/>
  <c r="L12" i="30"/>
  <c r="N12" i="30" s="1"/>
  <c r="K12" i="30"/>
  <c r="H12" i="30"/>
  <c r="D53" i="30"/>
  <c r="J5" i="30"/>
  <c r="K5" i="30" s="1"/>
  <c r="H5" i="30"/>
  <c r="I5" i="30" s="1"/>
  <c r="G5" i="30"/>
  <c r="E5" i="30"/>
  <c r="M14" i="31" l="1"/>
  <c r="M18" i="31"/>
  <c r="M13" i="31"/>
  <c r="M17" i="31"/>
  <c r="M21" i="31"/>
  <c r="D52" i="31"/>
  <c r="M15" i="31"/>
  <c r="M19" i="31"/>
  <c r="M5" i="31"/>
  <c r="D44" i="31"/>
  <c r="D45" i="31"/>
  <c r="D46" i="31"/>
  <c r="M12" i="31"/>
  <c r="M16" i="31"/>
  <c r="M20" i="31"/>
  <c r="D47" i="31"/>
  <c r="D48" i="31"/>
  <c r="D49" i="31"/>
  <c r="D50" i="31"/>
  <c r="D51" i="31"/>
  <c r="D46" i="30"/>
  <c r="M14" i="30"/>
  <c r="M18" i="30"/>
  <c r="D52" i="30"/>
  <c r="M15" i="30"/>
  <c r="M19" i="30"/>
  <c r="M5" i="30"/>
  <c r="D44" i="30"/>
  <c r="D45" i="30"/>
  <c r="M12" i="30"/>
  <c r="M16" i="30"/>
  <c r="M20" i="30"/>
  <c r="D47" i="30"/>
  <c r="D48" i="30"/>
  <c r="D49" i="30"/>
  <c r="D50" i="30"/>
  <c r="D51" i="30"/>
  <c r="M13" i="30"/>
  <c r="M17" i="30"/>
  <c r="M21" i="30"/>
  <c r="K31" i="1"/>
  <c r="K30" i="1"/>
  <c r="I31" i="1"/>
  <c r="I30" i="1"/>
  <c r="G31" i="1"/>
  <c r="G30" i="1"/>
  <c r="E31" i="1"/>
  <c r="E30" i="1"/>
  <c r="C31" i="1"/>
  <c r="C30" i="1"/>
  <c r="B31" i="1"/>
  <c r="B30" i="1"/>
  <c r="M37" i="29"/>
  <c r="N37" i="29" s="1"/>
  <c r="L37" i="29"/>
  <c r="K37" i="29"/>
  <c r="H37" i="29"/>
  <c r="M36" i="29"/>
  <c r="N36" i="29" s="1"/>
  <c r="L36" i="29"/>
  <c r="K36" i="29"/>
  <c r="H36" i="29"/>
  <c r="M35" i="29"/>
  <c r="N35" i="29" s="1"/>
  <c r="L35" i="29"/>
  <c r="K35" i="29"/>
  <c r="H35" i="29"/>
  <c r="M34" i="29"/>
  <c r="N34" i="29" s="1"/>
  <c r="L34" i="29"/>
  <c r="K34" i="29"/>
  <c r="H34" i="29"/>
  <c r="M33" i="29"/>
  <c r="N33" i="29" s="1"/>
  <c r="L33" i="29"/>
  <c r="K33" i="29"/>
  <c r="H33" i="29"/>
  <c r="M32" i="29"/>
  <c r="N32" i="29" s="1"/>
  <c r="L32" i="29"/>
  <c r="K32" i="29"/>
  <c r="H32" i="29"/>
  <c r="M31" i="29"/>
  <c r="N31" i="29" s="1"/>
  <c r="L31" i="29"/>
  <c r="K31" i="29"/>
  <c r="H31" i="29"/>
  <c r="M30" i="29"/>
  <c r="N30" i="29" s="1"/>
  <c r="L30" i="29"/>
  <c r="K30" i="29"/>
  <c r="H30" i="29"/>
  <c r="M29" i="29"/>
  <c r="N29" i="29" s="1"/>
  <c r="L29" i="29"/>
  <c r="K29" i="29"/>
  <c r="H29" i="29"/>
  <c r="M28" i="29"/>
  <c r="N28" i="29" s="1"/>
  <c r="L28" i="29"/>
  <c r="K28" i="29"/>
  <c r="H28" i="29"/>
  <c r="L21" i="29"/>
  <c r="N21" i="29" s="1"/>
  <c r="K21" i="29"/>
  <c r="H21" i="29"/>
  <c r="L20" i="29"/>
  <c r="N20" i="29" s="1"/>
  <c r="K20" i="29"/>
  <c r="H20" i="29"/>
  <c r="L19" i="29"/>
  <c r="M19" i="29" s="1"/>
  <c r="K19" i="29"/>
  <c r="H19" i="29"/>
  <c r="L18" i="29"/>
  <c r="N18" i="29" s="1"/>
  <c r="K18" i="29"/>
  <c r="H18" i="29"/>
  <c r="M17" i="29"/>
  <c r="L17" i="29"/>
  <c r="N17" i="29" s="1"/>
  <c r="K17" i="29"/>
  <c r="H17" i="29"/>
  <c r="L16" i="29"/>
  <c r="N16" i="29" s="1"/>
  <c r="K16" i="29"/>
  <c r="H16" i="29"/>
  <c r="L15" i="29"/>
  <c r="N15" i="29" s="1"/>
  <c r="K15" i="29"/>
  <c r="H15" i="29"/>
  <c r="L14" i="29"/>
  <c r="N14" i="29" s="1"/>
  <c r="K14" i="29"/>
  <c r="H14" i="29"/>
  <c r="L13" i="29"/>
  <c r="N13" i="29" s="1"/>
  <c r="K13" i="29"/>
  <c r="H13" i="29"/>
  <c r="L12" i="29"/>
  <c r="N12" i="29" s="1"/>
  <c r="K12" i="29"/>
  <c r="H12" i="29"/>
  <c r="D53" i="29"/>
  <c r="J5" i="29"/>
  <c r="K5" i="29" s="1"/>
  <c r="H5" i="29"/>
  <c r="I5" i="29" s="1"/>
  <c r="G5" i="29"/>
  <c r="E5" i="29"/>
  <c r="M37" i="28"/>
  <c r="N37" i="28" s="1"/>
  <c r="L37" i="28"/>
  <c r="K37" i="28"/>
  <c r="H37" i="28"/>
  <c r="M36" i="28"/>
  <c r="N36" i="28" s="1"/>
  <c r="L36" i="28"/>
  <c r="K36" i="28"/>
  <c r="H36" i="28"/>
  <c r="M35" i="28"/>
  <c r="N35" i="28" s="1"/>
  <c r="L35" i="28"/>
  <c r="K35" i="28"/>
  <c r="H35" i="28"/>
  <c r="M34" i="28"/>
  <c r="N34" i="28" s="1"/>
  <c r="L34" i="28"/>
  <c r="K34" i="28"/>
  <c r="H34" i="28"/>
  <c r="M33" i="28"/>
  <c r="N33" i="28" s="1"/>
  <c r="L33" i="28"/>
  <c r="K33" i="28"/>
  <c r="H33" i="28"/>
  <c r="M32" i="28"/>
  <c r="N32" i="28" s="1"/>
  <c r="L32" i="28"/>
  <c r="K32" i="28"/>
  <c r="H32" i="28"/>
  <c r="M31" i="28"/>
  <c r="N31" i="28" s="1"/>
  <c r="L31" i="28"/>
  <c r="K31" i="28"/>
  <c r="H31" i="28"/>
  <c r="M30" i="28"/>
  <c r="N30" i="28" s="1"/>
  <c r="L30" i="28"/>
  <c r="K30" i="28"/>
  <c r="H30" i="28"/>
  <c r="M29" i="28"/>
  <c r="N29" i="28" s="1"/>
  <c r="L29" i="28"/>
  <c r="K29" i="28"/>
  <c r="H29" i="28"/>
  <c r="M28" i="28"/>
  <c r="N28" i="28" s="1"/>
  <c r="L28" i="28"/>
  <c r="K28" i="28"/>
  <c r="H28" i="28"/>
  <c r="L21" i="28"/>
  <c r="N21" i="28" s="1"/>
  <c r="K21" i="28"/>
  <c r="H21" i="28"/>
  <c r="L20" i="28"/>
  <c r="N20" i="28" s="1"/>
  <c r="K20" i="28"/>
  <c r="H20" i="28"/>
  <c r="L19" i="28"/>
  <c r="N19" i="28" s="1"/>
  <c r="K19" i="28"/>
  <c r="H19" i="28"/>
  <c r="L18" i="28"/>
  <c r="N18" i="28" s="1"/>
  <c r="K18" i="28"/>
  <c r="H18" i="28"/>
  <c r="L17" i="28"/>
  <c r="N17" i="28" s="1"/>
  <c r="K17" i="28"/>
  <c r="H17" i="28"/>
  <c r="L16" i="28"/>
  <c r="N16" i="28" s="1"/>
  <c r="K16" i="28"/>
  <c r="H16" i="28"/>
  <c r="L15" i="28"/>
  <c r="N15" i="28" s="1"/>
  <c r="K15" i="28"/>
  <c r="H15" i="28"/>
  <c r="L14" i="28"/>
  <c r="N14" i="28" s="1"/>
  <c r="K14" i="28"/>
  <c r="H14" i="28"/>
  <c r="L13" i="28"/>
  <c r="N13" i="28" s="1"/>
  <c r="K13" i="28"/>
  <c r="H13" i="28"/>
  <c r="L12" i="28"/>
  <c r="N12" i="28" s="1"/>
  <c r="K12" i="28"/>
  <c r="H12" i="28"/>
  <c r="D53" i="28"/>
  <c r="J5" i="28"/>
  <c r="K5" i="28" s="1"/>
  <c r="H5" i="28"/>
  <c r="I5" i="28" s="1"/>
  <c r="G5" i="28"/>
  <c r="E5" i="28"/>
  <c r="M14" i="28" l="1"/>
  <c r="M18" i="28"/>
  <c r="M14" i="29"/>
  <c r="M18" i="29"/>
  <c r="M15" i="28"/>
  <c r="M19" i="28"/>
  <c r="N19" i="29"/>
  <c r="M15" i="29"/>
  <c r="M5" i="28"/>
  <c r="M5" i="29"/>
  <c r="D44" i="28"/>
  <c r="D44" i="29"/>
  <c r="D45" i="28"/>
  <c r="D45" i="29"/>
  <c r="D46" i="28"/>
  <c r="D46" i="29"/>
  <c r="M12" i="28"/>
  <c r="M16" i="28"/>
  <c r="M20" i="28"/>
  <c r="D47" i="28"/>
  <c r="M12" i="29"/>
  <c r="M16" i="29"/>
  <c r="M20" i="29"/>
  <c r="D47" i="29"/>
  <c r="D48" i="28"/>
  <c r="D48" i="29"/>
  <c r="D49" i="28"/>
  <c r="D49" i="29"/>
  <c r="D50" i="28"/>
  <c r="D50" i="29"/>
  <c r="D51" i="28"/>
  <c r="D51" i="29"/>
  <c r="M13" i="28"/>
  <c r="M17" i="28"/>
  <c r="M21" i="28"/>
  <c r="D52" i="28"/>
  <c r="M13" i="29"/>
  <c r="M21" i="29"/>
  <c r="D52" i="29"/>
  <c r="K29" i="1" l="1"/>
  <c r="K28" i="1"/>
  <c r="L28" i="1" s="1"/>
  <c r="K27" i="1"/>
  <c r="K26" i="1"/>
  <c r="L26" i="1"/>
  <c r="I29" i="1"/>
  <c r="J29" i="1" s="1"/>
  <c r="I28" i="1"/>
  <c r="I27" i="1"/>
  <c r="J27" i="1" s="1"/>
  <c r="I26" i="1"/>
  <c r="G29" i="1"/>
  <c r="G28" i="1"/>
  <c r="G27" i="1"/>
  <c r="G26" i="1"/>
  <c r="E29" i="1"/>
  <c r="E28" i="1"/>
  <c r="E27" i="1"/>
  <c r="E26" i="1"/>
  <c r="C29" i="1"/>
  <c r="C28" i="1"/>
  <c r="C27" i="1"/>
  <c r="C26" i="1"/>
  <c r="B29" i="1"/>
  <c r="B28" i="1"/>
  <c r="B27" i="1"/>
  <c r="B26" i="1"/>
  <c r="F26" i="1" s="1"/>
  <c r="L29" i="1"/>
  <c r="J28" i="1"/>
  <c r="H28" i="1"/>
  <c r="F28" i="1"/>
  <c r="D28" i="1"/>
  <c r="F27" i="1"/>
  <c r="L27" i="1"/>
  <c r="H26" i="1"/>
  <c r="D26" i="1"/>
  <c r="M37" i="27"/>
  <c r="N37" i="27" s="1"/>
  <c r="L37" i="27"/>
  <c r="K37" i="27"/>
  <c r="H37" i="27"/>
  <c r="M36" i="27"/>
  <c r="N36" i="27" s="1"/>
  <c r="L36" i="27"/>
  <c r="K36" i="27"/>
  <c r="H36" i="27"/>
  <c r="M35" i="27"/>
  <c r="N35" i="27" s="1"/>
  <c r="L35" i="27"/>
  <c r="K35" i="27"/>
  <c r="H35" i="27"/>
  <c r="M34" i="27"/>
  <c r="N34" i="27" s="1"/>
  <c r="L34" i="27"/>
  <c r="K34" i="27"/>
  <c r="H34" i="27"/>
  <c r="M33" i="27"/>
  <c r="N33" i="27" s="1"/>
  <c r="L33" i="27"/>
  <c r="K33" i="27"/>
  <c r="H33" i="27"/>
  <c r="M32" i="27"/>
  <c r="N32" i="27" s="1"/>
  <c r="L32" i="27"/>
  <c r="K32" i="27"/>
  <c r="H32" i="27"/>
  <c r="M31" i="27"/>
  <c r="N31" i="27" s="1"/>
  <c r="L31" i="27"/>
  <c r="K31" i="27"/>
  <c r="H31" i="27"/>
  <c r="M30" i="27"/>
  <c r="N30" i="27" s="1"/>
  <c r="L30" i="27"/>
  <c r="K30" i="27"/>
  <c r="H30" i="27"/>
  <c r="M29" i="27"/>
  <c r="N29" i="27" s="1"/>
  <c r="L29" i="27"/>
  <c r="K29" i="27"/>
  <c r="H29" i="27"/>
  <c r="M28" i="27"/>
  <c r="N28" i="27" s="1"/>
  <c r="L28" i="27"/>
  <c r="K28" i="27"/>
  <c r="H28" i="27"/>
  <c r="M21" i="27"/>
  <c r="L21" i="27"/>
  <c r="N21" i="27" s="1"/>
  <c r="K21" i="27"/>
  <c r="H21" i="27"/>
  <c r="N20" i="27"/>
  <c r="M20" i="27"/>
  <c r="L20" i="27"/>
  <c r="K20" i="27"/>
  <c r="H20" i="27"/>
  <c r="N19" i="27"/>
  <c r="M19" i="27"/>
  <c r="L19" i="27"/>
  <c r="K19" i="27"/>
  <c r="H19" i="27"/>
  <c r="N18" i="27"/>
  <c r="M18" i="27"/>
  <c r="L18" i="27"/>
  <c r="K18" i="27"/>
  <c r="H18" i="27"/>
  <c r="M17" i="27"/>
  <c r="L17" i="27"/>
  <c r="N17" i="27" s="1"/>
  <c r="K17" i="27"/>
  <c r="H17" i="27"/>
  <c r="N16" i="27"/>
  <c r="M16" i="27"/>
  <c r="L16" i="27"/>
  <c r="K16" i="27"/>
  <c r="H16" i="27"/>
  <c r="N15" i="27"/>
  <c r="M15" i="27"/>
  <c r="L15" i="27"/>
  <c r="K15" i="27"/>
  <c r="H15" i="27"/>
  <c r="N14" i="27"/>
  <c r="M14" i="27"/>
  <c r="L14" i="27"/>
  <c r="K14" i="27"/>
  <c r="H14" i="27"/>
  <c r="M13" i="27"/>
  <c r="L13" i="27"/>
  <c r="N13" i="27" s="1"/>
  <c r="K13" i="27"/>
  <c r="H13" i="27"/>
  <c r="N12" i="27"/>
  <c r="M12" i="27"/>
  <c r="L12" i="27"/>
  <c r="K12" i="27"/>
  <c r="H12" i="27"/>
  <c r="D53" i="27"/>
  <c r="J5" i="27"/>
  <c r="K5" i="27" s="1"/>
  <c r="H5" i="27"/>
  <c r="G5" i="27"/>
  <c r="I5" i="27"/>
  <c r="M37" i="26"/>
  <c r="N37" i="26" s="1"/>
  <c r="L37" i="26"/>
  <c r="K37" i="26"/>
  <c r="H37" i="26"/>
  <c r="M36" i="26"/>
  <c r="N36" i="26" s="1"/>
  <c r="L36" i="26"/>
  <c r="K36" i="26"/>
  <c r="H36" i="26"/>
  <c r="M35" i="26"/>
  <c r="N35" i="26" s="1"/>
  <c r="L35" i="26"/>
  <c r="K35" i="26"/>
  <c r="H35" i="26"/>
  <c r="M34" i="26"/>
  <c r="N34" i="26" s="1"/>
  <c r="L34" i="26"/>
  <c r="K34" i="26"/>
  <c r="H34" i="26"/>
  <c r="M33" i="26"/>
  <c r="N33" i="26" s="1"/>
  <c r="L33" i="26"/>
  <c r="K33" i="26"/>
  <c r="H33" i="26"/>
  <c r="M32" i="26"/>
  <c r="N32" i="26" s="1"/>
  <c r="L32" i="26"/>
  <c r="K32" i="26"/>
  <c r="H32" i="26"/>
  <c r="M31" i="26"/>
  <c r="N31" i="26" s="1"/>
  <c r="L31" i="26"/>
  <c r="K31" i="26"/>
  <c r="H31" i="26"/>
  <c r="M30" i="26"/>
  <c r="N30" i="26" s="1"/>
  <c r="L30" i="26"/>
  <c r="K30" i="26"/>
  <c r="H30" i="26"/>
  <c r="M29" i="26"/>
  <c r="N29" i="26" s="1"/>
  <c r="L29" i="26"/>
  <c r="K29" i="26"/>
  <c r="H29" i="26"/>
  <c r="M28" i="26"/>
  <c r="N28" i="26" s="1"/>
  <c r="L28" i="26"/>
  <c r="K28" i="26"/>
  <c r="H28" i="26"/>
  <c r="M21" i="26"/>
  <c r="L21" i="26"/>
  <c r="N21" i="26" s="1"/>
  <c r="K21" i="26"/>
  <c r="H21" i="26"/>
  <c r="N20" i="26"/>
  <c r="M20" i="26"/>
  <c r="L20" i="26"/>
  <c r="K20" i="26"/>
  <c r="H20" i="26"/>
  <c r="N19" i="26"/>
  <c r="M19" i="26"/>
  <c r="L19" i="26"/>
  <c r="K19" i="26"/>
  <c r="H19" i="26"/>
  <c r="L18" i="26"/>
  <c r="N18" i="26" s="1"/>
  <c r="K18" i="26"/>
  <c r="H18" i="26"/>
  <c r="M17" i="26"/>
  <c r="L17" i="26"/>
  <c r="N17" i="26" s="1"/>
  <c r="K17" i="26"/>
  <c r="H17" i="26"/>
  <c r="N16" i="26"/>
  <c r="M16" i="26"/>
  <c r="L16" i="26"/>
  <c r="K16" i="26"/>
  <c r="H16" i="26"/>
  <c r="N15" i="26"/>
  <c r="M15" i="26"/>
  <c r="L15" i="26"/>
  <c r="K15" i="26"/>
  <c r="H15" i="26"/>
  <c r="L14" i="26"/>
  <c r="N14" i="26" s="1"/>
  <c r="K14" i="26"/>
  <c r="H14" i="26"/>
  <c r="M13" i="26"/>
  <c r="L13" i="26"/>
  <c r="N13" i="26" s="1"/>
  <c r="K13" i="26"/>
  <c r="H13" i="26"/>
  <c r="N12" i="26"/>
  <c r="M12" i="26"/>
  <c r="L12" i="26"/>
  <c r="K12" i="26"/>
  <c r="H12" i="26"/>
  <c r="D53" i="26"/>
  <c r="J5" i="26"/>
  <c r="K5" i="26" s="1"/>
  <c r="H5" i="26"/>
  <c r="G5" i="26"/>
  <c r="I5" i="26"/>
  <c r="M37" i="25"/>
  <c r="N37" i="25" s="1"/>
  <c r="L37" i="25"/>
  <c r="K37" i="25"/>
  <c r="H37" i="25"/>
  <c r="M36" i="25"/>
  <c r="N36" i="25" s="1"/>
  <c r="L36" i="25"/>
  <c r="K36" i="25"/>
  <c r="H36" i="25"/>
  <c r="M35" i="25"/>
  <c r="N35" i="25" s="1"/>
  <c r="L35" i="25"/>
  <c r="K35" i="25"/>
  <c r="H35" i="25"/>
  <c r="M34" i="25"/>
  <c r="N34" i="25" s="1"/>
  <c r="L34" i="25"/>
  <c r="K34" i="25"/>
  <c r="H34" i="25"/>
  <c r="M33" i="25"/>
  <c r="N33" i="25" s="1"/>
  <c r="L33" i="25"/>
  <c r="K33" i="25"/>
  <c r="H33" i="25"/>
  <c r="M32" i="25"/>
  <c r="N32" i="25" s="1"/>
  <c r="L32" i="25"/>
  <c r="K32" i="25"/>
  <c r="H32" i="25"/>
  <c r="M31" i="25"/>
  <c r="N31" i="25" s="1"/>
  <c r="L31" i="25"/>
  <c r="K31" i="25"/>
  <c r="H31" i="25"/>
  <c r="M30" i="25"/>
  <c r="N30" i="25" s="1"/>
  <c r="L30" i="25"/>
  <c r="K30" i="25"/>
  <c r="H30" i="25"/>
  <c r="M29" i="25"/>
  <c r="N29" i="25" s="1"/>
  <c r="L29" i="25"/>
  <c r="K29" i="25"/>
  <c r="H29" i="25"/>
  <c r="M28" i="25"/>
  <c r="N28" i="25" s="1"/>
  <c r="L28" i="25"/>
  <c r="K28" i="25"/>
  <c r="H28" i="25"/>
  <c r="M21" i="25"/>
  <c r="L21" i="25"/>
  <c r="N21" i="25" s="1"/>
  <c r="K21" i="25"/>
  <c r="H21" i="25"/>
  <c r="N20" i="25"/>
  <c r="M20" i="25"/>
  <c r="L20" i="25"/>
  <c r="K20" i="25"/>
  <c r="H20" i="25"/>
  <c r="N19" i="25"/>
  <c r="M19" i="25"/>
  <c r="L19" i="25"/>
  <c r="K19" i="25"/>
  <c r="H19" i="25"/>
  <c r="L18" i="25"/>
  <c r="N18" i="25" s="1"/>
  <c r="K18" i="25"/>
  <c r="H18" i="25"/>
  <c r="M17" i="25"/>
  <c r="L17" i="25"/>
  <c r="N17" i="25" s="1"/>
  <c r="K17" i="25"/>
  <c r="H17" i="25"/>
  <c r="N16" i="25"/>
  <c r="M16" i="25"/>
  <c r="L16" i="25"/>
  <c r="K16" i="25"/>
  <c r="H16" i="25"/>
  <c r="N15" i="25"/>
  <c r="M15" i="25"/>
  <c r="L15" i="25"/>
  <c r="K15" i="25"/>
  <c r="H15" i="25"/>
  <c r="L14" i="25"/>
  <c r="N14" i="25" s="1"/>
  <c r="K14" i="25"/>
  <c r="H14" i="25"/>
  <c r="M13" i="25"/>
  <c r="L13" i="25"/>
  <c r="N13" i="25" s="1"/>
  <c r="K13" i="25"/>
  <c r="H13" i="25"/>
  <c r="N12" i="25"/>
  <c r="M12" i="25"/>
  <c r="L12" i="25"/>
  <c r="K12" i="25"/>
  <c r="H12" i="25"/>
  <c r="D53" i="25"/>
  <c r="J5" i="25"/>
  <c r="K5" i="25" s="1"/>
  <c r="H5" i="25"/>
  <c r="G5" i="25"/>
  <c r="I5" i="25"/>
  <c r="M37" i="24"/>
  <c r="N37" i="24" s="1"/>
  <c r="L37" i="24"/>
  <c r="K37" i="24"/>
  <c r="H37" i="24"/>
  <c r="M36" i="24"/>
  <c r="N36" i="24" s="1"/>
  <c r="L36" i="24"/>
  <c r="K36" i="24"/>
  <c r="H36" i="24"/>
  <c r="M35" i="24"/>
  <c r="N35" i="24" s="1"/>
  <c r="L35" i="24"/>
  <c r="K35" i="24"/>
  <c r="H35" i="24"/>
  <c r="M34" i="24"/>
  <c r="N34" i="24" s="1"/>
  <c r="L34" i="24"/>
  <c r="K34" i="24"/>
  <c r="H34" i="24"/>
  <c r="M33" i="24"/>
  <c r="N33" i="24" s="1"/>
  <c r="L33" i="24"/>
  <c r="K33" i="24"/>
  <c r="H33" i="24"/>
  <c r="M32" i="24"/>
  <c r="N32" i="24" s="1"/>
  <c r="L32" i="24"/>
  <c r="K32" i="24"/>
  <c r="H32" i="24"/>
  <c r="M31" i="24"/>
  <c r="N31" i="24" s="1"/>
  <c r="L31" i="24"/>
  <c r="K31" i="24"/>
  <c r="H31" i="24"/>
  <c r="M30" i="24"/>
  <c r="N30" i="24" s="1"/>
  <c r="L30" i="24"/>
  <c r="K30" i="24"/>
  <c r="H30" i="24"/>
  <c r="M29" i="24"/>
  <c r="N29" i="24" s="1"/>
  <c r="L29" i="24"/>
  <c r="K29" i="24"/>
  <c r="H29" i="24"/>
  <c r="M28" i="24"/>
  <c r="N28" i="24" s="1"/>
  <c r="L28" i="24"/>
  <c r="K28" i="24"/>
  <c r="H28" i="24"/>
  <c r="M21" i="24"/>
  <c r="L21" i="24"/>
  <c r="N21" i="24" s="1"/>
  <c r="K21" i="24"/>
  <c r="H21" i="24"/>
  <c r="N20" i="24"/>
  <c r="M20" i="24"/>
  <c r="L20" i="24"/>
  <c r="K20" i="24"/>
  <c r="H20" i="24"/>
  <c r="N19" i="24"/>
  <c r="M19" i="24"/>
  <c r="L19" i="24"/>
  <c r="K19" i="24"/>
  <c r="H19" i="24"/>
  <c r="L18" i="24"/>
  <c r="N18" i="24" s="1"/>
  <c r="K18" i="24"/>
  <c r="H18" i="24"/>
  <c r="M17" i="24"/>
  <c r="L17" i="24"/>
  <c r="N17" i="24" s="1"/>
  <c r="K17" i="24"/>
  <c r="H17" i="24"/>
  <c r="N16" i="24"/>
  <c r="M16" i="24"/>
  <c r="L16" i="24"/>
  <c r="K16" i="24"/>
  <c r="H16" i="24"/>
  <c r="N15" i="24"/>
  <c r="M15" i="24"/>
  <c r="L15" i="24"/>
  <c r="K15" i="24"/>
  <c r="H15" i="24"/>
  <c r="L14" i="24"/>
  <c r="N14" i="24" s="1"/>
  <c r="K14" i="24"/>
  <c r="H14" i="24"/>
  <c r="M13" i="24"/>
  <c r="L13" i="24"/>
  <c r="N13" i="24" s="1"/>
  <c r="K13" i="24"/>
  <c r="H13" i="24"/>
  <c r="N12" i="24"/>
  <c r="M12" i="24"/>
  <c r="L12" i="24"/>
  <c r="K12" i="24"/>
  <c r="H12" i="24"/>
  <c r="D53" i="24"/>
  <c r="J5" i="24"/>
  <c r="K5" i="24" s="1"/>
  <c r="H5" i="24"/>
  <c r="G5" i="24"/>
  <c r="I5" i="24"/>
  <c r="F5" i="19"/>
  <c r="E24" i="1" s="1"/>
  <c r="F24" i="1" s="1"/>
  <c r="K25" i="1"/>
  <c r="K21" i="1"/>
  <c r="E5" i="22"/>
  <c r="K23" i="1"/>
  <c r="E23" i="1"/>
  <c r="C23" i="1"/>
  <c r="K24" i="1"/>
  <c r="K22" i="1"/>
  <c r="K20" i="1"/>
  <c r="I25" i="1"/>
  <c r="I24" i="1"/>
  <c r="I23" i="1"/>
  <c r="I22" i="1"/>
  <c r="I21" i="1"/>
  <c r="J21" i="1" s="1"/>
  <c r="I20" i="1"/>
  <c r="G25" i="1"/>
  <c r="G24" i="1"/>
  <c r="H24" i="1" s="1"/>
  <c r="G23" i="1"/>
  <c r="G22" i="1"/>
  <c r="G21" i="1"/>
  <c r="G20" i="1"/>
  <c r="E25" i="1"/>
  <c r="E22" i="1"/>
  <c r="F22" i="1" s="1"/>
  <c r="E21" i="1"/>
  <c r="F21" i="1" s="1"/>
  <c r="E20" i="1"/>
  <c r="C25" i="1"/>
  <c r="C24" i="1"/>
  <c r="C22" i="1"/>
  <c r="D22" i="1" s="1"/>
  <c r="C20" i="1"/>
  <c r="H20" i="1" s="1"/>
  <c r="D24" i="1"/>
  <c r="B25" i="1"/>
  <c r="B24" i="1"/>
  <c r="B23" i="1"/>
  <c r="B22" i="1"/>
  <c r="B21" i="1"/>
  <c r="B20" i="1"/>
  <c r="H25" i="1"/>
  <c r="L24" i="1"/>
  <c r="F20" i="1"/>
  <c r="M37" i="23"/>
  <c r="N37" i="23" s="1"/>
  <c r="L37" i="23"/>
  <c r="K37" i="23"/>
  <c r="H37" i="23"/>
  <c r="M36" i="23"/>
  <c r="N36" i="23" s="1"/>
  <c r="L36" i="23"/>
  <c r="K36" i="23"/>
  <c r="H36" i="23"/>
  <c r="M35" i="23"/>
  <c r="N35" i="23" s="1"/>
  <c r="L35" i="23"/>
  <c r="K35" i="23"/>
  <c r="H35" i="23"/>
  <c r="M34" i="23"/>
  <c r="N34" i="23" s="1"/>
  <c r="L34" i="23"/>
  <c r="K34" i="23"/>
  <c r="H34" i="23"/>
  <c r="M33" i="23"/>
  <c r="N33" i="23" s="1"/>
  <c r="L33" i="23"/>
  <c r="K33" i="23"/>
  <c r="H33" i="23"/>
  <c r="M32" i="23"/>
  <c r="N32" i="23" s="1"/>
  <c r="L32" i="23"/>
  <c r="K32" i="23"/>
  <c r="H32" i="23"/>
  <c r="M31" i="23"/>
  <c r="N31" i="23" s="1"/>
  <c r="L31" i="23"/>
  <c r="K31" i="23"/>
  <c r="H31" i="23"/>
  <c r="M30" i="23"/>
  <c r="N30" i="23" s="1"/>
  <c r="L30" i="23"/>
  <c r="K30" i="23"/>
  <c r="H30" i="23"/>
  <c r="M29" i="23"/>
  <c r="N29" i="23" s="1"/>
  <c r="L29" i="23"/>
  <c r="K29" i="23"/>
  <c r="H29" i="23"/>
  <c r="M28" i="23"/>
  <c r="N28" i="23" s="1"/>
  <c r="L28" i="23"/>
  <c r="K28" i="23"/>
  <c r="H28" i="23"/>
  <c r="L21" i="23"/>
  <c r="N21" i="23" s="1"/>
  <c r="K21" i="23"/>
  <c r="H21" i="23"/>
  <c r="L20" i="23"/>
  <c r="N20" i="23" s="1"/>
  <c r="K20" i="23"/>
  <c r="H20" i="23"/>
  <c r="M19" i="23"/>
  <c r="L19" i="23"/>
  <c r="N19" i="23" s="1"/>
  <c r="K19" i="23"/>
  <c r="H19" i="23"/>
  <c r="N18" i="23"/>
  <c r="M18" i="23"/>
  <c r="L18" i="23"/>
  <c r="K18" i="23"/>
  <c r="H18" i="23"/>
  <c r="L17" i="23"/>
  <c r="N17" i="23" s="1"/>
  <c r="K17" i="23"/>
  <c r="H17" i="23"/>
  <c r="L16" i="23"/>
  <c r="N16" i="23" s="1"/>
  <c r="K16" i="23"/>
  <c r="H16" i="23"/>
  <c r="M15" i="23"/>
  <c r="L15" i="23"/>
  <c r="N15" i="23" s="1"/>
  <c r="K15" i="23"/>
  <c r="H15" i="23"/>
  <c r="N14" i="23"/>
  <c r="M14" i="23"/>
  <c r="L14" i="23"/>
  <c r="K14" i="23"/>
  <c r="H14" i="23"/>
  <c r="L13" i="23"/>
  <c r="N13" i="23" s="1"/>
  <c r="K13" i="23"/>
  <c r="H13" i="23"/>
  <c r="L12" i="23"/>
  <c r="N12" i="23" s="1"/>
  <c r="K12" i="23"/>
  <c r="H12" i="23"/>
  <c r="D53" i="23"/>
  <c r="J5" i="23"/>
  <c r="K5" i="23" s="1"/>
  <c r="H5" i="23"/>
  <c r="I5" i="23" s="1"/>
  <c r="G5" i="23"/>
  <c r="E5" i="23"/>
  <c r="M37" i="22"/>
  <c r="N37" i="22" s="1"/>
  <c r="L37" i="22"/>
  <c r="K37" i="22"/>
  <c r="H37" i="22"/>
  <c r="M36" i="22"/>
  <c r="N36" i="22" s="1"/>
  <c r="L36" i="22"/>
  <c r="K36" i="22"/>
  <c r="H36" i="22"/>
  <c r="M35" i="22"/>
  <c r="N35" i="22" s="1"/>
  <c r="L35" i="22"/>
  <c r="K35" i="22"/>
  <c r="H35" i="22"/>
  <c r="M34" i="22"/>
  <c r="N34" i="22" s="1"/>
  <c r="L34" i="22"/>
  <c r="K34" i="22"/>
  <c r="H34" i="22"/>
  <c r="M33" i="22"/>
  <c r="N33" i="22" s="1"/>
  <c r="L33" i="22"/>
  <c r="K33" i="22"/>
  <c r="H33" i="22"/>
  <c r="M32" i="22"/>
  <c r="N32" i="22" s="1"/>
  <c r="L32" i="22"/>
  <c r="K32" i="22"/>
  <c r="H32" i="22"/>
  <c r="M31" i="22"/>
  <c r="N31" i="22" s="1"/>
  <c r="L31" i="22"/>
  <c r="K31" i="22"/>
  <c r="H31" i="22"/>
  <c r="M30" i="22"/>
  <c r="N30" i="22" s="1"/>
  <c r="L30" i="22"/>
  <c r="K30" i="22"/>
  <c r="H30" i="22"/>
  <c r="M29" i="22"/>
  <c r="N29" i="22" s="1"/>
  <c r="L29" i="22"/>
  <c r="K29" i="22"/>
  <c r="H29" i="22"/>
  <c r="M28" i="22"/>
  <c r="N28" i="22" s="1"/>
  <c r="L28" i="22"/>
  <c r="K28" i="22"/>
  <c r="H28" i="22"/>
  <c r="L21" i="22"/>
  <c r="N21" i="22" s="1"/>
  <c r="K21" i="22"/>
  <c r="H21" i="22"/>
  <c r="L20" i="22"/>
  <c r="N20" i="22" s="1"/>
  <c r="K20" i="22"/>
  <c r="H20" i="22"/>
  <c r="M19" i="22"/>
  <c r="L19" i="22"/>
  <c r="N19" i="22" s="1"/>
  <c r="K19" i="22"/>
  <c r="H19" i="22"/>
  <c r="L18" i="22"/>
  <c r="N18" i="22" s="1"/>
  <c r="K18" i="22"/>
  <c r="H18" i="22"/>
  <c r="L17" i="22"/>
  <c r="N17" i="22" s="1"/>
  <c r="K17" i="22"/>
  <c r="H17" i="22"/>
  <c r="L16" i="22"/>
  <c r="N16" i="22" s="1"/>
  <c r="K16" i="22"/>
  <c r="H16" i="22"/>
  <c r="M15" i="22"/>
  <c r="L15" i="22"/>
  <c r="N15" i="22" s="1"/>
  <c r="K15" i="22"/>
  <c r="H15" i="22"/>
  <c r="L14" i="22"/>
  <c r="N14" i="22" s="1"/>
  <c r="K14" i="22"/>
  <c r="H14" i="22"/>
  <c r="L13" i="22"/>
  <c r="N13" i="22" s="1"/>
  <c r="K13" i="22"/>
  <c r="H13" i="22"/>
  <c r="L12" i="22"/>
  <c r="N12" i="22" s="1"/>
  <c r="K12" i="22"/>
  <c r="H12" i="22"/>
  <c r="D53" i="22"/>
  <c r="J5" i="22"/>
  <c r="K5" i="22" s="1"/>
  <c r="H5" i="22"/>
  <c r="G5" i="22"/>
  <c r="M37" i="21"/>
  <c r="N37" i="21" s="1"/>
  <c r="L37" i="21"/>
  <c r="K37" i="21"/>
  <c r="H37" i="21"/>
  <c r="M36" i="21"/>
  <c r="N36" i="21" s="1"/>
  <c r="L36" i="21"/>
  <c r="K36" i="21"/>
  <c r="H36" i="21"/>
  <c r="M35" i="21"/>
  <c r="N35" i="21" s="1"/>
  <c r="L35" i="21"/>
  <c r="K35" i="21"/>
  <c r="H35" i="21"/>
  <c r="M34" i="21"/>
  <c r="N34" i="21" s="1"/>
  <c r="L34" i="21"/>
  <c r="K34" i="21"/>
  <c r="H34" i="21"/>
  <c r="M33" i="21"/>
  <c r="N33" i="21" s="1"/>
  <c r="L33" i="21"/>
  <c r="K33" i="21"/>
  <c r="H33" i="21"/>
  <c r="M32" i="21"/>
  <c r="N32" i="21" s="1"/>
  <c r="L32" i="21"/>
  <c r="K32" i="21"/>
  <c r="H32" i="21"/>
  <c r="M31" i="21"/>
  <c r="N31" i="21" s="1"/>
  <c r="L31" i="21"/>
  <c r="K31" i="21"/>
  <c r="H31" i="21"/>
  <c r="M30" i="21"/>
  <c r="N30" i="21" s="1"/>
  <c r="L30" i="21"/>
  <c r="K30" i="21"/>
  <c r="H30" i="21"/>
  <c r="M29" i="21"/>
  <c r="N29" i="21" s="1"/>
  <c r="L29" i="21"/>
  <c r="K29" i="21"/>
  <c r="H29" i="21"/>
  <c r="M28" i="21"/>
  <c r="N28" i="21" s="1"/>
  <c r="L28" i="21"/>
  <c r="K28" i="21"/>
  <c r="H28" i="21"/>
  <c r="L21" i="21"/>
  <c r="N21" i="21" s="1"/>
  <c r="K21" i="21"/>
  <c r="H21" i="21"/>
  <c r="L20" i="21"/>
  <c r="N20" i="21" s="1"/>
  <c r="K20" i="21"/>
  <c r="H20" i="21"/>
  <c r="M19" i="21"/>
  <c r="L19" i="21"/>
  <c r="N19" i="21" s="1"/>
  <c r="K19" i="21"/>
  <c r="H19" i="21"/>
  <c r="L18" i="21"/>
  <c r="M18" i="21" s="1"/>
  <c r="K18" i="21"/>
  <c r="H18" i="21"/>
  <c r="L17" i="21"/>
  <c r="N17" i="21" s="1"/>
  <c r="K17" i="21"/>
  <c r="H17" i="21"/>
  <c r="L16" i="21"/>
  <c r="N16" i="21" s="1"/>
  <c r="K16" i="21"/>
  <c r="H16" i="21"/>
  <c r="M15" i="21"/>
  <c r="L15" i="21"/>
  <c r="N15" i="21" s="1"/>
  <c r="K15" i="21"/>
  <c r="H15" i="21"/>
  <c r="L14" i="21"/>
  <c r="M14" i="21" s="1"/>
  <c r="K14" i="21"/>
  <c r="H14" i="21"/>
  <c r="L13" i="21"/>
  <c r="N13" i="21" s="1"/>
  <c r="K13" i="21"/>
  <c r="H13" i="21"/>
  <c r="L12" i="21"/>
  <c r="N12" i="21" s="1"/>
  <c r="K12" i="21"/>
  <c r="H12" i="21"/>
  <c r="D53" i="21"/>
  <c r="J5" i="21"/>
  <c r="K5" i="21" s="1"/>
  <c r="H5" i="21"/>
  <c r="I5" i="21" s="1"/>
  <c r="G5" i="21"/>
  <c r="E5" i="21"/>
  <c r="M37" i="20"/>
  <c r="N37" i="20" s="1"/>
  <c r="L37" i="20"/>
  <c r="K37" i="20"/>
  <c r="H37" i="20"/>
  <c r="M36" i="20"/>
  <c r="N36" i="20" s="1"/>
  <c r="L36" i="20"/>
  <c r="K36" i="20"/>
  <c r="H36" i="20"/>
  <c r="M35" i="20"/>
  <c r="N35" i="20" s="1"/>
  <c r="L35" i="20"/>
  <c r="K35" i="20"/>
  <c r="H35" i="20"/>
  <c r="M34" i="20"/>
  <c r="N34" i="20" s="1"/>
  <c r="L34" i="20"/>
  <c r="K34" i="20"/>
  <c r="H34" i="20"/>
  <c r="M33" i="20"/>
  <c r="N33" i="20" s="1"/>
  <c r="L33" i="20"/>
  <c r="K33" i="20"/>
  <c r="H33" i="20"/>
  <c r="M32" i="20"/>
  <c r="N32" i="20" s="1"/>
  <c r="L32" i="20"/>
  <c r="K32" i="20"/>
  <c r="H32" i="20"/>
  <c r="M31" i="20"/>
  <c r="N31" i="20" s="1"/>
  <c r="L31" i="20"/>
  <c r="K31" i="20"/>
  <c r="H31" i="20"/>
  <c r="M30" i="20"/>
  <c r="N30" i="20" s="1"/>
  <c r="L30" i="20"/>
  <c r="K30" i="20"/>
  <c r="H30" i="20"/>
  <c r="M29" i="20"/>
  <c r="N29" i="20" s="1"/>
  <c r="L29" i="20"/>
  <c r="K29" i="20"/>
  <c r="H29" i="20"/>
  <c r="M28" i="20"/>
  <c r="N28" i="20" s="1"/>
  <c r="L28" i="20"/>
  <c r="K28" i="20"/>
  <c r="H28" i="20"/>
  <c r="M21" i="20"/>
  <c r="L21" i="20"/>
  <c r="N21" i="20" s="1"/>
  <c r="K21" i="20"/>
  <c r="H21" i="20"/>
  <c r="L20" i="20"/>
  <c r="N20" i="20" s="1"/>
  <c r="K20" i="20"/>
  <c r="H20" i="20"/>
  <c r="M19" i="20"/>
  <c r="L19" i="20"/>
  <c r="N19" i="20" s="1"/>
  <c r="K19" i="20"/>
  <c r="H19" i="20"/>
  <c r="L18" i="20"/>
  <c r="M18" i="20" s="1"/>
  <c r="K18" i="20"/>
  <c r="H18" i="20"/>
  <c r="M17" i="20"/>
  <c r="L17" i="20"/>
  <c r="N17" i="20" s="1"/>
  <c r="K17" i="20"/>
  <c r="H17" i="20"/>
  <c r="L16" i="20"/>
  <c r="N16" i="20" s="1"/>
  <c r="K16" i="20"/>
  <c r="H16" i="20"/>
  <c r="M15" i="20"/>
  <c r="L15" i="20"/>
  <c r="N15" i="20" s="1"/>
  <c r="K15" i="20"/>
  <c r="H15" i="20"/>
  <c r="L14" i="20"/>
  <c r="N14" i="20" s="1"/>
  <c r="K14" i="20"/>
  <c r="H14" i="20"/>
  <c r="M13" i="20"/>
  <c r="L13" i="20"/>
  <c r="N13" i="20" s="1"/>
  <c r="K13" i="20"/>
  <c r="H13" i="20"/>
  <c r="L12" i="20"/>
  <c r="M12" i="20" s="1"/>
  <c r="K12" i="20"/>
  <c r="H12" i="20"/>
  <c r="J5" i="20"/>
  <c r="K5" i="20" s="1"/>
  <c r="H5" i="20"/>
  <c r="G5" i="20"/>
  <c r="M37" i="19"/>
  <c r="N37" i="19" s="1"/>
  <c r="L37" i="19"/>
  <c r="K37" i="19"/>
  <c r="H37" i="19"/>
  <c r="M36" i="19"/>
  <c r="N36" i="19" s="1"/>
  <c r="L36" i="19"/>
  <c r="K36" i="19"/>
  <c r="H36" i="19"/>
  <c r="M35" i="19"/>
  <c r="N35" i="19" s="1"/>
  <c r="L35" i="19"/>
  <c r="K35" i="19"/>
  <c r="H35" i="19"/>
  <c r="M34" i="19"/>
  <c r="N34" i="19" s="1"/>
  <c r="L34" i="19"/>
  <c r="K34" i="19"/>
  <c r="H34" i="19"/>
  <c r="M33" i="19"/>
  <c r="N33" i="19" s="1"/>
  <c r="L33" i="19"/>
  <c r="K33" i="19"/>
  <c r="H33" i="19"/>
  <c r="M32" i="19"/>
  <c r="N32" i="19" s="1"/>
  <c r="L32" i="19"/>
  <c r="K32" i="19"/>
  <c r="H32" i="19"/>
  <c r="M31" i="19"/>
  <c r="N31" i="19" s="1"/>
  <c r="L31" i="19"/>
  <c r="K31" i="19"/>
  <c r="H31" i="19"/>
  <c r="M30" i="19"/>
  <c r="N30" i="19" s="1"/>
  <c r="L30" i="19"/>
  <c r="K30" i="19"/>
  <c r="H30" i="19"/>
  <c r="M29" i="19"/>
  <c r="N29" i="19" s="1"/>
  <c r="L29" i="19"/>
  <c r="K29" i="19"/>
  <c r="H29" i="19"/>
  <c r="M28" i="19"/>
  <c r="N28" i="19" s="1"/>
  <c r="L28" i="19"/>
  <c r="K28" i="19"/>
  <c r="H28" i="19"/>
  <c r="M21" i="19"/>
  <c r="L21" i="19"/>
  <c r="N21" i="19" s="1"/>
  <c r="K21" i="19"/>
  <c r="H21" i="19"/>
  <c r="L20" i="19"/>
  <c r="N20" i="19" s="1"/>
  <c r="K20" i="19"/>
  <c r="H20" i="19"/>
  <c r="M19" i="19"/>
  <c r="L19" i="19"/>
  <c r="N19" i="19" s="1"/>
  <c r="K19" i="19"/>
  <c r="H19" i="19"/>
  <c r="L18" i="19"/>
  <c r="N18" i="19" s="1"/>
  <c r="K18" i="19"/>
  <c r="H18" i="19"/>
  <c r="M17" i="19"/>
  <c r="L17" i="19"/>
  <c r="N17" i="19" s="1"/>
  <c r="K17" i="19"/>
  <c r="H17" i="19"/>
  <c r="L16" i="19"/>
  <c r="N16" i="19" s="1"/>
  <c r="K16" i="19"/>
  <c r="H16" i="19"/>
  <c r="M15" i="19"/>
  <c r="L15" i="19"/>
  <c r="N15" i="19" s="1"/>
  <c r="K15" i="19"/>
  <c r="H15" i="19"/>
  <c r="L14" i="19"/>
  <c r="N14" i="19" s="1"/>
  <c r="K14" i="19"/>
  <c r="H14" i="19"/>
  <c r="M13" i="19"/>
  <c r="L13" i="19"/>
  <c r="N13" i="19" s="1"/>
  <c r="K13" i="19"/>
  <c r="H13" i="19"/>
  <c r="L12" i="19"/>
  <c r="N12" i="19" s="1"/>
  <c r="K12" i="19"/>
  <c r="H12" i="19"/>
  <c r="D53" i="19"/>
  <c r="J5" i="19"/>
  <c r="H5" i="19"/>
  <c r="I5" i="19" s="1"/>
  <c r="E5" i="19"/>
  <c r="M37" i="18"/>
  <c r="N37" i="18" s="1"/>
  <c r="L37" i="18"/>
  <c r="K37" i="18"/>
  <c r="H37" i="18"/>
  <c r="M36" i="18"/>
  <c r="N36" i="18" s="1"/>
  <c r="L36" i="18"/>
  <c r="K36" i="18"/>
  <c r="H36" i="18"/>
  <c r="M35" i="18"/>
  <c r="N35" i="18" s="1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M32" i="18"/>
  <c r="N32" i="18" s="1"/>
  <c r="L32" i="18"/>
  <c r="K32" i="18"/>
  <c r="H32" i="18"/>
  <c r="M31" i="18"/>
  <c r="N31" i="18" s="1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M21" i="18"/>
  <c r="L21" i="18"/>
  <c r="N21" i="18" s="1"/>
  <c r="K21" i="18"/>
  <c r="H21" i="18"/>
  <c r="L20" i="18"/>
  <c r="N20" i="18" s="1"/>
  <c r="K20" i="18"/>
  <c r="H20" i="18"/>
  <c r="M19" i="18"/>
  <c r="L19" i="18"/>
  <c r="N19" i="18" s="1"/>
  <c r="K19" i="18"/>
  <c r="H19" i="18"/>
  <c r="L18" i="18"/>
  <c r="M18" i="18" s="1"/>
  <c r="K18" i="18"/>
  <c r="H18" i="18"/>
  <c r="M17" i="18"/>
  <c r="L17" i="18"/>
  <c r="N17" i="18" s="1"/>
  <c r="K17" i="18"/>
  <c r="H17" i="18"/>
  <c r="L16" i="18"/>
  <c r="N16" i="18" s="1"/>
  <c r="K16" i="18"/>
  <c r="H16" i="18"/>
  <c r="M15" i="18"/>
  <c r="L15" i="18"/>
  <c r="N15" i="18" s="1"/>
  <c r="K15" i="18"/>
  <c r="H15" i="18"/>
  <c r="L14" i="18"/>
  <c r="M14" i="18" s="1"/>
  <c r="K14" i="18"/>
  <c r="H14" i="18"/>
  <c r="M13" i="18"/>
  <c r="L13" i="18"/>
  <c r="N13" i="18" s="1"/>
  <c r="K13" i="18"/>
  <c r="H13" i="18"/>
  <c r="L12" i="18"/>
  <c r="N12" i="18" s="1"/>
  <c r="K12" i="18"/>
  <c r="H12" i="18"/>
  <c r="D53" i="18"/>
  <c r="J5" i="18"/>
  <c r="K5" i="18" s="1"/>
  <c r="H5" i="18"/>
  <c r="I5" i="18" s="1"/>
  <c r="G5" i="18"/>
  <c r="E5" i="18"/>
  <c r="K19" i="1"/>
  <c r="L19" i="1" s="1"/>
  <c r="I19" i="1"/>
  <c r="G19" i="1"/>
  <c r="E19" i="1"/>
  <c r="C19" i="1"/>
  <c r="B19" i="1"/>
  <c r="N37" i="17"/>
  <c r="M37" i="17"/>
  <c r="L37" i="17"/>
  <c r="K37" i="17"/>
  <c r="H37" i="17"/>
  <c r="M36" i="17"/>
  <c r="N36" i="17" s="1"/>
  <c r="L36" i="17"/>
  <c r="K36" i="17"/>
  <c r="H36" i="17"/>
  <c r="M35" i="17"/>
  <c r="N35" i="17" s="1"/>
  <c r="L35" i="17"/>
  <c r="K35" i="17"/>
  <c r="H35" i="17"/>
  <c r="M34" i="17"/>
  <c r="N34" i="17" s="1"/>
  <c r="L34" i="17"/>
  <c r="K34" i="17"/>
  <c r="H34" i="17"/>
  <c r="N33" i="17"/>
  <c r="M33" i="17"/>
  <c r="L33" i="17"/>
  <c r="K33" i="17"/>
  <c r="H33" i="17"/>
  <c r="M32" i="17"/>
  <c r="N32" i="17" s="1"/>
  <c r="L32" i="17"/>
  <c r="K32" i="17"/>
  <c r="H32" i="17"/>
  <c r="M31" i="17"/>
  <c r="N31" i="17" s="1"/>
  <c r="L31" i="17"/>
  <c r="K31" i="17"/>
  <c r="H31" i="17"/>
  <c r="M30" i="17"/>
  <c r="N30" i="17" s="1"/>
  <c r="L30" i="17"/>
  <c r="K30" i="17"/>
  <c r="H30" i="17"/>
  <c r="N29" i="17"/>
  <c r="M29" i="17"/>
  <c r="L29" i="17"/>
  <c r="K29" i="17"/>
  <c r="H29" i="17"/>
  <c r="M28" i="17"/>
  <c r="N28" i="17" s="1"/>
  <c r="L28" i="17"/>
  <c r="K28" i="17"/>
  <c r="H28" i="17"/>
  <c r="L21" i="17"/>
  <c r="N21" i="17" s="1"/>
  <c r="K21" i="17"/>
  <c r="H21" i="17"/>
  <c r="L20" i="17"/>
  <c r="N20" i="17" s="1"/>
  <c r="K20" i="17"/>
  <c r="H20" i="17"/>
  <c r="N19" i="17"/>
  <c r="M19" i="17"/>
  <c r="L19" i="17"/>
  <c r="K19" i="17"/>
  <c r="H19" i="17"/>
  <c r="L18" i="17"/>
  <c r="N18" i="17" s="1"/>
  <c r="K18" i="17"/>
  <c r="H18" i="17"/>
  <c r="L17" i="17"/>
  <c r="N17" i="17" s="1"/>
  <c r="K17" i="17"/>
  <c r="H17" i="17"/>
  <c r="L16" i="17"/>
  <c r="N16" i="17" s="1"/>
  <c r="K16" i="17"/>
  <c r="H16" i="17"/>
  <c r="N15" i="17"/>
  <c r="M15" i="17"/>
  <c r="L15" i="17"/>
  <c r="K15" i="17"/>
  <c r="H15" i="17"/>
  <c r="L14" i="17"/>
  <c r="N14" i="17" s="1"/>
  <c r="K14" i="17"/>
  <c r="H14" i="17"/>
  <c r="L13" i="17"/>
  <c r="N13" i="17" s="1"/>
  <c r="K13" i="17"/>
  <c r="H13" i="17"/>
  <c r="L12" i="17"/>
  <c r="N12" i="17" s="1"/>
  <c r="K12" i="17"/>
  <c r="H12" i="17"/>
  <c r="D50" i="17"/>
  <c r="J5" i="17"/>
  <c r="K5" i="17" s="1"/>
  <c r="H5" i="17"/>
  <c r="I5" i="17" s="1"/>
  <c r="G5" i="17"/>
  <c r="E5" i="17"/>
  <c r="K18" i="1"/>
  <c r="K17" i="1"/>
  <c r="K16" i="1"/>
  <c r="K15" i="1"/>
  <c r="I18" i="1"/>
  <c r="I17" i="1"/>
  <c r="I16" i="1"/>
  <c r="I15" i="1"/>
  <c r="G18" i="1"/>
  <c r="G17" i="1"/>
  <c r="G16" i="1"/>
  <c r="G15" i="1"/>
  <c r="E18" i="1"/>
  <c r="E17" i="1"/>
  <c r="E16" i="1"/>
  <c r="E15" i="1"/>
  <c r="C18" i="1"/>
  <c r="C17" i="1"/>
  <c r="D17" i="1" s="1"/>
  <c r="C16" i="1"/>
  <c r="C15" i="1"/>
  <c r="H15" i="1" s="1"/>
  <c r="B18" i="1"/>
  <c r="B17" i="1"/>
  <c r="B16" i="1"/>
  <c r="B15" i="1"/>
  <c r="D15" i="1"/>
  <c r="F15" i="1"/>
  <c r="J15" i="1"/>
  <c r="L15" i="1"/>
  <c r="L16" i="1"/>
  <c r="D16" i="1"/>
  <c r="F16" i="1"/>
  <c r="H16" i="1"/>
  <c r="J16" i="1"/>
  <c r="F17" i="1"/>
  <c r="H17" i="1"/>
  <c r="J17" i="1"/>
  <c r="L17" i="1"/>
  <c r="L18" i="1"/>
  <c r="D18" i="1"/>
  <c r="J18" i="1"/>
  <c r="F18" i="1"/>
  <c r="M37" i="16"/>
  <c r="N37" i="16" s="1"/>
  <c r="L37" i="16"/>
  <c r="K37" i="16"/>
  <c r="H37" i="16"/>
  <c r="M36" i="16"/>
  <c r="N36" i="16" s="1"/>
  <c r="L36" i="16"/>
  <c r="K36" i="16"/>
  <c r="H36" i="16"/>
  <c r="M35" i="16"/>
  <c r="N35" i="16" s="1"/>
  <c r="L35" i="16"/>
  <c r="K35" i="16"/>
  <c r="H35" i="16"/>
  <c r="M34" i="16"/>
  <c r="N34" i="16" s="1"/>
  <c r="L34" i="16"/>
  <c r="K34" i="16"/>
  <c r="H34" i="16"/>
  <c r="M33" i="16"/>
  <c r="N33" i="16" s="1"/>
  <c r="L33" i="16"/>
  <c r="K33" i="16"/>
  <c r="H33" i="16"/>
  <c r="M32" i="16"/>
  <c r="N32" i="16" s="1"/>
  <c r="L32" i="16"/>
  <c r="K32" i="16"/>
  <c r="H32" i="16"/>
  <c r="M31" i="16"/>
  <c r="N31" i="16" s="1"/>
  <c r="L31" i="16"/>
  <c r="K31" i="16"/>
  <c r="H31" i="16"/>
  <c r="M30" i="16"/>
  <c r="N30" i="16" s="1"/>
  <c r="L30" i="16"/>
  <c r="K30" i="16"/>
  <c r="H30" i="16"/>
  <c r="M29" i="16"/>
  <c r="N29" i="16" s="1"/>
  <c r="L29" i="16"/>
  <c r="K29" i="16"/>
  <c r="H29" i="16"/>
  <c r="M28" i="16"/>
  <c r="N28" i="16" s="1"/>
  <c r="L28" i="16"/>
  <c r="K28" i="16"/>
  <c r="H28" i="16"/>
  <c r="L21" i="16"/>
  <c r="N21" i="16" s="1"/>
  <c r="K21" i="16"/>
  <c r="H21" i="16"/>
  <c r="L20" i="16"/>
  <c r="N20" i="16" s="1"/>
  <c r="K20" i="16"/>
  <c r="H20" i="16"/>
  <c r="L19" i="16"/>
  <c r="M19" i="16" s="1"/>
  <c r="K19" i="16"/>
  <c r="H19" i="16"/>
  <c r="L18" i="16"/>
  <c r="N18" i="16" s="1"/>
  <c r="K18" i="16"/>
  <c r="H18" i="16"/>
  <c r="L17" i="16"/>
  <c r="N17" i="16" s="1"/>
  <c r="K17" i="16"/>
  <c r="H17" i="16"/>
  <c r="L16" i="16"/>
  <c r="N16" i="16" s="1"/>
  <c r="K16" i="16"/>
  <c r="H16" i="16"/>
  <c r="L15" i="16"/>
  <c r="N15" i="16" s="1"/>
  <c r="K15" i="16"/>
  <c r="H15" i="16"/>
  <c r="L14" i="16"/>
  <c r="M14" i="16" s="1"/>
  <c r="K14" i="16"/>
  <c r="H14" i="16"/>
  <c r="L13" i="16"/>
  <c r="N13" i="16" s="1"/>
  <c r="K13" i="16"/>
  <c r="H13" i="16"/>
  <c r="L12" i="16"/>
  <c r="N12" i="16" s="1"/>
  <c r="K12" i="16"/>
  <c r="H12" i="16"/>
  <c r="D53" i="16"/>
  <c r="J5" i="16"/>
  <c r="K5" i="16" s="1"/>
  <c r="H5" i="16"/>
  <c r="I5" i="16" s="1"/>
  <c r="G5" i="16"/>
  <c r="E5" i="16"/>
  <c r="M37" i="15"/>
  <c r="N37" i="15" s="1"/>
  <c r="L37" i="15"/>
  <c r="K37" i="15"/>
  <c r="H37" i="15"/>
  <c r="M36" i="15"/>
  <c r="N36" i="15" s="1"/>
  <c r="L36" i="15"/>
  <c r="K36" i="15"/>
  <c r="H36" i="15"/>
  <c r="M35" i="15"/>
  <c r="N35" i="15" s="1"/>
  <c r="L35" i="15"/>
  <c r="K35" i="15"/>
  <c r="H35" i="15"/>
  <c r="M34" i="15"/>
  <c r="N34" i="15" s="1"/>
  <c r="L34" i="15"/>
  <c r="K34" i="15"/>
  <c r="H34" i="15"/>
  <c r="M33" i="15"/>
  <c r="N33" i="15" s="1"/>
  <c r="L33" i="15"/>
  <c r="K33" i="15"/>
  <c r="H33" i="15"/>
  <c r="M32" i="15"/>
  <c r="N32" i="15" s="1"/>
  <c r="L32" i="15"/>
  <c r="K32" i="15"/>
  <c r="H32" i="15"/>
  <c r="M31" i="15"/>
  <c r="N31" i="15" s="1"/>
  <c r="L31" i="15"/>
  <c r="K31" i="15"/>
  <c r="H31" i="15"/>
  <c r="M30" i="15"/>
  <c r="N30" i="15" s="1"/>
  <c r="L30" i="15"/>
  <c r="K30" i="15"/>
  <c r="H30" i="15"/>
  <c r="M29" i="15"/>
  <c r="N29" i="15" s="1"/>
  <c r="L29" i="15"/>
  <c r="K29" i="15"/>
  <c r="H29" i="15"/>
  <c r="M28" i="15"/>
  <c r="N28" i="15" s="1"/>
  <c r="L28" i="15"/>
  <c r="K28" i="15"/>
  <c r="H28" i="15"/>
  <c r="L21" i="15"/>
  <c r="N21" i="15" s="1"/>
  <c r="K21" i="15"/>
  <c r="H21" i="15"/>
  <c r="L20" i="15"/>
  <c r="N20" i="15" s="1"/>
  <c r="K20" i="15"/>
  <c r="H20" i="15"/>
  <c r="L19" i="15"/>
  <c r="N19" i="15" s="1"/>
  <c r="K19" i="15"/>
  <c r="H19" i="15"/>
  <c r="L18" i="15"/>
  <c r="N18" i="15" s="1"/>
  <c r="K18" i="15"/>
  <c r="H18" i="15"/>
  <c r="L17" i="15"/>
  <c r="N17" i="15" s="1"/>
  <c r="K17" i="15"/>
  <c r="H17" i="15"/>
  <c r="L16" i="15"/>
  <c r="N16" i="15" s="1"/>
  <c r="K16" i="15"/>
  <c r="H16" i="15"/>
  <c r="L15" i="15"/>
  <c r="M15" i="15" s="1"/>
  <c r="K15" i="15"/>
  <c r="H15" i="15"/>
  <c r="L14" i="15"/>
  <c r="N14" i="15" s="1"/>
  <c r="K14" i="15"/>
  <c r="H14" i="15"/>
  <c r="L13" i="15"/>
  <c r="N13" i="15" s="1"/>
  <c r="K13" i="15"/>
  <c r="H13" i="15"/>
  <c r="L12" i="15"/>
  <c r="N12" i="15" s="1"/>
  <c r="K12" i="15"/>
  <c r="H12" i="15"/>
  <c r="D53" i="15"/>
  <c r="J5" i="15"/>
  <c r="K5" i="15" s="1"/>
  <c r="H5" i="15"/>
  <c r="I5" i="15" s="1"/>
  <c r="G5" i="15"/>
  <c r="E5" i="15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N31" i="14"/>
  <c r="M31" i="14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N21" i="14" s="1"/>
  <c r="K21" i="14"/>
  <c r="H21" i="14"/>
  <c r="L20" i="14"/>
  <c r="N20" i="14" s="1"/>
  <c r="K20" i="14"/>
  <c r="H20" i="14"/>
  <c r="L19" i="14"/>
  <c r="M19" i="14" s="1"/>
  <c r="K19" i="14"/>
  <c r="H19" i="14"/>
  <c r="L18" i="14"/>
  <c r="N18" i="14" s="1"/>
  <c r="K18" i="14"/>
  <c r="H18" i="14"/>
  <c r="L17" i="14"/>
  <c r="N17" i="14" s="1"/>
  <c r="K17" i="14"/>
  <c r="H17" i="14"/>
  <c r="L16" i="14"/>
  <c r="N16" i="14" s="1"/>
  <c r="K16" i="14"/>
  <c r="H16" i="14"/>
  <c r="L15" i="14"/>
  <c r="N15" i="14" s="1"/>
  <c r="K15" i="14"/>
  <c r="H15" i="14"/>
  <c r="L14" i="14"/>
  <c r="M14" i="14" s="1"/>
  <c r="K14" i="14"/>
  <c r="H14" i="14"/>
  <c r="L13" i="14"/>
  <c r="N13" i="14" s="1"/>
  <c r="K13" i="14"/>
  <c r="H13" i="14"/>
  <c r="L12" i="14"/>
  <c r="N12" i="14" s="1"/>
  <c r="K12" i="14"/>
  <c r="H12" i="14"/>
  <c r="D53" i="14"/>
  <c r="J5" i="14"/>
  <c r="K5" i="14" s="1"/>
  <c r="H5" i="14"/>
  <c r="I5" i="14" s="1"/>
  <c r="G5" i="14"/>
  <c r="E5" i="14"/>
  <c r="M37" i="13"/>
  <c r="N37" i="13" s="1"/>
  <c r="L37" i="13"/>
  <c r="K37" i="13"/>
  <c r="H37" i="13"/>
  <c r="M36" i="13"/>
  <c r="N36" i="13" s="1"/>
  <c r="L36" i="13"/>
  <c r="K36" i="13"/>
  <c r="H36" i="13"/>
  <c r="M35" i="13"/>
  <c r="N35" i="13" s="1"/>
  <c r="L35" i="13"/>
  <c r="K35" i="13"/>
  <c r="H35" i="13"/>
  <c r="M34" i="13"/>
  <c r="N34" i="13" s="1"/>
  <c r="L34" i="13"/>
  <c r="K34" i="13"/>
  <c r="H34" i="13"/>
  <c r="M33" i="13"/>
  <c r="N33" i="13" s="1"/>
  <c r="L33" i="13"/>
  <c r="K33" i="13"/>
  <c r="H33" i="13"/>
  <c r="M32" i="13"/>
  <c r="N32" i="13" s="1"/>
  <c r="L32" i="13"/>
  <c r="K32" i="13"/>
  <c r="H32" i="13"/>
  <c r="M31" i="13"/>
  <c r="N31" i="13" s="1"/>
  <c r="L31" i="13"/>
  <c r="K31" i="13"/>
  <c r="H31" i="13"/>
  <c r="M30" i="13"/>
  <c r="N30" i="13" s="1"/>
  <c r="L30" i="13"/>
  <c r="K30" i="13"/>
  <c r="H30" i="13"/>
  <c r="M29" i="13"/>
  <c r="N29" i="13" s="1"/>
  <c r="L29" i="13"/>
  <c r="K29" i="13"/>
  <c r="H29" i="13"/>
  <c r="M28" i="13"/>
  <c r="N28" i="13" s="1"/>
  <c r="L28" i="13"/>
  <c r="K28" i="13"/>
  <c r="H28" i="13"/>
  <c r="L21" i="13"/>
  <c r="N21" i="13" s="1"/>
  <c r="K21" i="13"/>
  <c r="H21" i="13"/>
  <c r="L20" i="13"/>
  <c r="M20" i="13" s="1"/>
  <c r="K20" i="13"/>
  <c r="H20" i="13"/>
  <c r="L19" i="13"/>
  <c r="N19" i="13" s="1"/>
  <c r="K19" i="13"/>
  <c r="H19" i="13"/>
  <c r="L18" i="13"/>
  <c r="N18" i="13" s="1"/>
  <c r="K18" i="13"/>
  <c r="H18" i="13"/>
  <c r="L17" i="13"/>
  <c r="N17" i="13" s="1"/>
  <c r="K17" i="13"/>
  <c r="H17" i="13"/>
  <c r="L16" i="13"/>
  <c r="N16" i="13" s="1"/>
  <c r="K16" i="13"/>
  <c r="H16" i="13"/>
  <c r="L15" i="13"/>
  <c r="M15" i="13" s="1"/>
  <c r="K15" i="13"/>
  <c r="H15" i="13"/>
  <c r="L14" i="13"/>
  <c r="M14" i="13" s="1"/>
  <c r="K14" i="13"/>
  <c r="H14" i="13"/>
  <c r="L13" i="13"/>
  <c r="N13" i="13" s="1"/>
  <c r="K13" i="13"/>
  <c r="H13" i="13"/>
  <c r="L12" i="13"/>
  <c r="N12" i="13" s="1"/>
  <c r="K12" i="13"/>
  <c r="H12" i="13"/>
  <c r="D53" i="13"/>
  <c r="J5" i="13"/>
  <c r="K5" i="13" s="1"/>
  <c r="H5" i="13"/>
  <c r="I5" i="13" s="1"/>
  <c r="G5" i="13"/>
  <c r="E5" i="13"/>
  <c r="K14" i="1"/>
  <c r="I14" i="1"/>
  <c r="J14" i="1"/>
  <c r="G14" i="1"/>
  <c r="E14" i="1"/>
  <c r="C14" i="1"/>
  <c r="B14" i="1"/>
  <c r="M37" i="12"/>
  <c r="N37" i="12" s="1"/>
  <c r="L37" i="12"/>
  <c r="K37" i="12"/>
  <c r="H37" i="12"/>
  <c r="M36" i="12"/>
  <c r="N36" i="12" s="1"/>
  <c r="L36" i="12"/>
  <c r="K36" i="12"/>
  <c r="H36" i="12"/>
  <c r="N35" i="12"/>
  <c r="M35" i="12"/>
  <c r="L35" i="12"/>
  <c r="K35" i="12"/>
  <c r="H35" i="12"/>
  <c r="N34" i="12"/>
  <c r="M34" i="12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N31" i="12"/>
  <c r="M31" i="12"/>
  <c r="L31" i="12"/>
  <c r="K31" i="12"/>
  <c r="H31" i="12"/>
  <c r="N30" i="12"/>
  <c r="M30" i="12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N21" i="12"/>
  <c r="L21" i="12"/>
  <c r="M21" i="12" s="1"/>
  <c r="K21" i="12"/>
  <c r="H21" i="12"/>
  <c r="N20" i="12"/>
  <c r="L20" i="12"/>
  <c r="M20" i="12" s="1"/>
  <c r="K20" i="12"/>
  <c r="H20" i="12"/>
  <c r="N19" i="12"/>
  <c r="M19" i="12"/>
  <c r="L19" i="12"/>
  <c r="K19" i="12"/>
  <c r="H19" i="12"/>
  <c r="L18" i="12"/>
  <c r="M18" i="12" s="1"/>
  <c r="K18" i="12"/>
  <c r="H18" i="12"/>
  <c r="N17" i="12"/>
  <c r="L17" i="12"/>
  <c r="M17" i="12" s="1"/>
  <c r="K17" i="12"/>
  <c r="H17" i="12"/>
  <c r="N16" i="12"/>
  <c r="L16" i="12"/>
  <c r="M16" i="12" s="1"/>
  <c r="K16" i="12"/>
  <c r="H16" i="12"/>
  <c r="N15" i="12"/>
  <c r="M15" i="12"/>
  <c r="L15" i="12"/>
  <c r="K15" i="12"/>
  <c r="H15" i="12"/>
  <c r="N14" i="12"/>
  <c r="L14" i="12"/>
  <c r="M14" i="12" s="1"/>
  <c r="K14" i="12"/>
  <c r="H14" i="12"/>
  <c r="N13" i="12"/>
  <c r="L13" i="12"/>
  <c r="M13" i="12" s="1"/>
  <c r="K13" i="12"/>
  <c r="H13" i="12"/>
  <c r="N12" i="12"/>
  <c r="L12" i="12"/>
  <c r="M12" i="12" s="1"/>
  <c r="K12" i="12"/>
  <c r="H12" i="12"/>
  <c r="D52" i="12"/>
  <c r="J5" i="12"/>
  <c r="K5" i="12" s="1"/>
  <c r="H5" i="12"/>
  <c r="I5" i="12" s="1"/>
  <c r="G5" i="12"/>
  <c r="E5" i="12"/>
  <c r="K13" i="1"/>
  <c r="K12" i="1"/>
  <c r="I13" i="1"/>
  <c r="I12" i="1"/>
  <c r="J12" i="1" s="1"/>
  <c r="G13" i="1"/>
  <c r="G12" i="1"/>
  <c r="E13" i="1"/>
  <c r="F13" i="1" s="1"/>
  <c r="E12" i="1"/>
  <c r="C13" i="1"/>
  <c r="C12" i="1"/>
  <c r="B13" i="1"/>
  <c r="B12" i="1"/>
  <c r="F12" i="1"/>
  <c r="D13" i="1"/>
  <c r="H13" i="1"/>
  <c r="M37" i="11"/>
  <c r="N37" i="11" s="1"/>
  <c r="L37" i="11"/>
  <c r="K37" i="11"/>
  <c r="H37" i="11"/>
  <c r="M36" i="11"/>
  <c r="N36" i="11" s="1"/>
  <c r="L36" i="11"/>
  <c r="K36" i="11"/>
  <c r="H36" i="11"/>
  <c r="M35" i="11"/>
  <c r="N35" i="11" s="1"/>
  <c r="L35" i="11"/>
  <c r="K35" i="11"/>
  <c r="H35" i="11"/>
  <c r="M34" i="11"/>
  <c r="N34" i="11" s="1"/>
  <c r="L34" i="11"/>
  <c r="K34" i="11"/>
  <c r="H34" i="11"/>
  <c r="M33" i="11"/>
  <c r="N33" i="11" s="1"/>
  <c r="L33" i="11"/>
  <c r="K33" i="11"/>
  <c r="H33" i="11"/>
  <c r="M32" i="11"/>
  <c r="N32" i="11" s="1"/>
  <c r="L32" i="11"/>
  <c r="K32" i="11"/>
  <c r="H32" i="11"/>
  <c r="M31" i="11"/>
  <c r="N31" i="11" s="1"/>
  <c r="L31" i="11"/>
  <c r="K31" i="11"/>
  <c r="H31" i="11"/>
  <c r="M30" i="11"/>
  <c r="N30" i="11" s="1"/>
  <c r="L30" i="11"/>
  <c r="K30" i="11"/>
  <c r="H30" i="11"/>
  <c r="M29" i="11"/>
  <c r="N29" i="11" s="1"/>
  <c r="L29" i="11"/>
  <c r="K29" i="11"/>
  <c r="H29" i="11"/>
  <c r="M28" i="11"/>
  <c r="N28" i="11" s="1"/>
  <c r="L28" i="11"/>
  <c r="K28" i="11"/>
  <c r="H28" i="11"/>
  <c r="L21" i="11"/>
  <c r="N21" i="11" s="1"/>
  <c r="K21" i="11"/>
  <c r="H21" i="11"/>
  <c r="N20" i="11"/>
  <c r="M20" i="11"/>
  <c r="L20" i="11"/>
  <c r="K20" i="11"/>
  <c r="H20" i="11"/>
  <c r="L19" i="11"/>
  <c r="N19" i="11" s="1"/>
  <c r="K19" i="11"/>
  <c r="H19" i="11"/>
  <c r="L18" i="11"/>
  <c r="M18" i="11" s="1"/>
  <c r="K18" i="11"/>
  <c r="H18" i="11"/>
  <c r="L17" i="11"/>
  <c r="N17" i="11" s="1"/>
  <c r="K17" i="11"/>
  <c r="H17" i="11"/>
  <c r="N16" i="11"/>
  <c r="M16" i="11"/>
  <c r="L16" i="11"/>
  <c r="K16" i="11"/>
  <c r="H16" i="11"/>
  <c r="L15" i="11"/>
  <c r="M15" i="11" s="1"/>
  <c r="K15" i="11"/>
  <c r="H15" i="11"/>
  <c r="L14" i="11"/>
  <c r="N14" i="11" s="1"/>
  <c r="K14" i="11"/>
  <c r="H14" i="11"/>
  <c r="L13" i="11"/>
  <c r="N13" i="11" s="1"/>
  <c r="K13" i="11"/>
  <c r="H13" i="11"/>
  <c r="N12" i="11"/>
  <c r="M12" i="11"/>
  <c r="L12" i="11"/>
  <c r="K12" i="11"/>
  <c r="H12" i="11"/>
  <c r="D53" i="11"/>
  <c r="J5" i="11"/>
  <c r="K5" i="11" s="1"/>
  <c r="H5" i="11"/>
  <c r="I5" i="11" s="1"/>
  <c r="G5" i="11"/>
  <c r="E5" i="11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N21" i="10" s="1"/>
  <c r="K21" i="10"/>
  <c r="H21" i="10"/>
  <c r="N20" i="10"/>
  <c r="M20" i="10"/>
  <c r="L20" i="10"/>
  <c r="K20" i="10"/>
  <c r="H20" i="10"/>
  <c r="L19" i="10"/>
  <c r="N19" i="10" s="1"/>
  <c r="K19" i="10"/>
  <c r="H19" i="10"/>
  <c r="L18" i="10"/>
  <c r="N18" i="10" s="1"/>
  <c r="K18" i="10"/>
  <c r="H18" i="10"/>
  <c r="L17" i="10"/>
  <c r="N17" i="10" s="1"/>
  <c r="K17" i="10"/>
  <c r="H17" i="10"/>
  <c r="N16" i="10"/>
  <c r="M16" i="10"/>
  <c r="L16" i="10"/>
  <c r="K16" i="10"/>
  <c r="H16" i="10"/>
  <c r="L15" i="10"/>
  <c r="M15" i="10" s="1"/>
  <c r="K15" i="10"/>
  <c r="H15" i="10"/>
  <c r="L14" i="10"/>
  <c r="N14" i="10" s="1"/>
  <c r="K14" i="10"/>
  <c r="H14" i="10"/>
  <c r="L13" i="10"/>
  <c r="N13" i="10" s="1"/>
  <c r="K13" i="10"/>
  <c r="H13" i="10"/>
  <c r="N12" i="10"/>
  <c r="M12" i="10"/>
  <c r="L12" i="10"/>
  <c r="K12" i="10"/>
  <c r="H12" i="10"/>
  <c r="D53" i="10"/>
  <c r="J5" i="10"/>
  <c r="K5" i="10" s="1"/>
  <c r="H5" i="10"/>
  <c r="I5" i="10" s="1"/>
  <c r="G5" i="10"/>
  <c r="E5" i="10"/>
  <c r="K11" i="1"/>
  <c r="K10" i="1"/>
  <c r="I11" i="1"/>
  <c r="I10" i="1"/>
  <c r="G11" i="1"/>
  <c r="H11" i="1" s="1"/>
  <c r="G10" i="1"/>
  <c r="E11" i="1"/>
  <c r="J11" i="1" s="1"/>
  <c r="E10" i="1"/>
  <c r="J10" i="1" s="1"/>
  <c r="C11" i="1"/>
  <c r="C10" i="1"/>
  <c r="H10" i="1" s="1"/>
  <c r="B11" i="1"/>
  <c r="D11" i="1" s="1"/>
  <c r="B10" i="1"/>
  <c r="D10" i="1"/>
  <c r="M37" i="9"/>
  <c r="N37" i="9" s="1"/>
  <c r="L37" i="9"/>
  <c r="K37" i="9"/>
  <c r="H37" i="9"/>
  <c r="M36" i="9"/>
  <c r="N36" i="9" s="1"/>
  <c r="L36" i="9"/>
  <c r="K36" i="9"/>
  <c r="H36" i="9"/>
  <c r="M35" i="9"/>
  <c r="N35" i="9" s="1"/>
  <c r="L35" i="9"/>
  <c r="K35" i="9"/>
  <c r="H35" i="9"/>
  <c r="M34" i="9"/>
  <c r="N34" i="9" s="1"/>
  <c r="L34" i="9"/>
  <c r="K34" i="9"/>
  <c r="H34" i="9"/>
  <c r="M33" i="9"/>
  <c r="N33" i="9" s="1"/>
  <c r="L33" i="9"/>
  <c r="K33" i="9"/>
  <c r="H33" i="9"/>
  <c r="M32" i="9"/>
  <c r="N32" i="9" s="1"/>
  <c r="L32" i="9"/>
  <c r="K32" i="9"/>
  <c r="H32" i="9"/>
  <c r="M31" i="9"/>
  <c r="N31" i="9" s="1"/>
  <c r="L31" i="9"/>
  <c r="K31" i="9"/>
  <c r="H31" i="9"/>
  <c r="N30" i="9"/>
  <c r="M30" i="9"/>
  <c r="L30" i="9"/>
  <c r="K30" i="9"/>
  <c r="H30" i="9"/>
  <c r="M29" i="9"/>
  <c r="N29" i="9" s="1"/>
  <c r="L29" i="9"/>
  <c r="K29" i="9"/>
  <c r="H29" i="9"/>
  <c r="M28" i="9"/>
  <c r="N28" i="9" s="1"/>
  <c r="L28" i="9"/>
  <c r="K28" i="9"/>
  <c r="H28" i="9"/>
  <c r="L21" i="9"/>
  <c r="N21" i="9" s="1"/>
  <c r="K21" i="9"/>
  <c r="H21" i="9"/>
  <c r="L20" i="9"/>
  <c r="M20" i="9" s="1"/>
  <c r="K20" i="9"/>
  <c r="H20" i="9"/>
  <c r="L19" i="9"/>
  <c r="N19" i="9" s="1"/>
  <c r="K19" i="9"/>
  <c r="H19" i="9"/>
  <c r="L18" i="9"/>
  <c r="M18" i="9" s="1"/>
  <c r="K18" i="9"/>
  <c r="H18" i="9"/>
  <c r="L17" i="9"/>
  <c r="N17" i="9" s="1"/>
  <c r="K17" i="9"/>
  <c r="H17" i="9"/>
  <c r="L16" i="9"/>
  <c r="N16" i="9" s="1"/>
  <c r="K16" i="9"/>
  <c r="H16" i="9"/>
  <c r="L15" i="9"/>
  <c r="N15" i="9" s="1"/>
  <c r="K15" i="9"/>
  <c r="H15" i="9"/>
  <c r="L14" i="9"/>
  <c r="N14" i="9" s="1"/>
  <c r="K14" i="9"/>
  <c r="H14" i="9"/>
  <c r="L13" i="9"/>
  <c r="N13" i="9" s="1"/>
  <c r="K13" i="9"/>
  <c r="H13" i="9"/>
  <c r="L12" i="9"/>
  <c r="N12" i="9" s="1"/>
  <c r="K12" i="9"/>
  <c r="H12" i="9"/>
  <c r="D53" i="9"/>
  <c r="J5" i="9"/>
  <c r="K5" i="9" s="1"/>
  <c r="H5" i="9"/>
  <c r="I5" i="9" s="1"/>
  <c r="G5" i="9"/>
  <c r="E5" i="9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M34" i="8"/>
  <c r="N34" i="8" s="1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M30" i="8"/>
  <c r="N30" i="8" s="1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M21" i="8"/>
  <c r="L21" i="8"/>
  <c r="N21" i="8" s="1"/>
  <c r="K21" i="8"/>
  <c r="H21" i="8"/>
  <c r="L20" i="8"/>
  <c r="N20" i="8" s="1"/>
  <c r="K20" i="8"/>
  <c r="H20" i="8"/>
  <c r="L19" i="8"/>
  <c r="N19" i="8" s="1"/>
  <c r="K19" i="8"/>
  <c r="H19" i="8"/>
  <c r="L18" i="8"/>
  <c r="N18" i="8" s="1"/>
  <c r="K18" i="8"/>
  <c r="H18" i="8"/>
  <c r="M17" i="8"/>
  <c r="L17" i="8"/>
  <c r="N17" i="8" s="1"/>
  <c r="K17" i="8"/>
  <c r="H17" i="8"/>
  <c r="L16" i="8"/>
  <c r="N16" i="8" s="1"/>
  <c r="K16" i="8"/>
  <c r="H16" i="8"/>
  <c r="L15" i="8"/>
  <c r="N15" i="8" s="1"/>
  <c r="K15" i="8"/>
  <c r="H15" i="8"/>
  <c r="L14" i="8"/>
  <c r="N14" i="8" s="1"/>
  <c r="K14" i="8"/>
  <c r="H14" i="8"/>
  <c r="M13" i="8"/>
  <c r="L13" i="8"/>
  <c r="N13" i="8" s="1"/>
  <c r="K13" i="8"/>
  <c r="H13" i="8"/>
  <c r="L12" i="8"/>
  <c r="N12" i="8" s="1"/>
  <c r="K12" i="8"/>
  <c r="H12" i="8"/>
  <c r="D53" i="8"/>
  <c r="J5" i="8"/>
  <c r="K5" i="8" s="1"/>
  <c r="I5" i="8"/>
  <c r="G5" i="8"/>
  <c r="E5" i="8"/>
  <c r="K9" i="1"/>
  <c r="L9" i="1" s="1"/>
  <c r="K8" i="1"/>
  <c r="I9" i="1"/>
  <c r="J9" i="1" s="1"/>
  <c r="I8" i="1"/>
  <c r="G9" i="1"/>
  <c r="H9" i="1" s="1"/>
  <c r="G8" i="1"/>
  <c r="E9" i="1"/>
  <c r="E8" i="1"/>
  <c r="C9" i="1"/>
  <c r="C8" i="1"/>
  <c r="B9" i="1"/>
  <c r="B8" i="1"/>
  <c r="D9" i="1"/>
  <c r="F9" i="1"/>
  <c r="N37" i="7"/>
  <c r="M37" i="7"/>
  <c r="L37" i="7"/>
  <c r="K37" i="7"/>
  <c r="H37" i="7"/>
  <c r="M36" i="7"/>
  <c r="N36" i="7" s="1"/>
  <c r="L36" i="7"/>
  <c r="K36" i="7"/>
  <c r="H36" i="7"/>
  <c r="M35" i="7"/>
  <c r="N35" i="7" s="1"/>
  <c r="L35" i="7"/>
  <c r="K35" i="7"/>
  <c r="H35" i="7"/>
  <c r="M34" i="7"/>
  <c r="N34" i="7" s="1"/>
  <c r="L34" i="7"/>
  <c r="K34" i="7"/>
  <c r="H34" i="7"/>
  <c r="M33" i="7"/>
  <c r="N33" i="7" s="1"/>
  <c r="L33" i="7"/>
  <c r="K33" i="7"/>
  <c r="H33" i="7"/>
  <c r="M32" i="7"/>
  <c r="N32" i="7" s="1"/>
  <c r="L32" i="7"/>
  <c r="K32" i="7"/>
  <c r="H32" i="7"/>
  <c r="M31" i="7"/>
  <c r="N31" i="7" s="1"/>
  <c r="L31" i="7"/>
  <c r="K31" i="7"/>
  <c r="H31" i="7"/>
  <c r="M30" i="7"/>
  <c r="N30" i="7" s="1"/>
  <c r="L30" i="7"/>
  <c r="K30" i="7"/>
  <c r="H30" i="7"/>
  <c r="M29" i="7"/>
  <c r="N29" i="7" s="1"/>
  <c r="L29" i="7"/>
  <c r="K29" i="7"/>
  <c r="H29" i="7"/>
  <c r="M28" i="7"/>
  <c r="N28" i="7" s="1"/>
  <c r="L28" i="7"/>
  <c r="K28" i="7"/>
  <c r="H28" i="7"/>
  <c r="L21" i="7"/>
  <c r="N21" i="7" s="1"/>
  <c r="K21" i="7"/>
  <c r="H21" i="7"/>
  <c r="L20" i="7"/>
  <c r="N20" i="7" s="1"/>
  <c r="K20" i="7"/>
  <c r="H20" i="7"/>
  <c r="L19" i="7"/>
  <c r="N19" i="7" s="1"/>
  <c r="K19" i="7"/>
  <c r="H19" i="7"/>
  <c r="L18" i="7"/>
  <c r="N18" i="7" s="1"/>
  <c r="K18" i="7"/>
  <c r="H18" i="7"/>
  <c r="L17" i="7"/>
  <c r="N17" i="7" s="1"/>
  <c r="K17" i="7"/>
  <c r="H17" i="7"/>
  <c r="L16" i="7"/>
  <c r="N16" i="7" s="1"/>
  <c r="K16" i="7"/>
  <c r="H16" i="7"/>
  <c r="L15" i="7"/>
  <c r="N15" i="7" s="1"/>
  <c r="K15" i="7"/>
  <c r="H15" i="7"/>
  <c r="L14" i="7"/>
  <c r="M14" i="7" s="1"/>
  <c r="K14" i="7"/>
  <c r="H14" i="7"/>
  <c r="L13" i="7"/>
  <c r="N13" i="7" s="1"/>
  <c r="K13" i="7"/>
  <c r="H13" i="7"/>
  <c r="L12" i="7"/>
  <c r="N12" i="7" s="1"/>
  <c r="K12" i="7"/>
  <c r="H12" i="7"/>
  <c r="D53" i="7"/>
  <c r="J5" i="7"/>
  <c r="K5" i="7" s="1"/>
  <c r="H5" i="7"/>
  <c r="I5" i="7" s="1"/>
  <c r="G5" i="7"/>
  <c r="E5" i="7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N21" i="6" s="1"/>
  <c r="K21" i="6"/>
  <c r="H21" i="6"/>
  <c r="L20" i="6"/>
  <c r="N20" i="6" s="1"/>
  <c r="K20" i="6"/>
  <c r="H20" i="6"/>
  <c r="L19" i="6"/>
  <c r="N19" i="6" s="1"/>
  <c r="K19" i="6"/>
  <c r="H19" i="6"/>
  <c r="L18" i="6"/>
  <c r="N18" i="6" s="1"/>
  <c r="K18" i="6"/>
  <c r="H18" i="6"/>
  <c r="L17" i="6"/>
  <c r="N17" i="6" s="1"/>
  <c r="K17" i="6"/>
  <c r="H17" i="6"/>
  <c r="L16" i="6"/>
  <c r="N16" i="6" s="1"/>
  <c r="K16" i="6"/>
  <c r="H16" i="6"/>
  <c r="L15" i="6"/>
  <c r="N15" i="6" s="1"/>
  <c r="K15" i="6"/>
  <c r="H15" i="6"/>
  <c r="L14" i="6"/>
  <c r="N14" i="6" s="1"/>
  <c r="K14" i="6"/>
  <c r="H14" i="6"/>
  <c r="L13" i="6"/>
  <c r="N13" i="6" s="1"/>
  <c r="K13" i="6"/>
  <c r="H13" i="6"/>
  <c r="L12" i="6"/>
  <c r="N12" i="6" s="1"/>
  <c r="K12" i="6"/>
  <c r="H12" i="6"/>
  <c r="D53" i="6"/>
  <c r="J5" i="6"/>
  <c r="K5" i="6" s="1"/>
  <c r="H5" i="6"/>
  <c r="I5" i="6" s="1"/>
  <c r="G5" i="6"/>
  <c r="E5" i="6"/>
  <c r="K7" i="1"/>
  <c r="I7" i="1"/>
  <c r="G7" i="1"/>
  <c r="E7" i="1"/>
  <c r="C7" i="1"/>
  <c r="B7" i="1"/>
  <c r="M37" i="5"/>
  <c r="N37" i="5" s="1"/>
  <c r="L37" i="5"/>
  <c r="K37" i="5"/>
  <c r="H37" i="5"/>
  <c r="M36" i="5"/>
  <c r="N36" i="5" s="1"/>
  <c r="L36" i="5"/>
  <c r="K36" i="5"/>
  <c r="H36" i="5"/>
  <c r="M35" i="5"/>
  <c r="N35" i="5" s="1"/>
  <c r="L35" i="5"/>
  <c r="K35" i="5"/>
  <c r="H35" i="5"/>
  <c r="M34" i="5"/>
  <c r="N34" i="5" s="1"/>
  <c r="L34" i="5"/>
  <c r="K34" i="5"/>
  <c r="H34" i="5"/>
  <c r="M33" i="5"/>
  <c r="N33" i="5" s="1"/>
  <c r="L33" i="5"/>
  <c r="K33" i="5"/>
  <c r="H33" i="5"/>
  <c r="M32" i="5"/>
  <c r="N32" i="5" s="1"/>
  <c r="L32" i="5"/>
  <c r="K32" i="5"/>
  <c r="H32" i="5"/>
  <c r="M31" i="5"/>
  <c r="N31" i="5" s="1"/>
  <c r="L31" i="5"/>
  <c r="K31" i="5"/>
  <c r="H31" i="5"/>
  <c r="M30" i="5"/>
  <c r="N30" i="5" s="1"/>
  <c r="L30" i="5"/>
  <c r="K30" i="5"/>
  <c r="H30" i="5"/>
  <c r="M29" i="5"/>
  <c r="N29" i="5" s="1"/>
  <c r="L29" i="5"/>
  <c r="K29" i="5"/>
  <c r="H29" i="5"/>
  <c r="M28" i="5"/>
  <c r="N28" i="5" s="1"/>
  <c r="L28" i="5"/>
  <c r="K28" i="5"/>
  <c r="H28" i="5"/>
  <c r="L21" i="5"/>
  <c r="N21" i="5" s="1"/>
  <c r="K21" i="5"/>
  <c r="H21" i="5"/>
  <c r="L20" i="5"/>
  <c r="N20" i="5" s="1"/>
  <c r="K20" i="5"/>
  <c r="H20" i="5"/>
  <c r="L19" i="5"/>
  <c r="N19" i="5" s="1"/>
  <c r="K19" i="5"/>
  <c r="H19" i="5"/>
  <c r="L18" i="5"/>
  <c r="N18" i="5" s="1"/>
  <c r="K18" i="5"/>
  <c r="H18" i="5"/>
  <c r="L17" i="5"/>
  <c r="N17" i="5" s="1"/>
  <c r="K17" i="5"/>
  <c r="H17" i="5"/>
  <c r="L16" i="5"/>
  <c r="N16" i="5" s="1"/>
  <c r="K16" i="5"/>
  <c r="H16" i="5"/>
  <c r="L15" i="5"/>
  <c r="N15" i="5" s="1"/>
  <c r="K15" i="5"/>
  <c r="H15" i="5"/>
  <c r="L14" i="5"/>
  <c r="N14" i="5" s="1"/>
  <c r="K14" i="5"/>
  <c r="H14" i="5"/>
  <c r="L13" i="5"/>
  <c r="N13" i="5" s="1"/>
  <c r="K13" i="5"/>
  <c r="H13" i="5"/>
  <c r="L12" i="5"/>
  <c r="N12" i="5" s="1"/>
  <c r="K12" i="5"/>
  <c r="H12" i="5"/>
  <c r="D53" i="5"/>
  <c r="J5" i="5"/>
  <c r="K5" i="5" s="1"/>
  <c r="H5" i="5"/>
  <c r="I5" i="5" s="1"/>
  <c r="G5" i="5"/>
  <c r="E5" i="5"/>
  <c r="K5" i="19" l="1"/>
  <c r="G5" i="19"/>
  <c r="J26" i="1"/>
  <c r="H27" i="1"/>
  <c r="D27" i="1"/>
  <c r="D29" i="1"/>
  <c r="F29" i="1"/>
  <c r="H29" i="1"/>
  <c r="E5" i="24"/>
  <c r="E5" i="25"/>
  <c r="E5" i="26"/>
  <c r="E5" i="27"/>
  <c r="M14" i="24"/>
  <c r="M18" i="24"/>
  <c r="M14" i="25"/>
  <c r="M18" i="25"/>
  <c r="M14" i="26"/>
  <c r="M18" i="26"/>
  <c r="D44" i="24"/>
  <c r="D44" i="25"/>
  <c r="D44" i="26"/>
  <c r="D44" i="27"/>
  <c r="M5" i="24"/>
  <c r="M5" i="25"/>
  <c r="M5" i="26"/>
  <c r="M5" i="27"/>
  <c r="D45" i="24"/>
  <c r="D45" i="25"/>
  <c r="D45" i="26"/>
  <c r="D45" i="27"/>
  <c r="D46" i="24"/>
  <c r="D46" i="25"/>
  <c r="D46" i="26"/>
  <c r="D46" i="27"/>
  <c r="D47" i="27"/>
  <c r="D48" i="27"/>
  <c r="D49" i="27"/>
  <c r="D47" i="26"/>
  <c r="D48" i="25"/>
  <c r="D48" i="26"/>
  <c r="D49" i="24"/>
  <c r="D49" i="25"/>
  <c r="D49" i="26"/>
  <c r="D50" i="24"/>
  <c r="D50" i="25"/>
  <c r="D50" i="26"/>
  <c r="D50" i="27"/>
  <c r="D47" i="24"/>
  <c r="D51" i="24"/>
  <c r="D51" i="25"/>
  <c r="D51" i="26"/>
  <c r="D51" i="27"/>
  <c r="D47" i="25"/>
  <c r="D48" i="24"/>
  <c r="D52" i="24"/>
  <c r="D52" i="25"/>
  <c r="D52" i="26"/>
  <c r="D52" i="27"/>
  <c r="C21" i="1"/>
  <c r="D21" i="1" s="1"/>
  <c r="I5" i="22"/>
  <c r="H22" i="1"/>
  <c r="D53" i="20"/>
  <c r="E5" i="20"/>
  <c r="I5" i="20"/>
  <c r="J22" i="1"/>
  <c r="J25" i="1"/>
  <c r="J23" i="1"/>
  <c r="J24" i="1"/>
  <c r="J20" i="1"/>
  <c r="H23" i="1"/>
  <c r="L22" i="1"/>
  <c r="L20" i="1"/>
  <c r="H21" i="1"/>
  <c r="L21" i="1"/>
  <c r="L25" i="1"/>
  <c r="F25" i="1"/>
  <c r="D23" i="1"/>
  <c r="F23" i="1"/>
  <c r="D20" i="1"/>
  <c r="D25" i="1"/>
  <c r="L23" i="1"/>
  <c r="M18" i="19"/>
  <c r="N18" i="18"/>
  <c r="M18" i="22"/>
  <c r="N14" i="18"/>
  <c r="N18" i="20"/>
  <c r="N14" i="21"/>
  <c r="N18" i="21"/>
  <c r="M14" i="19"/>
  <c r="M14" i="20"/>
  <c r="M14" i="22"/>
  <c r="M5" i="19"/>
  <c r="M5" i="22"/>
  <c r="M5" i="23"/>
  <c r="D44" i="23"/>
  <c r="D45" i="23"/>
  <c r="D46" i="20"/>
  <c r="D46" i="21"/>
  <c r="D46" i="22"/>
  <c r="D46" i="23"/>
  <c r="M12" i="18"/>
  <c r="M16" i="18"/>
  <c r="M20" i="18"/>
  <c r="D47" i="18"/>
  <c r="M12" i="19"/>
  <c r="M16" i="19"/>
  <c r="M20" i="19"/>
  <c r="D47" i="19"/>
  <c r="M16" i="20"/>
  <c r="M20" i="20"/>
  <c r="D47" i="20"/>
  <c r="M12" i="21"/>
  <c r="M16" i="21"/>
  <c r="M20" i="21"/>
  <c r="D47" i="21"/>
  <c r="M12" i="22"/>
  <c r="M16" i="22"/>
  <c r="M20" i="22"/>
  <c r="D47" i="22"/>
  <c r="M12" i="23"/>
  <c r="M16" i="23"/>
  <c r="M20" i="23"/>
  <c r="D47" i="23"/>
  <c r="D48" i="18"/>
  <c r="D48" i="19"/>
  <c r="N12" i="20"/>
  <c r="D48" i="20"/>
  <c r="D48" i="21"/>
  <c r="D48" i="22"/>
  <c r="D48" i="23"/>
  <c r="D49" i="18"/>
  <c r="D49" i="19"/>
  <c r="D49" i="20"/>
  <c r="D49" i="21"/>
  <c r="D49" i="22"/>
  <c r="D49" i="23"/>
  <c r="M5" i="18"/>
  <c r="M5" i="20"/>
  <c r="D44" i="18"/>
  <c r="M5" i="21"/>
  <c r="D44" i="19"/>
  <c r="D44" i="20"/>
  <c r="D45" i="18"/>
  <c r="D45" i="19"/>
  <c r="D45" i="21"/>
  <c r="D46" i="18"/>
  <c r="D46" i="19"/>
  <c r="D50" i="18"/>
  <c r="D50" i="19"/>
  <c r="D50" i="21"/>
  <c r="D50" i="22"/>
  <c r="D50" i="23"/>
  <c r="D51" i="18"/>
  <c r="D51" i="19"/>
  <c r="D51" i="20"/>
  <c r="D51" i="21"/>
  <c r="D51" i="22"/>
  <c r="D51" i="23"/>
  <c r="D44" i="21"/>
  <c r="D44" i="22"/>
  <c r="D45" i="22"/>
  <c r="D50" i="20"/>
  <c r="D52" i="18"/>
  <c r="D52" i="19"/>
  <c r="D52" i="20"/>
  <c r="M13" i="21"/>
  <c r="M17" i="21"/>
  <c r="M21" i="21"/>
  <c r="D52" i="21"/>
  <c r="M13" i="22"/>
  <c r="M17" i="22"/>
  <c r="M21" i="22"/>
  <c r="D52" i="22"/>
  <c r="M13" i="23"/>
  <c r="M17" i="23"/>
  <c r="M21" i="23"/>
  <c r="D52" i="23"/>
  <c r="D45" i="20"/>
  <c r="J19" i="1"/>
  <c r="H19" i="1"/>
  <c r="F19" i="1"/>
  <c r="D19" i="1"/>
  <c r="M14" i="17"/>
  <c r="M18" i="17"/>
  <c r="D51" i="17"/>
  <c r="M13" i="17"/>
  <c r="M17" i="17"/>
  <c r="M21" i="17"/>
  <c r="D52" i="17"/>
  <c r="D53" i="17"/>
  <c r="M5" i="17"/>
  <c r="M12" i="17"/>
  <c r="M16" i="17"/>
  <c r="M20" i="17"/>
  <c r="D47" i="17"/>
  <c r="D48" i="17"/>
  <c r="D44" i="17"/>
  <c r="D45" i="17"/>
  <c r="D46" i="17"/>
  <c r="D49" i="17"/>
  <c r="H18" i="1"/>
  <c r="N14" i="16"/>
  <c r="N14" i="14"/>
  <c r="M15" i="16"/>
  <c r="N19" i="14"/>
  <c r="D44" i="13"/>
  <c r="D44" i="14"/>
  <c r="D44" i="15"/>
  <c r="D44" i="16"/>
  <c r="M18" i="13"/>
  <c r="M18" i="15"/>
  <c r="M18" i="14"/>
  <c r="M14" i="15"/>
  <c r="N14" i="13"/>
  <c r="N15" i="13"/>
  <c r="N15" i="15"/>
  <c r="N19" i="16"/>
  <c r="D45" i="13"/>
  <c r="D45" i="15"/>
  <c r="D46" i="16"/>
  <c r="M16" i="13"/>
  <c r="M12" i="14"/>
  <c r="M16" i="14"/>
  <c r="M20" i="14"/>
  <c r="D47" i="14"/>
  <c r="M12" i="15"/>
  <c r="M16" i="15"/>
  <c r="M20" i="15"/>
  <c r="D47" i="15"/>
  <c r="M12" i="16"/>
  <c r="M16" i="16"/>
  <c r="D47" i="16"/>
  <c r="D48" i="13"/>
  <c r="D48" i="14"/>
  <c r="D48" i="15"/>
  <c r="D48" i="16"/>
  <c r="D49" i="13"/>
  <c r="D49" i="14"/>
  <c r="D49" i="15"/>
  <c r="D49" i="16"/>
  <c r="D50" i="13"/>
  <c r="D50" i="14"/>
  <c r="D50" i="15"/>
  <c r="D50" i="16"/>
  <c r="M15" i="14"/>
  <c r="D46" i="14"/>
  <c r="N20" i="13"/>
  <c r="D51" i="13"/>
  <c r="D51" i="14"/>
  <c r="D51" i="15"/>
  <c r="D51" i="16"/>
  <c r="M18" i="16"/>
  <c r="M19" i="15"/>
  <c r="D45" i="14"/>
  <c r="D46" i="15"/>
  <c r="M20" i="16"/>
  <c r="M13" i="13"/>
  <c r="M17" i="13"/>
  <c r="M21" i="13"/>
  <c r="D52" i="13"/>
  <c r="M13" i="14"/>
  <c r="M17" i="14"/>
  <c r="M21" i="14"/>
  <c r="D52" i="14"/>
  <c r="M13" i="15"/>
  <c r="M17" i="15"/>
  <c r="M21" i="15"/>
  <c r="D52" i="15"/>
  <c r="M13" i="16"/>
  <c r="M17" i="16"/>
  <c r="M21" i="16"/>
  <c r="D52" i="16"/>
  <c r="M19" i="13"/>
  <c r="M5" i="13"/>
  <c r="M5" i="14"/>
  <c r="M5" i="15"/>
  <c r="M5" i="16"/>
  <c r="D45" i="16"/>
  <c r="D46" i="13"/>
  <c r="M12" i="13"/>
  <c r="D47" i="13"/>
  <c r="L14" i="1"/>
  <c r="H14" i="1"/>
  <c r="F14" i="1"/>
  <c r="D14" i="1"/>
  <c r="N18" i="12"/>
  <c r="D44" i="12"/>
  <c r="M5" i="12"/>
  <c r="D45" i="12"/>
  <c r="D46" i="12"/>
  <c r="D47" i="12"/>
  <c r="D53" i="12"/>
  <c r="D48" i="12"/>
  <c r="D50" i="12"/>
  <c r="D51" i="12"/>
  <c r="D49" i="12"/>
  <c r="J13" i="1"/>
  <c r="D12" i="1"/>
  <c r="H12" i="1"/>
  <c r="D45" i="10"/>
  <c r="D45" i="11"/>
  <c r="D46" i="10"/>
  <c r="D46" i="11"/>
  <c r="M14" i="10"/>
  <c r="M18" i="10"/>
  <c r="M14" i="11"/>
  <c r="N18" i="11"/>
  <c r="N15" i="11"/>
  <c r="M5" i="10"/>
  <c r="M5" i="11"/>
  <c r="D44" i="10"/>
  <c r="D47" i="10"/>
  <c r="D47" i="11"/>
  <c r="D48" i="10"/>
  <c r="D48" i="11"/>
  <c r="D49" i="11"/>
  <c r="M19" i="11"/>
  <c r="N15" i="10"/>
  <c r="D50" i="10"/>
  <c r="D50" i="11"/>
  <c r="D51" i="10"/>
  <c r="D51" i="11"/>
  <c r="M19" i="10"/>
  <c r="M13" i="10"/>
  <c r="M17" i="10"/>
  <c r="M21" i="10"/>
  <c r="D52" i="10"/>
  <c r="M13" i="11"/>
  <c r="M17" i="11"/>
  <c r="M21" i="11"/>
  <c r="D52" i="11"/>
  <c r="D44" i="11"/>
  <c r="D49" i="10"/>
  <c r="F10" i="1"/>
  <c r="F11" i="1"/>
  <c r="N18" i="9"/>
  <c r="M15" i="9"/>
  <c r="M19" i="9"/>
  <c r="M14" i="9"/>
  <c r="D44" i="9"/>
  <c r="M12" i="9"/>
  <c r="M16" i="9"/>
  <c r="N20" i="9"/>
  <c r="D49" i="9"/>
  <c r="D51" i="9"/>
  <c r="M13" i="9"/>
  <c r="M17" i="9"/>
  <c r="M21" i="9"/>
  <c r="D52" i="9"/>
  <c r="M5" i="9"/>
  <c r="D45" i="9"/>
  <c r="D46" i="9"/>
  <c r="D47" i="9"/>
  <c r="D48" i="9"/>
  <c r="D50" i="9"/>
  <c r="M18" i="8"/>
  <c r="M15" i="8"/>
  <c r="M19" i="8"/>
  <c r="D44" i="8"/>
  <c r="D46" i="8"/>
  <c r="M16" i="8"/>
  <c r="M20" i="8"/>
  <c r="D48" i="8"/>
  <c r="D49" i="8"/>
  <c r="D50" i="8"/>
  <c r="D51" i="8"/>
  <c r="M14" i="8"/>
  <c r="M5" i="8"/>
  <c r="D45" i="8"/>
  <c r="M12" i="8"/>
  <c r="D47" i="8"/>
  <c r="D52" i="8"/>
  <c r="J8" i="1"/>
  <c r="H8" i="1"/>
  <c r="F8" i="1"/>
  <c r="L8" i="1"/>
  <c r="D8" i="1"/>
  <c r="D44" i="7"/>
  <c r="M18" i="7"/>
  <c r="N14" i="7"/>
  <c r="M15" i="7"/>
  <c r="M19" i="7"/>
  <c r="M5" i="7"/>
  <c r="D45" i="7"/>
  <c r="D46" i="7"/>
  <c r="M12" i="7"/>
  <c r="M16" i="7"/>
  <c r="M20" i="7"/>
  <c r="D47" i="7"/>
  <c r="D48" i="7"/>
  <c r="D49" i="7"/>
  <c r="D50" i="7"/>
  <c r="D51" i="7"/>
  <c r="M13" i="7"/>
  <c r="M17" i="7"/>
  <c r="M21" i="7"/>
  <c r="D52" i="7"/>
  <c r="M18" i="6"/>
  <c r="M14" i="6"/>
  <c r="D50" i="6"/>
  <c r="D51" i="6"/>
  <c r="M15" i="6"/>
  <c r="M19" i="6"/>
  <c r="M5" i="6"/>
  <c r="D44" i="6"/>
  <c r="D45" i="6"/>
  <c r="D46" i="6"/>
  <c r="M12" i="6"/>
  <c r="M16" i="6"/>
  <c r="M20" i="6"/>
  <c r="D47" i="6"/>
  <c r="D48" i="6"/>
  <c r="D49" i="6"/>
  <c r="M13" i="6"/>
  <c r="M17" i="6"/>
  <c r="M21" i="6"/>
  <c r="D52" i="6"/>
  <c r="M14" i="5"/>
  <c r="M18" i="5"/>
  <c r="M15" i="5"/>
  <c r="M19" i="5"/>
  <c r="M5" i="5"/>
  <c r="D44" i="5"/>
  <c r="D45" i="5"/>
  <c r="D46" i="5"/>
  <c r="M12" i="5"/>
  <c r="M16" i="5"/>
  <c r="M20" i="5"/>
  <c r="D47" i="5"/>
  <c r="D48" i="5"/>
  <c r="D49" i="5"/>
  <c r="D50" i="5"/>
  <c r="D51" i="5"/>
  <c r="M13" i="5"/>
  <c r="M17" i="5"/>
  <c r="M21" i="5"/>
  <c r="D52" i="5"/>
  <c r="K6" i="1" l="1"/>
  <c r="K5" i="1"/>
  <c r="I6" i="1"/>
  <c r="I5" i="1"/>
  <c r="G6" i="1"/>
  <c r="G5" i="1"/>
  <c r="E6" i="1"/>
  <c r="E5" i="1"/>
  <c r="C6" i="1"/>
  <c r="C5" i="1"/>
  <c r="B6" i="1"/>
  <c r="B5" i="1"/>
  <c r="M37" i="4"/>
  <c r="N37" i="4" s="1"/>
  <c r="L37" i="4"/>
  <c r="K37" i="4"/>
  <c r="H37" i="4"/>
  <c r="M36" i="4"/>
  <c r="N36" i="4" s="1"/>
  <c r="L36" i="4"/>
  <c r="K36" i="4"/>
  <c r="H36" i="4"/>
  <c r="N35" i="4"/>
  <c r="M35" i="4"/>
  <c r="L35" i="4"/>
  <c r="K35" i="4"/>
  <c r="H35" i="4"/>
  <c r="M34" i="4"/>
  <c r="N34" i="4" s="1"/>
  <c r="L34" i="4"/>
  <c r="K34" i="4"/>
  <c r="H34" i="4"/>
  <c r="M33" i="4"/>
  <c r="N33" i="4" s="1"/>
  <c r="L33" i="4"/>
  <c r="K33" i="4"/>
  <c r="H33" i="4"/>
  <c r="M32" i="4"/>
  <c r="N32" i="4" s="1"/>
  <c r="L32" i="4"/>
  <c r="K32" i="4"/>
  <c r="H32" i="4"/>
  <c r="N31" i="4"/>
  <c r="M31" i="4"/>
  <c r="L31" i="4"/>
  <c r="K31" i="4"/>
  <c r="H31" i="4"/>
  <c r="M30" i="4"/>
  <c r="N30" i="4" s="1"/>
  <c r="L30" i="4"/>
  <c r="K30" i="4"/>
  <c r="H30" i="4"/>
  <c r="M29" i="4"/>
  <c r="N29" i="4" s="1"/>
  <c r="L29" i="4"/>
  <c r="K29" i="4"/>
  <c r="H29" i="4"/>
  <c r="M28" i="4"/>
  <c r="N28" i="4" s="1"/>
  <c r="L28" i="4"/>
  <c r="K28" i="4"/>
  <c r="H28" i="4"/>
  <c r="N21" i="4"/>
  <c r="L21" i="4"/>
  <c r="M21" i="4" s="1"/>
  <c r="K21" i="4"/>
  <c r="H21" i="4"/>
  <c r="L20" i="4"/>
  <c r="N20" i="4" s="1"/>
  <c r="K20" i="4"/>
  <c r="H20" i="4"/>
  <c r="L19" i="4"/>
  <c r="M19" i="4" s="1"/>
  <c r="K19" i="4"/>
  <c r="H19" i="4"/>
  <c r="L18" i="4"/>
  <c r="N18" i="4" s="1"/>
  <c r="K18" i="4"/>
  <c r="H18" i="4"/>
  <c r="N17" i="4"/>
  <c r="L17" i="4"/>
  <c r="M17" i="4" s="1"/>
  <c r="K17" i="4"/>
  <c r="H17" i="4"/>
  <c r="L16" i="4"/>
  <c r="N16" i="4" s="1"/>
  <c r="K16" i="4"/>
  <c r="H16" i="4"/>
  <c r="L15" i="4"/>
  <c r="N15" i="4" s="1"/>
  <c r="K15" i="4"/>
  <c r="H15" i="4"/>
  <c r="L14" i="4"/>
  <c r="N14" i="4" s="1"/>
  <c r="K14" i="4"/>
  <c r="H14" i="4"/>
  <c r="N13" i="4"/>
  <c r="L13" i="4"/>
  <c r="M13" i="4" s="1"/>
  <c r="K13" i="4"/>
  <c r="H13" i="4"/>
  <c r="L12" i="4"/>
  <c r="N12" i="4" s="1"/>
  <c r="K12" i="4"/>
  <c r="H12" i="4"/>
  <c r="D53" i="4"/>
  <c r="J5" i="4"/>
  <c r="K5" i="4" s="1"/>
  <c r="H5" i="4"/>
  <c r="I5" i="4" s="1"/>
  <c r="G5" i="4"/>
  <c r="E5" i="4"/>
  <c r="M37" i="3"/>
  <c r="N37" i="3" s="1"/>
  <c r="L37" i="3"/>
  <c r="K37" i="3"/>
  <c r="H37" i="3"/>
  <c r="M36" i="3"/>
  <c r="N36" i="3" s="1"/>
  <c r="L36" i="3"/>
  <c r="K36" i="3"/>
  <c r="H36" i="3"/>
  <c r="N35" i="3"/>
  <c r="M35" i="3"/>
  <c r="L35" i="3"/>
  <c r="K35" i="3"/>
  <c r="H35" i="3"/>
  <c r="M34" i="3"/>
  <c r="N34" i="3" s="1"/>
  <c r="L34" i="3"/>
  <c r="K34" i="3"/>
  <c r="H34" i="3"/>
  <c r="M33" i="3"/>
  <c r="N33" i="3" s="1"/>
  <c r="L33" i="3"/>
  <c r="K33" i="3"/>
  <c r="H33" i="3"/>
  <c r="M32" i="3"/>
  <c r="N32" i="3" s="1"/>
  <c r="L32" i="3"/>
  <c r="K32" i="3"/>
  <c r="H32" i="3"/>
  <c r="N31" i="3"/>
  <c r="M31" i="3"/>
  <c r="L31" i="3"/>
  <c r="K31" i="3"/>
  <c r="H31" i="3"/>
  <c r="M30" i="3"/>
  <c r="N30" i="3" s="1"/>
  <c r="L30" i="3"/>
  <c r="K30" i="3"/>
  <c r="H30" i="3"/>
  <c r="M29" i="3"/>
  <c r="N29" i="3" s="1"/>
  <c r="L29" i="3"/>
  <c r="K29" i="3"/>
  <c r="H29" i="3"/>
  <c r="M28" i="3"/>
  <c r="N28" i="3" s="1"/>
  <c r="L28" i="3"/>
  <c r="K28" i="3"/>
  <c r="H28" i="3"/>
  <c r="N21" i="3"/>
  <c r="L21" i="3"/>
  <c r="M21" i="3" s="1"/>
  <c r="K21" i="3"/>
  <c r="H21" i="3"/>
  <c r="L20" i="3"/>
  <c r="N20" i="3" s="1"/>
  <c r="K20" i="3"/>
  <c r="H20" i="3"/>
  <c r="L19" i="3"/>
  <c r="N19" i="3" s="1"/>
  <c r="K19" i="3"/>
  <c r="H19" i="3"/>
  <c r="L18" i="3"/>
  <c r="M18" i="3" s="1"/>
  <c r="K18" i="3"/>
  <c r="H18" i="3"/>
  <c r="N17" i="3"/>
  <c r="L17" i="3"/>
  <c r="M17" i="3" s="1"/>
  <c r="K17" i="3"/>
  <c r="H17" i="3"/>
  <c r="L16" i="3"/>
  <c r="M16" i="3" s="1"/>
  <c r="K16" i="3"/>
  <c r="H16" i="3"/>
  <c r="L15" i="3"/>
  <c r="N15" i="3" s="1"/>
  <c r="K15" i="3"/>
  <c r="H15" i="3"/>
  <c r="L14" i="3"/>
  <c r="N14" i="3" s="1"/>
  <c r="K14" i="3"/>
  <c r="H14" i="3"/>
  <c r="N13" i="3"/>
  <c r="L13" i="3"/>
  <c r="M13" i="3" s="1"/>
  <c r="K13" i="3"/>
  <c r="H13" i="3"/>
  <c r="L12" i="3"/>
  <c r="N12" i="3" s="1"/>
  <c r="K12" i="3"/>
  <c r="H12" i="3"/>
  <c r="D53" i="3"/>
  <c r="J5" i="3"/>
  <c r="K5" i="3" s="1"/>
  <c r="H5" i="3"/>
  <c r="I5" i="3" s="1"/>
  <c r="G5" i="3"/>
  <c r="E5" i="3"/>
  <c r="K4" i="1"/>
  <c r="L4" i="1" s="1"/>
  <c r="I4" i="1"/>
  <c r="G4" i="1"/>
  <c r="E4" i="1"/>
  <c r="C4" i="1"/>
  <c r="B4" i="1"/>
  <c r="J4" i="1"/>
  <c r="H4" i="1"/>
  <c r="F4" i="1"/>
  <c r="D4" i="1"/>
  <c r="M14" i="3" l="1"/>
  <c r="M14" i="4"/>
  <c r="M18" i="4"/>
  <c r="N18" i="3"/>
  <c r="M15" i="3"/>
  <c r="M19" i="3"/>
  <c r="M15" i="4"/>
  <c r="M5" i="4"/>
  <c r="N19" i="4"/>
  <c r="D44" i="3"/>
  <c r="D45" i="4"/>
  <c r="D46" i="3"/>
  <c r="D46" i="4"/>
  <c r="M12" i="3"/>
  <c r="M20" i="3"/>
  <c r="D47" i="3"/>
  <c r="M12" i="4"/>
  <c r="M20" i="4"/>
  <c r="N16" i="3"/>
  <c r="D48" i="3"/>
  <c r="D48" i="4"/>
  <c r="D49" i="3"/>
  <c r="D49" i="4"/>
  <c r="D50" i="3"/>
  <c r="D50" i="4"/>
  <c r="D51" i="3"/>
  <c r="D51" i="4"/>
  <c r="D52" i="3"/>
  <c r="D52" i="4"/>
  <c r="M5" i="3"/>
  <c r="D44" i="4"/>
  <c r="D45" i="3"/>
  <c r="M16" i="4"/>
  <c r="D47" i="4"/>
  <c r="G5" i="2"/>
  <c r="M37" i="2"/>
  <c r="N37" i="2" s="1"/>
  <c r="L37" i="2"/>
  <c r="K37" i="2"/>
  <c r="H37" i="2"/>
  <c r="N36" i="2"/>
  <c r="M36" i="2"/>
  <c r="L36" i="2"/>
  <c r="K36" i="2"/>
  <c r="H36" i="2"/>
  <c r="M35" i="2"/>
  <c r="N35" i="2" s="1"/>
  <c r="L35" i="2"/>
  <c r="K35" i="2"/>
  <c r="H35" i="2"/>
  <c r="M34" i="2"/>
  <c r="N34" i="2" s="1"/>
  <c r="L34" i="2"/>
  <c r="K34" i="2"/>
  <c r="H34" i="2"/>
  <c r="M33" i="2"/>
  <c r="N33" i="2" s="1"/>
  <c r="L33" i="2"/>
  <c r="K33" i="2"/>
  <c r="H33" i="2"/>
  <c r="N32" i="2"/>
  <c r="M32" i="2"/>
  <c r="L32" i="2"/>
  <c r="K32" i="2"/>
  <c r="H32" i="2"/>
  <c r="M31" i="2"/>
  <c r="N31" i="2" s="1"/>
  <c r="L31" i="2"/>
  <c r="K31" i="2"/>
  <c r="H31" i="2"/>
  <c r="M30" i="2"/>
  <c r="N30" i="2" s="1"/>
  <c r="L30" i="2"/>
  <c r="K30" i="2"/>
  <c r="H30" i="2"/>
  <c r="M29" i="2"/>
  <c r="N29" i="2" s="1"/>
  <c r="L29" i="2"/>
  <c r="K29" i="2"/>
  <c r="H29" i="2"/>
  <c r="M28" i="2"/>
  <c r="N28" i="2" s="1"/>
  <c r="L28" i="2"/>
  <c r="K28" i="2"/>
  <c r="H28" i="2"/>
  <c r="N21" i="2"/>
  <c r="M21" i="2"/>
  <c r="L21" i="2"/>
  <c r="K21" i="2"/>
  <c r="H21" i="2"/>
  <c r="L20" i="2"/>
  <c r="N20" i="2" s="1"/>
  <c r="K20" i="2"/>
  <c r="H20" i="2"/>
  <c r="N19" i="2"/>
  <c r="M19" i="2"/>
  <c r="L19" i="2"/>
  <c r="K19" i="2"/>
  <c r="H19" i="2"/>
  <c r="L18" i="2"/>
  <c r="N18" i="2" s="1"/>
  <c r="K18" i="2"/>
  <c r="H18" i="2"/>
  <c r="N17" i="2"/>
  <c r="M17" i="2"/>
  <c r="L17" i="2"/>
  <c r="K17" i="2"/>
  <c r="H17" i="2"/>
  <c r="L16" i="2"/>
  <c r="N16" i="2" s="1"/>
  <c r="K16" i="2"/>
  <c r="H16" i="2"/>
  <c r="N15" i="2"/>
  <c r="M15" i="2"/>
  <c r="L15" i="2"/>
  <c r="K15" i="2"/>
  <c r="H15" i="2"/>
  <c r="L14" i="2"/>
  <c r="N14" i="2" s="1"/>
  <c r="K14" i="2"/>
  <c r="H14" i="2"/>
  <c r="N13" i="2"/>
  <c r="M13" i="2"/>
  <c r="L13" i="2"/>
  <c r="K13" i="2"/>
  <c r="H13" i="2"/>
  <c r="L12" i="2"/>
  <c r="N12" i="2" s="1"/>
  <c r="K12" i="2"/>
  <c r="H12" i="2"/>
  <c r="D53" i="2"/>
  <c r="J5" i="2"/>
  <c r="K5" i="2" s="1"/>
  <c r="H5" i="2"/>
  <c r="I5" i="2" s="1"/>
  <c r="E5" i="2"/>
  <c r="L33" i="1"/>
  <c r="J33" i="1"/>
  <c r="H33" i="1"/>
  <c r="F33" i="1"/>
  <c r="D33" i="1"/>
  <c r="L32" i="1"/>
  <c r="J32" i="1"/>
  <c r="H32" i="1"/>
  <c r="F32" i="1"/>
  <c r="D32" i="1"/>
  <c r="L31" i="1"/>
  <c r="J31" i="1"/>
  <c r="H31" i="1"/>
  <c r="F31" i="1"/>
  <c r="D31" i="1"/>
  <c r="L30" i="1"/>
  <c r="J30" i="1"/>
  <c r="H30" i="1"/>
  <c r="F30" i="1"/>
  <c r="D30" i="1"/>
  <c r="L13" i="1"/>
  <c r="L12" i="1"/>
  <c r="L11" i="1"/>
  <c r="L10" i="1"/>
  <c r="L7" i="1"/>
  <c r="J7" i="1"/>
  <c r="H7" i="1"/>
  <c r="F7" i="1"/>
  <c r="D7" i="1"/>
  <c r="L6" i="1"/>
  <c r="J6" i="1"/>
  <c r="H6" i="1"/>
  <c r="F6" i="1"/>
  <c r="D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L5" i="1"/>
  <c r="J5" i="1"/>
  <c r="H5" i="1"/>
  <c r="F5" i="1"/>
  <c r="D5" i="1"/>
  <c r="A5" i="1"/>
  <c r="M5" i="2" l="1"/>
  <c r="D46" i="2"/>
  <c r="M12" i="2"/>
  <c r="M16" i="2"/>
  <c r="M20" i="2"/>
  <c r="D47" i="2"/>
  <c r="D48" i="2"/>
  <c r="D49" i="2"/>
  <c r="D50" i="2"/>
  <c r="D51" i="2"/>
  <c r="D52" i="2"/>
  <c r="M14" i="2"/>
  <c r="M18" i="2"/>
  <c r="D44" i="2"/>
  <c r="D45" i="2"/>
</calcChain>
</file>

<file path=xl/sharedStrings.xml><?xml version="1.0" encoding="utf-8"?>
<sst xmlns="http://schemas.openxmlformats.org/spreadsheetml/2006/main" count="5491" uniqueCount="252">
  <si>
    <t>大溪廠半成品管理日別總表</t>
    <phoneticPr fontId="4" type="noConversion"/>
  </si>
  <si>
    <t xml:space="preserve">                                      </t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</si>
  <si>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</si>
  <si>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</si>
  <si>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</si>
  <si>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</si>
  <si>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</si>
  <si>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</si>
  <si>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</si>
  <si>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</si>
  <si>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</si>
  <si>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</si>
  <si>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</si>
  <si>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</si>
  <si>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</si>
  <si>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</si>
  <si>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※淺黃色為工廠自填項目</t>
    <phoneticPr fontId="3" type="noConversion"/>
  </si>
  <si>
    <t>※日期紅色為新品日</t>
    <phoneticPr fontId="3" type="noConversion"/>
  </si>
  <si>
    <t>大溪廠半成品管理分析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</si>
  <si>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</si>
  <si>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</si>
  <si>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</si>
  <si>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</si>
  <si>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</si>
  <si>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</si>
  <si>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</si>
  <si>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</si>
  <si>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</si>
  <si>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</si>
  <si>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</si>
  <si>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</si>
  <si>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</si>
  <si>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</si>
  <si>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</si>
  <si>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</si>
  <si>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
(請填寫8大原因)</t>
    <phoneticPr fontId="4" type="noConversion"/>
  </si>
  <si>
    <t>其他原因說明</t>
    <phoneticPr fontId="4" type="noConversion"/>
  </si>
  <si>
    <t>備註-商品名稱</t>
    <phoneticPr fontId="21" type="noConversion"/>
  </si>
  <si>
    <t>排序</t>
    <phoneticPr fontId="21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</si>
  <si>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</si>
  <si>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</si>
  <si>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</si>
  <si>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</si>
  <si>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</si>
  <si>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</si>
  <si>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</si>
  <si>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</si>
  <si>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</si>
  <si>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</si>
  <si>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</si>
  <si>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</si>
  <si>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</si>
  <si>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</si>
  <si>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</si>
  <si>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</si>
  <si>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1" type="noConversion"/>
  </si>
  <si>
    <t>蒜炒紅k高麗菜(111年)</t>
  </si>
  <si>
    <t>調理端</t>
  </si>
  <si>
    <t>共用類</t>
  </si>
  <si>
    <t>烤銀鮭魚肚</t>
  </si>
  <si>
    <t>研發設定</t>
  </si>
  <si>
    <t>研發設定，小片的規格不符合指示書設定重量</t>
  </si>
  <si>
    <t>一配贅沢鮭魚肚飯糰</t>
  </si>
  <si>
    <t>蒸鰻魚片(主食用)</t>
  </si>
  <si>
    <t>製程不穩</t>
    <phoneticPr fontId="3" type="noConversion"/>
  </si>
  <si>
    <t>鰻牛雙饗匠食盒</t>
  </si>
  <si>
    <t>薑炒筍尾</t>
  </si>
  <si>
    <t>展開量105%</t>
    <phoneticPr fontId="3" type="noConversion"/>
  </si>
  <si>
    <t>經典滷肉飯</t>
  </si>
  <si>
    <t>洋蔥壹號醬</t>
  </si>
  <si>
    <t>壹號醬炙烤牛飯糰</t>
  </si>
  <si>
    <t>清炒高麗菜</t>
  </si>
  <si>
    <t>美式雞丁餐盒(113年)</t>
  </si>
  <si>
    <t>川燙毛豆玉米</t>
  </si>
  <si>
    <t>炒紅K碎蛋</t>
  </si>
  <si>
    <t>烤蛋白餐盒</t>
  </si>
  <si>
    <t>113年川燙綠豆芽</t>
  </si>
  <si>
    <t>越式牛肉寬粉</t>
  </si>
  <si>
    <t>切義美滷豆乾</t>
  </si>
  <si>
    <t>酸辣麻醬細冷麵</t>
  </si>
  <si>
    <t>超用金額前十名半成品</t>
    <phoneticPr fontId="4" type="noConversion"/>
  </si>
  <si>
    <t>超用金額
排序</t>
    <phoneticPr fontId="4" type="noConversion"/>
  </si>
  <si>
    <t>(V)川燙小青花菜</t>
  </si>
  <si>
    <t>組合室</t>
  </si>
  <si>
    <t>原物料規格</t>
  </si>
  <si>
    <t>大顆比例高</t>
  </si>
  <si>
    <t>煮中華冷麵(110年)</t>
  </si>
  <si>
    <t>雙圈秤重範圍</t>
  </si>
  <si>
    <t>切-鹽烤熟成牛肉</t>
  </si>
  <si>
    <t>切-鹽烤牛肉</t>
  </si>
  <si>
    <t>煮牛肉片(A7)</t>
  </si>
  <si>
    <t>越式湯凍(114年)</t>
  </si>
  <si>
    <t>焗飯-奶香白醬(114年)</t>
  </si>
  <si>
    <t>二配哞哞培根奶香海陸焗飯</t>
  </si>
  <si>
    <t>切-烤牛五花(112年)</t>
  </si>
  <si>
    <t>糖燻野郎三十天熟成牛飯</t>
  </si>
  <si>
    <t>焗飯-義式蕃茄紅醬</t>
  </si>
  <si>
    <t>組合室</t>
    <phoneticPr fontId="4" type="noConversion"/>
  </si>
  <si>
    <t>二配乳酪燻腸紅醬焗飯</t>
  </si>
  <si>
    <t>日式牛培根</t>
  </si>
  <si>
    <t>柚見極炙烤牛</t>
  </si>
  <si>
    <t>共用類報廢金額前十名半成品</t>
    <phoneticPr fontId="4" type="noConversion"/>
  </si>
  <si>
    <t>共用類總金額
占比</t>
    <phoneticPr fontId="4" type="noConversion"/>
  </si>
  <si>
    <t>消毒青蔥絲</t>
  </si>
  <si>
    <t>烤12切家常豆腐</t>
  </si>
  <si>
    <t>60切-烤豆腐蛋白丁</t>
  </si>
  <si>
    <t>消毒蔥花</t>
  </si>
  <si>
    <t>日式烤洋蔥絲(114年)</t>
  </si>
  <si>
    <t>川燙紅蘿蔔塊2cm</t>
  </si>
  <si>
    <t>(V)消毒小黃瓜絲</t>
  </si>
  <si>
    <t>蒸-醬香雞肉絲CL</t>
  </si>
  <si>
    <t>※炊飯類不納入半成品廢棄計算</t>
    <phoneticPr fontId="4" type="noConversion"/>
  </si>
  <si>
    <t>斜切-蒸松露巧達脆腸</t>
  </si>
  <si>
    <t>人員操作疏失（切割誤差）</t>
    <phoneticPr fontId="3" type="noConversion"/>
  </si>
  <si>
    <t>烤黑胡椒洋蔥絲</t>
  </si>
  <si>
    <t>三杯海瓜子</t>
  </si>
  <si>
    <t>二配三杯海瓜子好下飯</t>
  </si>
  <si>
    <t>熟化去皮馬鈴薯滾刀17-23g</t>
  </si>
  <si>
    <t>原物料規格</t>
    <phoneticPr fontId="3" type="noConversion"/>
  </si>
  <si>
    <t>嫩烤香料雞胸排蔬滿盒</t>
  </si>
  <si>
    <t>自製鹽蔥(114年)</t>
  </si>
  <si>
    <t>壹號醬雞豚雙拼</t>
  </si>
  <si>
    <t>切筋子1cm</t>
  </si>
  <si>
    <t>一配筋子銀鮭飯糰</t>
  </si>
  <si>
    <t>切-究極燒肉片</t>
  </si>
  <si>
    <t>鮮食雙色起司絲</t>
  </si>
  <si>
    <t>烤大口蛋皮(111年)</t>
  </si>
  <si>
    <t>蒸-全熟雞肉絲CL(113年)</t>
  </si>
  <si>
    <t>雞肉飯飯糰</t>
  </si>
  <si>
    <t>炒辣醬蔬菜</t>
  </si>
  <si>
    <t>二配大飯糰春川風味辣炒雞</t>
  </si>
  <si>
    <t>鹽麴銀鮭熟肉</t>
  </si>
  <si>
    <t>炙燒韓式牛五花</t>
  </si>
  <si>
    <t>炒油蔥醬</t>
  </si>
  <si>
    <t>烤BBQ雞丁(112年)</t>
  </si>
  <si>
    <t>烤帶皮南瓜丁(114.6)</t>
  </si>
  <si>
    <t>金沙豆腐細扁麵</t>
  </si>
  <si>
    <t>分切炙燒炭火燒肉片(主食)</t>
  </si>
  <si>
    <t>蒜蒜燒豚飯</t>
  </si>
  <si>
    <t>切-烤台式肉片</t>
  </si>
  <si>
    <t>姨次滿足熟成牛豚雙拼</t>
  </si>
  <si>
    <t>研發設定</t>
    <phoneticPr fontId="3" type="noConversion"/>
  </si>
  <si>
    <t>碳香燒肉醬</t>
  </si>
  <si>
    <t>切烤雞胸肉(111年)</t>
  </si>
  <si>
    <t>健身G肉餐盒(113年)</t>
  </si>
  <si>
    <t>煮浪花涼麵(112年)</t>
  </si>
  <si>
    <t>川味秋木耳</t>
  </si>
  <si>
    <t>消毒細切紅蘿蔔絲</t>
  </si>
  <si>
    <t>煮義式洋蔥(113年)</t>
  </si>
  <si>
    <t>大口義式香草雞腿排飯糰</t>
  </si>
  <si>
    <t>拌鹽烤豬肉片(114年)</t>
  </si>
  <si>
    <t>鹽蔥燒肉飯糰</t>
  </si>
  <si>
    <t>拌鮭魚沙拉(113年)</t>
  </si>
  <si>
    <t>北海道秋鮭親子飯糰</t>
  </si>
  <si>
    <t>炒紅K高麗菜(飯糰)</t>
  </si>
  <si>
    <t>大口蒜味香腸燒肉雙拼飯糰</t>
  </si>
  <si>
    <t>112炒高級芝麻肉鬆</t>
  </si>
  <si>
    <t>經典肉鬆飯糰</t>
  </si>
  <si>
    <t>煮紅蘿蔔塊(VN101)</t>
  </si>
  <si>
    <t>油亮中式香腸片(112年)</t>
  </si>
  <si>
    <t>烤韓式雞肉</t>
  </si>
  <si>
    <t>蒸蛤蜊-肉(VN151)</t>
  </si>
  <si>
    <t>蘑菇湯凍</t>
  </si>
  <si>
    <t>二配鐵板蘑菇肉醬起司焗飯</t>
  </si>
  <si>
    <t>歐姆蛋-黑咖哩醬</t>
  </si>
  <si>
    <t>二配里肌豬排可可咖哩歐姆蛋飯</t>
  </si>
  <si>
    <t>奶香起司醬</t>
  </si>
  <si>
    <t>拌燒肉片</t>
  </si>
  <si>
    <t>歐姆蛋(110年)</t>
  </si>
  <si>
    <t>拌韓式炸雞(個)</t>
  </si>
  <si>
    <t>二配大飯糰韓式炸雞</t>
  </si>
  <si>
    <t>其他原因說明</t>
    <phoneticPr fontId="3" type="noConversion"/>
  </si>
  <si>
    <t xml:space="preserve">煮白細麵生(方#10) </t>
  </si>
  <si>
    <t>海瓜子三杯醬</t>
  </si>
  <si>
    <t>F-生蒜包</t>
  </si>
  <si>
    <t>其他原因</t>
    <phoneticPr fontId="3" type="noConversion"/>
  </si>
  <si>
    <t>操作疏失（傾倒）</t>
    <phoneticPr fontId="3" type="noConversion"/>
  </si>
  <si>
    <t>炸馬鈴薯塊</t>
  </si>
  <si>
    <t>妮妮家漢堡排</t>
  </si>
  <si>
    <t>(V)油烤栗子地瓜</t>
  </si>
  <si>
    <t>紅燒肉日式高湯咖哩便當</t>
  </si>
  <si>
    <t>川燙韭菜綠豆芽A7</t>
  </si>
  <si>
    <t>擔仔炊粉湯</t>
  </si>
  <si>
    <t>拌魚卵沙拉(114年)</t>
  </si>
  <si>
    <t>哇沙米魚卵沙拉飯糰</t>
  </si>
  <si>
    <t>炒培根片(114年)</t>
  </si>
  <si>
    <t>拌超濃起司</t>
  </si>
  <si>
    <t>一配香濃起司蟹風味棒細卷</t>
  </si>
  <si>
    <t>古早味肉燥（真空包）</t>
  </si>
  <si>
    <t>冷凍紅鮭碎肉20</t>
  </si>
  <si>
    <t>熟成紅鮭飯糰(114年)</t>
  </si>
  <si>
    <t>油蔥肉燥(113年)</t>
  </si>
  <si>
    <t>蒸金沙醬</t>
  </si>
  <si>
    <t>度小月湯凍</t>
  </si>
  <si>
    <t>奶油蕈菇起司醬(113年)</t>
  </si>
  <si>
    <t>大口法式蕈菇起司雞排飯糰(113年)</t>
  </si>
  <si>
    <t>炒照燒牛蒡腿丁</t>
  </si>
  <si>
    <t>一配照燒雞肉飯糰</t>
  </si>
  <si>
    <t>透明湯凍(明膠)</t>
  </si>
  <si>
    <t>煮日製細扁麵</t>
  </si>
  <si>
    <t>妮妮-烤漢堡排肉</t>
  </si>
  <si>
    <t>蒜味燒烤醬</t>
  </si>
  <si>
    <t>煮2024蕎麥麵</t>
  </si>
  <si>
    <t>日式蕎麥沾麵</t>
  </si>
  <si>
    <t>煮海帶芽(厚)</t>
  </si>
  <si>
    <t>煮烏龍冷麵(113年)</t>
  </si>
  <si>
    <t>芝麻鰹魚烏龍冷麵</t>
  </si>
  <si>
    <t>蘑菇白醬</t>
  </si>
  <si>
    <t>二配黃金雞排蘑菇白醬歐姆蛋飯</t>
  </si>
  <si>
    <t>大口椒麻醬</t>
  </si>
  <si>
    <t>大口花椒香麻雞飯糰</t>
  </si>
  <si>
    <t>炒紅K洋蔥片</t>
  </si>
  <si>
    <t>炒洋菇片(烘焙油)</t>
  </si>
  <si>
    <t>粗剝-蒸鰤魚</t>
  </si>
  <si>
    <t>一配照燒鰤魚大根飯糰</t>
  </si>
  <si>
    <t>1.5i為取樣不穩 2.2i展開量105% 3.1i研發設定，小片的規格不符合指示書設定重量 4.2i製程不穩</t>
  </si>
  <si>
    <t>1.3i為取樣不穩 2.4i展開量105% 3.1i研發設定，小片的規格不符合指示書設定重量 4.2i製程不穩</t>
  </si>
  <si>
    <t>1.3i為取樣不穩 2.3i展開量105% 3.1i研發設定，小片的規格不符合指示書設定重量 4.2i製程不穩 5.1i原物料規格</t>
  </si>
  <si>
    <t>1.2i為取樣不穩 2.4i展開量105% 3.1i研發設定，小片的規格不符合指示書設定重量 4.2i製程不穩 5.1i原物料規格</t>
  </si>
  <si>
    <t>1.2i為取樣不穩 2.2i展開量105% 3.1i研發設定，小片的規格不符合指示書設定重量 4.3i製程不穩 5.2i原物料規格</t>
  </si>
  <si>
    <t>1.4i為取樣不穩 2.1i展開量105% 3.1i研發設定，小片的規格不符合指示書設定重量 4.3i製程不穩 5.1i原物料規格</t>
  </si>
  <si>
    <t>1.5i為取樣不穩 2.1i展開量105% 3.1i研發設定，小片的規格不符合指示書設定重量 4.2i製程不穩 5.2i原物料規格</t>
  </si>
  <si>
    <t>1.2i為取樣不穩 2.4i展開量105% 3.1i研發設定，小片的規格不符合指示書設定重量 4.1i製程不穩 5.2i原物料規格</t>
  </si>
  <si>
    <t>1.5i為取樣不穩 2.1i展開量105% 3.1i研發設定，小片的規格不符合指示書設定重量 4.3i製程不穩</t>
  </si>
  <si>
    <t>1.5i為取樣不穩 2.2i展開量105% 3.1i研發設定，小片的規格不符合指示書設定重量 4.1i製程不穩 5.1i原物料規格</t>
  </si>
  <si>
    <t>1.5i為取樣不穩 2.2i展開量105% 3.1i研發設定，小片的規格不符合指示書設定重量 4.1i製程不穩 5.1i其他原因</t>
  </si>
  <si>
    <t>1.4i為取樣不穩 2.2i展開量105% 3.1i研發設定，小片的規格不符合指示書設定重量 4.2i製程不穩 5.1i原物料規格</t>
  </si>
  <si>
    <t>1.5i為取樣不穩 2.1i展開量105% 3.1i研發設定，小片的規格不符合指示書設定重量 4.1i製程不穩 5.2i原物料規格</t>
  </si>
  <si>
    <t>1.4i為取樣不穩 2.5i展開量105% 3.1i研發設定，小片的規格不符合指示書設定重量</t>
  </si>
  <si>
    <t>1.2i為取樣不穩 2.6i展開量105% 3.1i研發設定，小片的規格不符合指示書設定重量 4.1i原物料規格</t>
  </si>
  <si>
    <t>1.6i為取樣不穩 2.2i展開量105% 3.1i研發設定，小片的規格不符合指示書設定重量 4.1i原物料規格</t>
  </si>
  <si>
    <t>1.5i為取樣不穩 2.4i展開量105% 3.1i研發設定，小片的規格不符合指示書設定重量</t>
  </si>
  <si>
    <t>1.4i為取樣不穩 2.4i展開量105% 3.1i研發設定，小片的規格不符合指示書設定重量 4.1i原物料規格</t>
  </si>
  <si>
    <t>1.6i為取樣不穩 2.3i展開量105% 3.1i研發設定，小片的規格不符合指示書設定重量</t>
  </si>
  <si>
    <t>1.7i為取樣不穩 2.1i展開量105% 3.1i研發設定，小片的規格不符合指示書設定重量 4.1i原物料規格</t>
  </si>
  <si>
    <t>取樣不穩</t>
  </si>
  <si>
    <t>取樣不穩</t>
    <phoneticPr fontId="3" type="noConversion"/>
  </si>
  <si>
    <t>(V)炒素雞肉絲(114年)</t>
  </si>
  <si>
    <t>二配油蔥G絲飯糰</t>
  </si>
  <si>
    <t>川燙白蝦仁6號</t>
  </si>
  <si>
    <t>1.5i為取樣不穩 2.3i展開量105% 3.1i研發設定，小片的規格不符合指示書設定重量 4.1i原物料規格</t>
  </si>
  <si>
    <t>1.3i為取樣不穩 2.5i展開量105% 3.1i研發設定，小片的規格不符合指示書設定重量 4.1i原物料規格</t>
    <phoneticPr fontId="3" type="noConversion"/>
  </si>
  <si>
    <t>蒜炒洋菇片</t>
  </si>
  <si>
    <t>1.7i為取樣不穩 2.1i研發設定，小片的規格不符合指示書設定重量 3.2i原物料規格</t>
    <phoneticPr fontId="3" type="noConversion"/>
  </si>
  <si>
    <t>8切蒸四角魚板</t>
  </si>
  <si>
    <t>破損</t>
    <phoneticPr fontId="3" type="noConversion"/>
  </si>
  <si>
    <t>韓式部隊鍋</t>
  </si>
  <si>
    <t>部隊鍋湯凍</t>
  </si>
  <si>
    <t>焙炒芝麻肉鬆</t>
  </si>
  <si>
    <t>經典肉鬆飯糰(114年)</t>
  </si>
  <si>
    <t>烤照燒雞腿丁</t>
  </si>
  <si>
    <t>海陸雙拼肉肉餐盒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</si>
</sst>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</numFmts>
  <fonts count="2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/>
  </cellStyleXfs>
  <cellXfs count="155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6" fontId="6" fillId="0" borderId="1" xfId="4" applyNumberFormat="1" applyFont="1" applyBorder="1" applyAlignment="1">
      <alignment horizontal="center" vertical="center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10" fillId="0" borderId="1" xfId="4" applyNumberFormat="1" applyFont="1" applyBorder="1" applyAlignment="1">
      <alignment horizontal="center" vertical="center"/>
    </xf>
    <xf numFmtId="1" fontId="1" fillId="0" borderId="0" xfId="3" applyNumberFormat="1">
      <alignment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3" fillId="3" borderId="1" xfId="6" applyFont="1" applyFill="1" applyBorder="1" applyAlignment="1">
      <alignment horizontal="center" vertical="center" wrapText="1"/>
    </xf>
    <xf numFmtId="0" fontId="16" fillId="0" borderId="0" xfId="4" applyFont="1"/>
    <xf numFmtId="0" fontId="14" fillId="0" borderId="1" xfId="4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5" fillId="0" borderId="6" xfId="4" applyFont="1" applyBorder="1" applyAlignment="1">
      <alignment horizontal="center" vertical="center"/>
    </xf>
    <xf numFmtId="177" fontId="17" fillId="4" borderId="8" xfId="6" applyNumberFormat="1" applyFont="1" applyFill="1" applyBorder="1" applyAlignment="1">
      <alignment horizontal="center" vertical="center"/>
    </xf>
    <xf numFmtId="178" fontId="17" fillId="0" borderId="8" xfId="2" applyNumberFormat="1" applyFont="1" applyFill="1" applyBorder="1" applyAlignment="1">
      <alignment horizontal="center" vertical="center"/>
    </xf>
    <xf numFmtId="10" fontId="17" fillId="0" borderId="8" xfId="2" applyNumberFormat="1" applyFont="1" applyFill="1" applyBorder="1" applyAlignment="1">
      <alignment horizontal="center" vertical="center"/>
    </xf>
    <xf numFmtId="177" fontId="18" fillId="0" borderId="8" xfId="4" applyNumberFormat="1" applyFont="1" applyBorder="1" applyAlignment="1">
      <alignment horizontal="center" vertical="center"/>
    </xf>
    <xf numFmtId="10" fontId="20" fillId="7" borderId="8" xfId="7" applyNumberFormat="1" applyFont="1" applyFill="1" applyBorder="1" applyAlignment="1">
      <alignment horizontal="center" vertical="center"/>
    </xf>
    <xf numFmtId="10" fontId="18" fillId="0" borderId="8" xfId="2" applyNumberFormat="1" applyFont="1" applyFill="1" applyBorder="1" applyAlignment="1">
      <alignment horizontal="center" vertical="center"/>
    </xf>
    <xf numFmtId="179" fontId="18" fillId="4" borderId="8" xfId="1" applyNumberFormat="1" applyFont="1" applyFill="1" applyBorder="1" applyAlignment="1">
      <alignment horizontal="center" vertical="center"/>
    </xf>
    <xf numFmtId="10" fontId="18" fillId="0" borderId="9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12" xfId="3" applyFont="1" applyFill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23" fillId="0" borderId="1" xfId="3" applyNumberFormat="1" applyFont="1" applyBorder="1" applyAlignment="1">
      <alignment horizontal="center" vertical="center"/>
    </xf>
    <xf numFmtId="10" fontId="23" fillId="0" borderId="1" xfId="2" applyNumberFormat="1" applyFont="1" applyFill="1" applyBorder="1" applyAlignment="1">
      <alignment horizontal="center" vertical="center"/>
    </xf>
    <xf numFmtId="1" fontId="23" fillId="0" borderId="1" xfId="3" applyNumberFormat="1" applyFont="1" applyBorder="1" applyAlignment="1">
      <alignment horizontal="center" vertical="center"/>
    </xf>
    <xf numFmtId="0" fontId="6" fillId="4" borderId="13" xfId="4" applyFont="1" applyFill="1" applyBorder="1" applyAlignment="1">
      <alignment horizontal="left" vertical="center" wrapText="1"/>
    </xf>
    <xf numFmtId="0" fontId="6" fillId="4" borderId="1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23" fillId="7" borderId="5" xfId="3" applyFont="1" applyFill="1" applyBorder="1" applyAlignment="1">
      <alignment horizontal="center" vertical="center"/>
    </xf>
    <xf numFmtId="0" fontId="23" fillId="7" borderId="7" xfId="3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left" vertical="center"/>
    </xf>
    <xf numFmtId="1" fontId="6" fillId="4" borderId="8" xfId="4" applyNumberFormat="1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center" vertical="center"/>
    </xf>
    <xf numFmtId="180" fontId="6" fillId="7" borderId="8" xfId="2" applyNumberFormat="1" applyFont="1" applyFill="1" applyBorder="1" applyAlignment="1">
      <alignment horizontal="center" vertical="center"/>
    </xf>
    <xf numFmtId="10" fontId="6" fillId="0" borderId="8" xfId="2" applyNumberFormat="1" applyFont="1" applyFill="1" applyBorder="1" applyAlignment="1">
      <alignment horizontal="center" vertical="center"/>
    </xf>
    <xf numFmtId="181" fontId="23" fillId="0" borderId="8" xfId="3" applyNumberFormat="1" applyFont="1" applyBorder="1" applyAlignment="1">
      <alignment horizontal="center" vertical="center"/>
    </xf>
    <xf numFmtId="10" fontId="23" fillId="0" borderId="8" xfId="2" applyNumberFormat="1" applyFont="1" applyFill="1" applyBorder="1" applyAlignment="1">
      <alignment horizontal="center" vertical="center"/>
    </xf>
    <xf numFmtId="1" fontId="23" fillId="0" borderId="8" xfId="3" applyNumberFormat="1" applyFont="1" applyBorder="1" applyAlignment="1">
      <alignment horizontal="center" vertical="center"/>
    </xf>
    <xf numFmtId="0" fontId="6" fillId="4" borderId="18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180" fontId="10" fillId="0" borderId="0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181" fontId="10" fillId="0" borderId="0" xfId="3" applyNumberFormat="1" applyFont="1" applyAlignment="1">
      <alignment horizontal="center" vertical="center"/>
    </xf>
    <xf numFmtId="1" fontId="10" fillId="0" borderId="0" xfId="3" applyNumberFormat="1" applyFont="1" applyAlignment="1">
      <alignment horizontal="center" vertical="center"/>
    </xf>
    <xf numFmtId="0" fontId="10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0" fontId="6" fillId="4" borderId="23" xfId="4" applyFont="1" applyFill="1" applyBorder="1" applyAlignment="1">
      <alignment horizontal="left" vertical="center" wrapText="1"/>
    </xf>
    <xf numFmtId="10" fontId="6" fillId="7" borderId="8" xfId="2" applyNumberFormat="1" applyFont="1" applyFill="1" applyBorder="1" applyAlignment="1">
      <alignment horizontal="center" vertical="center"/>
    </xf>
    <xf numFmtId="0" fontId="6" fillId="4" borderId="28" xfId="4" applyFont="1" applyFill="1" applyBorder="1" applyAlignment="1">
      <alignment horizontal="left" vertical="center" wrapText="1"/>
    </xf>
    <xf numFmtId="0" fontId="6" fillId="4" borderId="8" xfId="4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 applyAlignment="1">
      <alignment vertical="center"/>
    </xf>
    <xf numFmtId="181" fontId="27" fillId="0" borderId="0" xfId="4" applyNumberFormat="1" applyFont="1"/>
    <xf numFmtId="0" fontId="28" fillId="0" borderId="0" xfId="4" applyFont="1"/>
    <xf numFmtId="0" fontId="6" fillId="0" borderId="5" xfId="3" applyFont="1" applyBorder="1" applyAlignment="1">
      <alignment horizontal="center" vertical="center"/>
    </xf>
    <xf numFmtId="10" fontId="6" fillId="0" borderId="6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5" xfId="3" applyFont="1" applyFill="1" applyBorder="1" applyAlignment="1">
      <alignment horizontal="center" vertical="center"/>
    </xf>
    <xf numFmtId="0" fontId="6" fillId="7" borderId="7" xfId="3" applyFont="1" applyFill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11" fillId="4" borderId="0" xfId="4" applyFont="1" applyFill="1" applyAlignment="1">
      <alignment horizontal="left" vertical="center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2" fillId="3" borderId="0" xfId="4" applyFont="1" applyFill="1" applyAlignment="1">
      <alignment horizontal="left" vertical="center"/>
    </xf>
    <xf numFmtId="0" fontId="12" fillId="5" borderId="2" xfId="4" applyFont="1" applyFill="1" applyBorder="1" applyAlignment="1">
      <alignment horizontal="center" vertical="center"/>
    </xf>
    <xf numFmtId="0" fontId="12" fillId="5" borderId="3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5" fillId="8" borderId="5" xfId="3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6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6" xfId="3" applyFont="1" applyFill="1" applyBorder="1" applyAlignment="1">
      <alignment horizontal="center" vertical="center" wrapText="1"/>
    </xf>
    <xf numFmtId="0" fontId="12" fillId="5" borderId="19" xfId="4" applyFont="1" applyFill="1" applyBorder="1" applyAlignment="1">
      <alignment horizontal="center" vertical="center"/>
    </xf>
    <xf numFmtId="0" fontId="12" fillId="5" borderId="20" xfId="4" applyFont="1" applyFill="1" applyBorder="1" applyAlignment="1">
      <alignment horizontal="center" vertical="center"/>
    </xf>
    <xf numFmtId="0" fontId="12" fillId="5" borderId="21" xfId="4" applyFont="1" applyFill="1" applyBorder="1" applyAlignment="1">
      <alignment horizontal="center" vertical="center"/>
    </xf>
    <xf numFmtId="0" fontId="2" fillId="0" borderId="22" xfId="4" applyFont="1" applyBorder="1" applyAlignment="1">
      <alignment horizontal="center" vertical="center"/>
    </xf>
    <xf numFmtId="0" fontId="2" fillId="0" borderId="23" xfId="4" applyFont="1" applyBorder="1" applyAlignment="1">
      <alignment horizontal="center" vertical="center"/>
    </xf>
    <xf numFmtId="0" fontId="2" fillId="0" borderId="13" xfId="4" applyFont="1" applyBorder="1" applyAlignment="1">
      <alignment horizontal="center" vertical="center"/>
    </xf>
    <xf numFmtId="0" fontId="2" fillId="0" borderId="12" xfId="4" applyFont="1" applyBorder="1" applyAlignment="1">
      <alignment horizontal="center" vertical="center"/>
    </xf>
    <xf numFmtId="0" fontId="5" fillId="3" borderId="15" xfId="4" applyFont="1" applyFill="1" applyBorder="1" applyAlignment="1">
      <alignment horizontal="center" vertical="center"/>
    </xf>
    <xf numFmtId="0" fontId="5" fillId="3" borderId="25" xfId="4" applyFont="1" applyFill="1" applyBorder="1" applyAlignment="1">
      <alignment horizontal="center" vertical="center"/>
    </xf>
    <xf numFmtId="0" fontId="5" fillId="3" borderId="17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wrapText="1"/>
    </xf>
    <xf numFmtId="0" fontId="5" fillId="8" borderId="24" xfId="3" applyFont="1" applyFill="1" applyBorder="1" applyAlignment="1">
      <alignment horizontal="center" vertical="center" wrapText="1"/>
    </xf>
    <xf numFmtId="0" fontId="5" fillId="8" borderId="26" xfId="3" applyFont="1" applyFill="1" applyBorder="1" applyAlignment="1">
      <alignment horizontal="center" vertical="center" wrapText="1"/>
    </xf>
    <xf numFmtId="0" fontId="5" fillId="8" borderId="27" xfId="3" applyFont="1" applyFill="1" applyBorder="1" applyAlignment="1">
      <alignment horizontal="center" vertical="center" wrapText="1"/>
    </xf>
    <xf numFmtId="0" fontId="5" fillId="8" borderId="11" xfId="3" applyFont="1" applyFill="1" applyBorder="1" applyAlignment="1">
      <alignment horizontal="center" vertical="center"/>
    </xf>
    <xf numFmtId="0" fontId="5" fillId="8" borderId="14" xfId="3" applyFont="1" applyFill="1" applyBorder="1" applyAlignment="1">
      <alignment horizontal="center" vertical="center"/>
    </xf>
    <xf numFmtId="0" fontId="5" fillId="8" borderId="16" xfId="3" applyFont="1" applyFill="1" applyBorder="1" applyAlignment="1">
      <alignment horizontal="center" vertical="center"/>
    </xf>
    <xf numFmtId="0" fontId="5" fillId="3" borderId="12" xfId="4" applyFont="1" applyFill="1" applyBorder="1" applyAlignment="1">
      <alignment horizontal="center" vertical="center"/>
    </xf>
    <xf numFmtId="0" fontId="5" fillId="3" borderId="13" xfId="4" applyFont="1" applyFill="1" applyBorder="1" applyAlignment="1">
      <alignment horizontal="center" vertical="center"/>
    </xf>
    <xf numFmtId="0" fontId="5" fillId="2" borderId="12" xfId="4" applyFont="1" applyFill="1" applyBorder="1" applyAlignment="1">
      <alignment horizontal="center" vertical="center"/>
    </xf>
    <xf numFmtId="0" fontId="5" fillId="2" borderId="23" xfId="4" applyFont="1" applyFill="1" applyBorder="1" applyAlignment="1">
      <alignment horizontal="center" vertical="center"/>
    </xf>
    <xf numFmtId="0" fontId="5" fillId="2" borderId="13" xfId="4" applyFont="1" applyFill="1" applyBorder="1" applyAlignment="1">
      <alignment horizontal="center" vertical="center"/>
    </xf>
    <xf numFmtId="0" fontId="5" fillId="9" borderId="12" xfId="4" applyFont="1" applyFill="1" applyBorder="1" applyAlignment="1">
      <alignment horizontal="center" vertical="center"/>
    </xf>
    <xf numFmtId="0" fontId="5" fillId="9" borderId="23" xfId="4" applyFont="1" applyFill="1" applyBorder="1" applyAlignment="1">
      <alignment horizontal="center" vertical="center"/>
    </xf>
    <xf numFmtId="0" fontId="5" fillId="9" borderId="13" xfId="4" applyFont="1" applyFill="1" applyBorder="1" applyAlignment="1">
      <alignment horizontal="center" vertical="center"/>
    </xf>
    <xf numFmtId="0" fontId="5" fillId="8" borderId="15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5" xfId="3" applyFont="1" applyFill="1" applyBorder="1" applyAlignment="1">
      <alignment horizontal="center" vertical="center" wrapText="1"/>
    </xf>
    <xf numFmtId="0" fontId="5" fillId="8" borderId="17" xfId="3" applyFont="1" applyFill="1" applyBorder="1" applyAlignment="1">
      <alignment horizontal="center" vertical="center" wrapText="1"/>
    </xf>
    <xf numFmtId="0" fontId="22" fillId="2" borderId="12" xfId="3" applyFont="1" applyFill="1" applyBorder="1" applyAlignment="1">
      <alignment horizontal="center"/>
    </xf>
    <xf numFmtId="0" fontId="22" fillId="2" borderId="23" xfId="3" applyFont="1" applyFill="1" applyBorder="1" applyAlignment="1">
      <alignment horizontal="center"/>
    </xf>
    <xf numFmtId="0" fontId="22" fillId="2" borderId="13" xfId="3" applyFont="1" applyFill="1" applyBorder="1" applyAlignment="1">
      <alignment horizontal="center"/>
    </xf>
    <xf numFmtId="0" fontId="22" fillId="9" borderId="12" xfId="3" applyFont="1" applyFill="1" applyBorder="1" applyAlignment="1">
      <alignment horizontal="center"/>
    </xf>
    <xf numFmtId="0" fontId="22" fillId="9" borderId="23" xfId="3" applyFont="1" applyFill="1" applyBorder="1" applyAlignment="1">
      <alignment horizontal="center"/>
    </xf>
    <xf numFmtId="0" fontId="22" fillId="9" borderId="13" xfId="3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22" fillId="2" borderId="1" xfId="3" applyFont="1" applyFill="1" applyBorder="1" applyAlignment="1">
      <alignment horizontal="center"/>
    </xf>
    <xf numFmtId="0" fontId="22" fillId="9" borderId="1" xfId="3" applyFont="1" applyFill="1" applyBorder="1" applyAlignment="1">
      <alignment horizontal="center"/>
    </xf>
    <xf numFmtId="0" fontId="15" fillId="3" borderId="1" xfId="4" applyFont="1" applyFill="1" applyBorder="1" applyAlignment="1">
      <alignment horizontal="center"/>
    </xf>
    <xf numFmtId="0" fontId="15" fillId="3" borderId="6" xfId="4" applyFont="1" applyFill="1" applyBorder="1" applyAlignment="1">
      <alignment horizontal="center"/>
    </xf>
    <xf numFmtId="176" fontId="11" fillId="6" borderId="7" xfId="6" applyNumberFormat="1" applyFont="1" applyFill="1" applyBorder="1" applyAlignment="1">
      <alignment horizontal="center" vertical="center"/>
    </xf>
    <xf numFmtId="176" fontId="11" fillId="6" borderId="8" xfId="6" applyNumberFormat="1" applyFont="1" applyFill="1" applyBorder="1" applyAlignment="1">
      <alignment horizontal="center" vertical="center"/>
    </xf>
    <xf numFmtId="0" fontId="12" fillId="5" borderId="10" xfId="4" applyFont="1" applyFill="1" applyBorder="1" applyAlignment="1">
      <alignment horizontal="center" vertical="center"/>
    </xf>
    <xf numFmtId="176" fontId="13" fillId="4" borderId="5" xfId="6" applyNumberFormat="1" applyFont="1" applyFill="1" applyBorder="1" applyAlignment="1">
      <alignment horizontal="center" vertical="center"/>
    </xf>
    <xf numFmtId="176" fontId="13" fillId="4" borderId="1" xfId="6" applyNumberFormat="1" applyFont="1" applyFill="1" applyBorder="1" applyAlignment="1">
      <alignment horizontal="center" vertical="center"/>
    </xf>
    <xf numFmtId="177" fontId="13" fillId="4" borderId="1" xfId="6" applyNumberFormat="1" applyFont="1" applyFill="1" applyBorder="1" applyAlignment="1">
      <alignment horizontal="center" vertical="center"/>
    </xf>
    <xf numFmtId="0" fontId="14" fillId="3" borderId="1" xfId="4" applyFont="1" applyFill="1" applyBorder="1" applyAlignment="1">
      <alignment horizontal="center"/>
    </xf>
    <xf numFmtId="0" fontId="13" fillId="3" borderId="5" xfId="6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 wrapText="1"/>
    </xf>
  </cellXfs>
  <cellStyles count="9">
    <cellStyle name="一般" xfId="0" builtinId="0"/>
    <cellStyle name="一般 2 2 2" xfId="8" xr:uid="{F7523259-75CA-4BAD-946D-FA00ABF158B6}"/>
    <cellStyle name="一般 2 2 30 2 2 30 2" xfId="3" xr:uid="{1F0904A5-272D-4A0B-A693-C740AF018AF3}"/>
    <cellStyle name="一般 2 2 30 2 3 2" xfId="5" xr:uid="{F0D7ACE7-2025-4577-8EEC-FFF78FE88EFE}"/>
    <cellStyle name="一般 2 2 30 3 30" xfId="6" xr:uid="{D0FE7B5E-3C7E-493C-A26C-CA89D82836BF}"/>
    <cellStyle name="一般 4" xfId="4" xr:uid="{24006FCC-C405-4560-8DAD-7A412B7B15C0}"/>
    <cellStyle name="千分位" xfId="1" builtinId="3"/>
    <cellStyle name="百分比" xfId="2" builtinId="5"/>
    <cellStyle name="百分比 2" xfId="7" xr:uid="{681B2C28-3475-4BBD-9506-ABB512B1EF60}"/>
  </cellStyles>
  <dxfs count="10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O1" t="str">
            <v>日期:</v>
          </cell>
          <cell r="P1">
            <v>45921</v>
          </cell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0.38999999999999968</v>
          </cell>
          <cell r="O11">
            <v>655.19999999999948</v>
          </cell>
          <cell r="P11">
            <v>0</v>
          </cell>
          <cell r="Q11">
            <v>0</v>
          </cell>
          <cell r="R11">
            <v>655.19999999999948</v>
          </cell>
        </row>
        <row r="12">
          <cell r="N12">
            <v>1.210000000000008</v>
          </cell>
          <cell r="O12">
            <v>242.00000000000159</v>
          </cell>
          <cell r="P12">
            <v>1.21</v>
          </cell>
          <cell r="Q12">
            <v>242</v>
          </cell>
          <cell r="R12">
            <v>1.5916157281026244E-12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50.020000000000437</v>
          </cell>
          <cell r="O14">
            <v>1970.2878000000171</v>
          </cell>
          <cell r="P14">
            <v>0.46</v>
          </cell>
          <cell r="Q14">
            <v>18.119400000000002</v>
          </cell>
          <cell r="R14">
            <v>1952.1684000000171</v>
          </cell>
        </row>
        <row r="15">
          <cell r="N15">
            <v>10.960000000000036</v>
          </cell>
          <cell r="O15">
            <v>521.03840000000173</v>
          </cell>
          <cell r="P15">
            <v>0</v>
          </cell>
          <cell r="Q15">
            <v>0</v>
          </cell>
          <cell r="R15">
            <v>521.03840000000173</v>
          </cell>
        </row>
        <row r="16">
          <cell r="N16">
            <v>2.0500000000000043</v>
          </cell>
          <cell r="O16">
            <v>1358.0020000000029</v>
          </cell>
          <cell r="P16">
            <v>0</v>
          </cell>
          <cell r="Q16">
            <v>0</v>
          </cell>
          <cell r="R16">
            <v>1358.0020000000029</v>
          </cell>
        </row>
        <row r="17">
          <cell r="N17">
            <v>1.789999999999992</v>
          </cell>
          <cell r="O17">
            <v>664.34059999999704</v>
          </cell>
          <cell r="P17">
            <v>0.4</v>
          </cell>
          <cell r="Q17">
            <v>148.45599999999999</v>
          </cell>
          <cell r="R17">
            <v>515.88459999999702</v>
          </cell>
        </row>
        <row r="18">
          <cell r="N18">
            <v>5.5200000000000031</v>
          </cell>
          <cell r="O18">
            <v>422.11440000000022</v>
          </cell>
          <cell r="P18">
            <v>0.55000000000000004</v>
          </cell>
          <cell r="Q18">
            <v>42.058500000000002</v>
          </cell>
          <cell r="R18">
            <v>380.05590000000024</v>
          </cell>
        </row>
        <row r="19">
          <cell r="N19">
            <v>6.8499999999999659</v>
          </cell>
          <cell r="O19">
            <v>1081.4094999999948</v>
          </cell>
          <cell r="P19">
            <v>0</v>
          </cell>
          <cell r="Q19">
            <v>0</v>
          </cell>
          <cell r="R19">
            <v>1081.4094999999948</v>
          </cell>
        </row>
        <row r="20">
          <cell r="N20">
            <v>13.059999999999945</v>
          </cell>
          <cell r="O20">
            <v>1925.435799999992</v>
          </cell>
          <cell r="P20">
            <v>0</v>
          </cell>
          <cell r="Q20">
            <v>0</v>
          </cell>
          <cell r="R20">
            <v>1925.435799999992</v>
          </cell>
        </row>
        <row r="21">
          <cell r="N21">
            <v>5</v>
          </cell>
          <cell r="O21">
            <v>639.20000000000005</v>
          </cell>
          <cell r="P21">
            <v>0</v>
          </cell>
          <cell r="Q21">
            <v>0</v>
          </cell>
          <cell r="R21">
            <v>639.20000000000005</v>
          </cell>
        </row>
        <row r="22">
          <cell r="N22">
            <v>5.8800000000000239</v>
          </cell>
          <cell r="O22">
            <v>851.4240000000035</v>
          </cell>
          <cell r="P22">
            <v>1.84</v>
          </cell>
          <cell r="Q22">
            <v>266.43200000000002</v>
          </cell>
          <cell r="R22">
            <v>584.99200000000349</v>
          </cell>
        </row>
        <row r="23">
          <cell r="N23">
            <v>210</v>
          </cell>
          <cell r="O23">
            <v>245.7</v>
          </cell>
          <cell r="P23">
            <v>210</v>
          </cell>
          <cell r="Q23">
            <v>245.7</v>
          </cell>
          <cell r="R23">
            <v>0</v>
          </cell>
        </row>
        <row r="24">
          <cell r="N24">
            <v>4.9000000000000057</v>
          </cell>
          <cell r="O24">
            <v>622.25100000000066</v>
          </cell>
          <cell r="P24">
            <v>1.88</v>
          </cell>
          <cell r="Q24">
            <v>238.74119999999996</v>
          </cell>
          <cell r="R24">
            <v>383.50980000000072</v>
          </cell>
        </row>
        <row r="25"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N26">
            <v>101</v>
          </cell>
          <cell r="O26">
            <v>247.45000000000002</v>
          </cell>
          <cell r="P26">
            <v>101</v>
          </cell>
          <cell r="Q26">
            <v>247.45000000000002</v>
          </cell>
          <cell r="R26">
            <v>0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N28">
            <v>2.8500000000000227</v>
          </cell>
          <cell r="O28">
            <v>272.00400000000218</v>
          </cell>
          <cell r="P28">
            <v>2.85</v>
          </cell>
          <cell r="Q28">
            <v>272.00400000000002</v>
          </cell>
          <cell r="R28">
            <v>2.1600499167107046E-12</v>
          </cell>
        </row>
        <row r="29">
          <cell r="N29">
            <v>2.3900000000000006</v>
          </cell>
          <cell r="O29">
            <v>516.90920000000017</v>
          </cell>
          <cell r="P29">
            <v>0</v>
          </cell>
          <cell r="Q29">
            <v>0</v>
          </cell>
          <cell r="R29">
            <v>516.90920000000017</v>
          </cell>
        </row>
        <row r="30">
          <cell r="N30">
            <v>2.3999999999999986</v>
          </cell>
          <cell r="O30">
            <v>596.30399999999963</v>
          </cell>
          <cell r="P30">
            <v>0.82</v>
          </cell>
          <cell r="Q30">
            <v>203.7372</v>
          </cell>
          <cell r="R30">
            <v>392.5667999999996</v>
          </cell>
        </row>
        <row r="31">
          <cell r="N31">
            <v>7.1999999999999886</v>
          </cell>
          <cell r="O31">
            <v>98.567999999999842</v>
          </cell>
          <cell r="P31">
            <v>7.2</v>
          </cell>
          <cell r="Q31">
            <v>98.567999999999998</v>
          </cell>
          <cell r="R31">
            <v>-1.5631940186722204E-13</v>
          </cell>
        </row>
        <row r="32">
          <cell r="N32">
            <v>0.12999999999999901</v>
          </cell>
          <cell r="O32">
            <v>10.139999999999922</v>
          </cell>
          <cell r="P32">
            <v>0</v>
          </cell>
          <cell r="Q32">
            <v>0</v>
          </cell>
          <cell r="R32">
            <v>10.139999999999922</v>
          </cell>
        </row>
        <row r="33">
          <cell r="N33">
            <v>2.8999999999999773</v>
          </cell>
          <cell r="O33">
            <v>548.44799999999566</v>
          </cell>
          <cell r="P33">
            <v>2.9</v>
          </cell>
          <cell r="Q33">
            <v>548.44799999999998</v>
          </cell>
          <cell r="R33">
            <v>-4.3200998334214091E-12</v>
          </cell>
        </row>
        <row r="34">
          <cell r="N34">
            <v>2.1000000000000227</v>
          </cell>
          <cell r="O34">
            <v>407.04300000000444</v>
          </cell>
          <cell r="P34">
            <v>0.9</v>
          </cell>
          <cell r="Q34">
            <v>174.447</v>
          </cell>
          <cell r="R34">
            <v>232.59600000000444</v>
          </cell>
        </row>
        <row r="35">
          <cell r="N35">
            <v>5.980000000000004</v>
          </cell>
          <cell r="O35">
            <v>2551.6062000000015</v>
          </cell>
          <cell r="P35">
            <v>0</v>
          </cell>
          <cell r="Q35">
            <v>0</v>
          </cell>
          <cell r="R35">
            <v>2551.6062000000015</v>
          </cell>
        </row>
        <row r="36">
          <cell r="N36">
            <v>3</v>
          </cell>
          <cell r="O36">
            <v>458.25</v>
          </cell>
          <cell r="P36">
            <v>0.5</v>
          </cell>
          <cell r="Q36">
            <v>76.375</v>
          </cell>
          <cell r="R36">
            <v>381.875</v>
          </cell>
        </row>
        <row r="37">
          <cell r="N37">
            <v>1.9799999999999898</v>
          </cell>
          <cell r="O37">
            <v>527.23439999999721</v>
          </cell>
          <cell r="P37">
            <v>0.64</v>
          </cell>
          <cell r="Q37">
            <v>170.41919999999999</v>
          </cell>
          <cell r="R37">
            <v>356.81519999999722</v>
          </cell>
        </row>
        <row r="38">
          <cell r="N38">
            <v>0.99000000000000199</v>
          </cell>
          <cell r="O38">
            <v>622.71000000000129</v>
          </cell>
          <cell r="P38">
            <v>0</v>
          </cell>
          <cell r="Q38">
            <v>0</v>
          </cell>
          <cell r="R38">
            <v>622.71000000000129</v>
          </cell>
        </row>
        <row r="39">
          <cell r="N39">
            <v>3</v>
          </cell>
          <cell r="O39">
            <v>459.57</v>
          </cell>
          <cell r="P39">
            <v>0.59</v>
          </cell>
          <cell r="Q39">
            <v>90.382099999999994</v>
          </cell>
          <cell r="R39">
            <v>369.18790000000001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1.6999999999999957</v>
          </cell>
          <cell r="O41">
            <v>500.88799999999873</v>
          </cell>
          <cell r="P41">
            <v>0</v>
          </cell>
          <cell r="Q41">
            <v>0</v>
          </cell>
          <cell r="R41">
            <v>500.88799999999873</v>
          </cell>
        </row>
        <row r="42">
          <cell r="N42">
            <v>2.5700000000000003</v>
          </cell>
          <cell r="O42">
            <v>423.4332</v>
          </cell>
          <cell r="P42">
            <v>0.92</v>
          </cell>
          <cell r="Q42">
            <v>151.57919999999999</v>
          </cell>
          <cell r="R42">
            <v>271.85400000000004</v>
          </cell>
        </row>
        <row r="43">
          <cell r="N43">
            <v>0.58999999999999986</v>
          </cell>
          <cell r="O43">
            <v>314.55849999999992</v>
          </cell>
          <cell r="P43">
            <v>0.1</v>
          </cell>
          <cell r="Q43">
            <v>53.314999999999998</v>
          </cell>
          <cell r="R43">
            <v>261.24349999999993</v>
          </cell>
        </row>
        <row r="44">
          <cell r="N44">
            <v>1.1499999999999986</v>
          </cell>
          <cell r="O44">
            <v>559.34849999999926</v>
          </cell>
          <cell r="P44">
            <v>0.35</v>
          </cell>
          <cell r="Q44">
            <v>170.23649999999998</v>
          </cell>
          <cell r="R44">
            <v>389.11199999999928</v>
          </cell>
        </row>
        <row r="45">
          <cell r="N45">
            <v>3</v>
          </cell>
          <cell r="O45">
            <v>422.18999999999994</v>
          </cell>
          <cell r="P45">
            <v>1.28</v>
          </cell>
          <cell r="Q45">
            <v>180.1344</v>
          </cell>
          <cell r="R45">
            <v>242.05559999999994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2.0300000000000011</v>
          </cell>
          <cell r="O47">
            <v>688.4948000000004</v>
          </cell>
          <cell r="P47">
            <v>0.45</v>
          </cell>
          <cell r="Q47">
            <v>152.62200000000001</v>
          </cell>
          <cell r="R47">
            <v>535.87280000000032</v>
          </cell>
        </row>
        <row r="48">
          <cell r="N48">
            <v>1.1099999999999994</v>
          </cell>
          <cell r="O48">
            <v>410.14499999999981</v>
          </cell>
          <cell r="P48">
            <v>0.6</v>
          </cell>
          <cell r="Q48">
            <v>221.7</v>
          </cell>
          <cell r="R48">
            <v>188.44499999999982</v>
          </cell>
        </row>
        <row r="49">
          <cell r="N49">
            <v>2</v>
          </cell>
          <cell r="O49">
            <v>505.42</v>
          </cell>
          <cell r="P49">
            <v>0.45</v>
          </cell>
          <cell r="Q49">
            <v>113.71950000000001</v>
          </cell>
          <cell r="R49">
            <v>391.70050000000003</v>
          </cell>
        </row>
        <row r="50">
          <cell r="N50">
            <v>4.3800000000000097</v>
          </cell>
          <cell r="O50">
            <v>1514.8230000000035</v>
          </cell>
          <cell r="P50">
            <v>0</v>
          </cell>
          <cell r="Q50">
            <v>0</v>
          </cell>
          <cell r="R50">
            <v>1514.8230000000035</v>
          </cell>
        </row>
        <row r="51">
          <cell r="N51">
            <v>1.1100000000000012</v>
          </cell>
          <cell r="O51">
            <v>550.88190000000066</v>
          </cell>
          <cell r="P51">
            <v>0.5</v>
          </cell>
          <cell r="Q51">
            <v>248.14500000000001</v>
          </cell>
          <cell r="R51">
            <v>302.73690000000067</v>
          </cell>
        </row>
        <row r="52">
          <cell r="N52">
            <v>4</v>
          </cell>
          <cell r="O52">
            <v>363.56</v>
          </cell>
          <cell r="P52">
            <v>0.9</v>
          </cell>
          <cell r="Q52">
            <v>81.801000000000002</v>
          </cell>
          <cell r="R52">
            <v>281.75900000000001</v>
          </cell>
        </row>
        <row r="53">
          <cell r="N53">
            <v>100</v>
          </cell>
          <cell r="O53">
            <v>1545</v>
          </cell>
          <cell r="P53">
            <v>100</v>
          </cell>
          <cell r="Q53">
            <v>1545</v>
          </cell>
          <cell r="R53">
            <v>0</v>
          </cell>
        </row>
        <row r="54">
          <cell r="N54">
            <v>0.76999999999999957</v>
          </cell>
          <cell r="O54">
            <v>562.09999999999968</v>
          </cell>
          <cell r="P54">
            <v>0</v>
          </cell>
          <cell r="Q54">
            <v>0</v>
          </cell>
          <cell r="R54">
            <v>562.09999999999968</v>
          </cell>
        </row>
        <row r="55">
          <cell r="N55">
            <v>0.27999999999999758</v>
          </cell>
          <cell r="O55">
            <v>585.81039999999496</v>
          </cell>
          <cell r="P55">
            <v>0</v>
          </cell>
          <cell r="Q55">
            <v>0</v>
          </cell>
          <cell r="R55">
            <v>585.81039999999496</v>
          </cell>
        </row>
        <row r="56">
          <cell r="N56">
            <v>0.30000000000000071</v>
          </cell>
          <cell r="O56">
            <v>409.56900000000098</v>
          </cell>
          <cell r="P56">
            <v>0</v>
          </cell>
          <cell r="Q56">
            <v>0</v>
          </cell>
          <cell r="R56">
            <v>409.56900000000098</v>
          </cell>
        </row>
        <row r="57">
          <cell r="N57">
            <v>4.25</v>
          </cell>
          <cell r="O57">
            <v>498.35500000000002</v>
          </cell>
          <cell r="P57">
            <v>0.8</v>
          </cell>
          <cell r="Q57">
            <v>93.808000000000007</v>
          </cell>
          <cell r="R57">
            <v>404.54700000000003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2</v>
          </cell>
          <cell r="O59">
            <v>418.36</v>
          </cell>
          <cell r="P59">
            <v>0</v>
          </cell>
          <cell r="Q59">
            <v>0</v>
          </cell>
          <cell r="R59">
            <v>418.36</v>
          </cell>
        </row>
        <row r="60">
          <cell r="N60">
            <v>1.1999999999999886</v>
          </cell>
          <cell r="O60">
            <v>496.8719999999953</v>
          </cell>
          <cell r="P60">
            <v>0.4</v>
          </cell>
          <cell r="Q60">
            <v>165.62400000000002</v>
          </cell>
          <cell r="R60">
            <v>331.24799999999527</v>
          </cell>
        </row>
        <row r="61">
          <cell r="N61">
            <v>0.67000000000000171</v>
          </cell>
          <cell r="O61">
            <v>600.32000000000153</v>
          </cell>
          <cell r="P61">
            <v>0</v>
          </cell>
          <cell r="Q61">
            <v>0</v>
          </cell>
          <cell r="R61">
            <v>600.32000000000153</v>
          </cell>
        </row>
        <row r="62">
          <cell r="N62">
            <v>3.9999999999999147E-2</v>
          </cell>
          <cell r="O62">
            <v>26.959999999999425</v>
          </cell>
          <cell r="P62">
            <v>0</v>
          </cell>
          <cell r="Q62">
            <v>0</v>
          </cell>
          <cell r="R62">
            <v>26.959999999999425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0.87000000000000455</v>
          </cell>
          <cell r="O64">
            <v>448.7286000000023</v>
          </cell>
          <cell r="P64">
            <v>0.2</v>
          </cell>
          <cell r="Q64">
            <v>103.15600000000001</v>
          </cell>
          <cell r="R64">
            <v>345.5726000000023</v>
          </cell>
        </row>
        <row r="65">
          <cell r="N65">
            <v>3</v>
          </cell>
          <cell r="O65">
            <v>514.29</v>
          </cell>
          <cell r="P65">
            <v>1.08</v>
          </cell>
          <cell r="Q65">
            <v>185.14440000000002</v>
          </cell>
          <cell r="R65">
            <v>329.14559999999994</v>
          </cell>
        </row>
        <row r="66">
          <cell r="N66">
            <v>4.0300000000000011</v>
          </cell>
          <cell r="O66">
            <v>637.50570000000016</v>
          </cell>
          <cell r="P66">
            <v>0.8</v>
          </cell>
          <cell r="Q66">
            <v>126.55200000000001</v>
          </cell>
          <cell r="R66">
            <v>510.95370000000014</v>
          </cell>
        </row>
        <row r="67">
          <cell r="N67">
            <v>1.0999999999999943</v>
          </cell>
          <cell r="O67">
            <v>454.42099999999766</v>
          </cell>
          <cell r="P67">
            <v>0.48</v>
          </cell>
          <cell r="Q67">
            <v>198.2928</v>
          </cell>
          <cell r="R67">
            <v>256.12819999999766</v>
          </cell>
        </row>
        <row r="68">
          <cell r="N68">
            <v>2.2000000000000028</v>
          </cell>
          <cell r="O68">
            <v>630.71800000000076</v>
          </cell>
          <cell r="P68">
            <v>0.6</v>
          </cell>
          <cell r="Q68">
            <v>172.01399999999998</v>
          </cell>
          <cell r="R68">
            <v>458.70400000000075</v>
          </cell>
        </row>
        <row r="69">
          <cell r="N69">
            <v>2.2699999999999996</v>
          </cell>
          <cell r="O69">
            <v>515.53969999999993</v>
          </cell>
          <cell r="P69">
            <v>0.45</v>
          </cell>
          <cell r="Q69">
            <v>102.19950000000001</v>
          </cell>
          <cell r="R69">
            <v>413.34019999999992</v>
          </cell>
        </row>
        <row r="70">
          <cell r="N70">
            <v>3.1099999999999994</v>
          </cell>
          <cell r="O70">
            <v>575.34999999999991</v>
          </cell>
          <cell r="P70">
            <v>0.57999999999999996</v>
          </cell>
          <cell r="Q70">
            <v>107.3</v>
          </cell>
          <cell r="R70">
            <v>468.0499999999999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2.0899999999999963</v>
          </cell>
          <cell r="O72">
            <v>915.2318999999984</v>
          </cell>
          <cell r="P72">
            <v>0.5</v>
          </cell>
          <cell r="Q72">
            <v>218.95500000000001</v>
          </cell>
          <cell r="R72">
            <v>696.27689999999836</v>
          </cell>
        </row>
        <row r="73">
          <cell r="N73">
            <v>20.089999999999975</v>
          </cell>
          <cell r="O73">
            <v>479.54829999999941</v>
          </cell>
          <cell r="P73">
            <v>0</v>
          </cell>
          <cell r="Q73">
            <v>0</v>
          </cell>
          <cell r="R73">
            <v>479.54829999999941</v>
          </cell>
        </row>
        <row r="74">
          <cell r="N74">
            <v>4.4599999999999937</v>
          </cell>
          <cell r="O74">
            <v>536.80559999999923</v>
          </cell>
          <cell r="P74">
            <v>2.11</v>
          </cell>
          <cell r="Q74">
            <v>253.95959999999999</v>
          </cell>
          <cell r="R74">
            <v>282.84599999999921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14.259999999999991</v>
          </cell>
          <cell r="O76">
            <v>406.69519999999972</v>
          </cell>
          <cell r="P76">
            <v>3.6</v>
          </cell>
          <cell r="Q76">
            <v>102.672</v>
          </cell>
          <cell r="R76">
            <v>304.02319999999975</v>
          </cell>
        </row>
        <row r="77">
          <cell r="N77">
            <v>0.30000000000000004</v>
          </cell>
          <cell r="O77">
            <v>29.499000000000002</v>
          </cell>
          <cell r="P77">
            <v>0</v>
          </cell>
          <cell r="Q77">
            <v>0</v>
          </cell>
          <cell r="R77">
            <v>29.499000000000002</v>
          </cell>
        </row>
        <row r="78">
          <cell r="N78">
            <v>11.899999999999977</v>
          </cell>
          <cell r="O78">
            <v>401.14899999999926</v>
          </cell>
          <cell r="P78">
            <v>4.87</v>
          </cell>
          <cell r="Q78">
            <v>164.1677</v>
          </cell>
          <cell r="R78">
            <v>236.98129999999927</v>
          </cell>
        </row>
        <row r="79">
          <cell r="N79">
            <v>1.1300000000000026</v>
          </cell>
          <cell r="O79">
            <v>740.56810000000166</v>
          </cell>
          <cell r="P79">
            <v>0</v>
          </cell>
          <cell r="Q79">
            <v>0</v>
          </cell>
          <cell r="R79">
            <v>740.56810000000166</v>
          </cell>
        </row>
        <row r="80">
          <cell r="N80">
            <v>5</v>
          </cell>
          <cell r="O80">
            <v>544.79999999999995</v>
          </cell>
          <cell r="P80">
            <v>2.2000000000000002</v>
          </cell>
          <cell r="Q80">
            <v>239.71200000000002</v>
          </cell>
          <cell r="R80">
            <v>305.08799999999997</v>
          </cell>
        </row>
        <row r="81">
          <cell r="N81">
            <v>4.8599999999999994</v>
          </cell>
          <cell r="O81">
            <v>473.26679999999993</v>
          </cell>
          <cell r="P81">
            <v>1.75</v>
          </cell>
          <cell r="Q81">
            <v>170.41499999999999</v>
          </cell>
          <cell r="R81">
            <v>302.85179999999991</v>
          </cell>
        </row>
        <row r="82">
          <cell r="N82">
            <v>35.539999999999964</v>
          </cell>
          <cell r="O82">
            <v>1173.8861999999988</v>
          </cell>
          <cell r="P82">
            <v>0</v>
          </cell>
          <cell r="Q82">
            <v>0</v>
          </cell>
          <cell r="R82">
            <v>1173.8861999999988</v>
          </cell>
        </row>
        <row r="83">
          <cell r="N83">
            <v>24.800000000000011</v>
          </cell>
          <cell r="O83">
            <v>990.76000000000056</v>
          </cell>
          <cell r="P83">
            <v>24.8</v>
          </cell>
          <cell r="Q83">
            <v>990.7600000000001</v>
          </cell>
          <cell r="R83">
            <v>0</v>
          </cell>
        </row>
        <row r="84">
          <cell r="N84">
            <v>3.0700000000000003</v>
          </cell>
          <cell r="O84">
            <v>640.27920000000006</v>
          </cell>
          <cell r="P84">
            <v>1</v>
          </cell>
          <cell r="Q84">
            <v>208.56</v>
          </cell>
          <cell r="R84">
            <v>431.71920000000006</v>
          </cell>
        </row>
        <row r="85">
          <cell r="N85">
            <v>8</v>
          </cell>
          <cell r="O85">
            <v>564.32000000000005</v>
          </cell>
          <cell r="P85">
            <v>2.8</v>
          </cell>
          <cell r="Q85">
            <v>197.512</v>
          </cell>
          <cell r="R85">
            <v>366.80800000000005</v>
          </cell>
        </row>
        <row r="86">
          <cell r="N86">
            <v>0.12999999999999901</v>
          </cell>
          <cell r="O86">
            <v>171.0968999999987</v>
          </cell>
          <cell r="P86">
            <v>0</v>
          </cell>
          <cell r="Q86">
            <v>0</v>
          </cell>
          <cell r="R86">
            <v>171.0968999999987</v>
          </cell>
        </row>
        <row r="87"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1.7699999999999996</v>
          </cell>
          <cell r="O90">
            <v>573.4799999999999</v>
          </cell>
          <cell r="P90">
            <v>0.6</v>
          </cell>
          <cell r="Q90">
            <v>194.4</v>
          </cell>
          <cell r="R90">
            <v>379.07999999999993</v>
          </cell>
        </row>
        <row r="91"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N92">
            <v>8.3700000000000045</v>
          </cell>
          <cell r="O92">
            <v>689.77170000000035</v>
          </cell>
          <cell r="P92">
            <v>2.6</v>
          </cell>
          <cell r="Q92">
            <v>214.26599999999999</v>
          </cell>
          <cell r="R92">
            <v>475.50570000000039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6.1499999999999773</v>
          </cell>
          <cell r="O95">
            <v>401.22599999999846</v>
          </cell>
          <cell r="P95">
            <v>4.08</v>
          </cell>
          <cell r="Q95">
            <v>266.17919999999998</v>
          </cell>
          <cell r="R95">
            <v>135.04679999999848</v>
          </cell>
        </row>
        <row r="96">
          <cell r="N96">
            <v>1.2299999999999969</v>
          </cell>
          <cell r="O96">
            <v>109.92509999999973</v>
          </cell>
          <cell r="P96">
            <v>1.23</v>
          </cell>
          <cell r="Q96">
            <v>109.9251</v>
          </cell>
          <cell r="R96">
            <v>-2.7000623958883807E-13</v>
          </cell>
        </row>
        <row r="97">
          <cell r="N97">
            <v>3.3000000000000114</v>
          </cell>
          <cell r="O97">
            <v>423.68700000000143</v>
          </cell>
          <cell r="P97">
            <v>0</v>
          </cell>
          <cell r="Q97">
            <v>0</v>
          </cell>
          <cell r="R97">
            <v>423.68700000000143</v>
          </cell>
        </row>
        <row r="98">
          <cell r="N98">
            <v>2.0500000000000043</v>
          </cell>
          <cell r="O98">
            <v>520.53600000000108</v>
          </cell>
          <cell r="P98">
            <v>0.74</v>
          </cell>
          <cell r="Q98">
            <v>187.90079999999998</v>
          </cell>
          <cell r="R98">
            <v>332.63520000000108</v>
          </cell>
        </row>
        <row r="99">
          <cell r="N99">
            <v>4.8299999999999983</v>
          </cell>
          <cell r="O99">
            <v>887.02949999999976</v>
          </cell>
          <cell r="P99">
            <v>3.7</v>
          </cell>
          <cell r="Q99">
            <v>679.50500000000011</v>
          </cell>
          <cell r="R99">
            <v>207.52449999999965</v>
          </cell>
        </row>
        <row r="100"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N101">
            <v>10</v>
          </cell>
          <cell r="O101">
            <v>62.599999999999994</v>
          </cell>
          <cell r="P101">
            <v>10</v>
          </cell>
          <cell r="Q101">
            <v>62.599999999999994</v>
          </cell>
          <cell r="R101">
            <v>0</v>
          </cell>
        </row>
        <row r="102">
          <cell r="N102">
            <v>1.5500000000000007</v>
          </cell>
          <cell r="O102">
            <v>466.28650000000022</v>
          </cell>
          <cell r="P102">
            <v>0.7</v>
          </cell>
          <cell r="Q102">
            <v>210.58099999999999</v>
          </cell>
          <cell r="R102">
            <v>255.70550000000023</v>
          </cell>
        </row>
        <row r="103">
          <cell r="N103">
            <v>1.2400000000000091</v>
          </cell>
          <cell r="O103">
            <v>505.59760000000369</v>
          </cell>
          <cell r="P103">
            <v>0</v>
          </cell>
          <cell r="Q103">
            <v>0</v>
          </cell>
          <cell r="R103">
            <v>505.59760000000369</v>
          </cell>
        </row>
        <row r="104">
          <cell r="N104">
            <v>117</v>
          </cell>
          <cell r="O104">
            <v>376.74</v>
          </cell>
          <cell r="P104">
            <v>0</v>
          </cell>
          <cell r="Q104">
            <v>0</v>
          </cell>
          <cell r="R104">
            <v>376.74</v>
          </cell>
        </row>
        <row r="105">
          <cell r="N105">
            <v>4.4899999999999807</v>
          </cell>
          <cell r="O105">
            <v>496.90829999999789</v>
          </cell>
          <cell r="P105">
            <v>2.0299999999999998</v>
          </cell>
          <cell r="Q105">
            <v>224.66009999999997</v>
          </cell>
          <cell r="R105">
            <v>272.24819999999795</v>
          </cell>
        </row>
        <row r="106">
          <cell r="N106">
            <v>1.4500000000000028</v>
          </cell>
          <cell r="O106">
            <v>530.59850000000108</v>
          </cell>
          <cell r="P106">
            <v>0.65</v>
          </cell>
          <cell r="Q106">
            <v>237.8545</v>
          </cell>
          <cell r="R106">
            <v>292.74400000000105</v>
          </cell>
        </row>
        <row r="107">
          <cell r="N107">
            <v>4</v>
          </cell>
          <cell r="O107">
            <v>491.28</v>
          </cell>
          <cell r="P107">
            <v>1.41</v>
          </cell>
          <cell r="Q107">
            <v>173.17619999999999</v>
          </cell>
          <cell r="R107">
            <v>318.10379999999998</v>
          </cell>
        </row>
        <row r="108">
          <cell r="N108">
            <v>3</v>
          </cell>
          <cell r="O108">
            <v>569.79</v>
          </cell>
          <cell r="P108">
            <v>0.8</v>
          </cell>
          <cell r="Q108">
            <v>151.94400000000002</v>
          </cell>
          <cell r="R108">
            <v>417.84599999999995</v>
          </cell>
        </row>
        <row r="109">
          <cell r="N109">
            <v>8</v>
          </cell>
          <cell r="O109">
            <v>18.399999999999999</v>
          </cell>
          <cell r="P109">
            <v>8</v>
          </cell>
          <cell r="Q109">
            <v>18.399999999999999</v>
          </cell>
          <cell r="R109">
            <v>0</v>
          </cell>
        </row>
        <row r="110">
          <cell r="N110">
            <v>132</v>
          </cell>
          <cell r="O110">
            <v>403.92</v>
          </cell>
          <cell r="P110">
            <v>0</v>
          </cell>
          <cell r="Q110">
            <v>0</v>
          </cell>
          <cell r="R110">
            <v>403.92</v>
          </cell>
        </row>
        <row r="111">
          <cell r="N111">
            <v>3.3599999999999994</v>
          </cell>
          <cell r="O111">
            <v>635.64479999999992</v>
          </cell>
          <cell r="P111">
            <v>0.59</v>
          </cell>
          <cell r="Q111">
            <v>111.61619999999999</v>
          </cell>
          <cell r="R111">
            <v>524.02859999999987</v>
          </cell>
        </row>
        <row r="112">
          <cell r="N112">
            <v>6</v>
          </cell>
          <cell r="O112">
            <v>576</v>
          </cell>
          <cell r="P112">
            <v>1.5</v>
          </cell>
          <cell r="Q112">
            <v>144</v>
          </cell>
          <cell r="R112">
            <v>432</v>
          </cell>
        </row>
        <row r="113"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N114">
            <v>25</v>
          </cell>
          <cell r="O114">
            <v>28.999999999999996</v>
          </cell>
          <cell r="P114">
            <v>25</v>
          </cell>
          <cell r="Q114">
            <v>28.999999999999996</v>
          </cell>
          <cell r="R114">
            <v>0</v>
          </cell>
        </row>
        <row r="115">
          <cell r="N115">
            <v>1.1599999999999997</v>
          </cell>
          <cell r="O115">
            <v>541.33719999999983</v>
          </cell>
          <cell r="P115">
            <v>0</v>
          </cell>
          <cell r="Q115">
            <v>0</v>
          </cell>
          <cell r="R115">
            <v>541.33719999999983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4.5999999999999996</v>
          </cell>
          <cell r="O117">
            <v>518.60399999999993</v>
          </cell>
          <cell r="P117">
            <v>0.98</v>
          </cell>
          <cell r="Q117">
            <v>110.48519999999999</v>
          </cell>
          <cell r="R117">
            <v>408.11879999999996</v>
          </cell>
        </row>
        <row r="118">
          <cell r="N118">
            <v>30</v>
          </cell>
          <cell r="O118">
            <v>75.3</v>
          </cell>
          <cell r="P118">
            <v>30</v>
          </cell>
          <cell r="Q118">
            <v>75.3</v>
          </cell>
          <cell r="R118">
            <v>0</v>
          </cell>
        </row>
        <row r="119">
          <cell r="N119">
            <v>7.8899999999999864</v>
          </cell>
          <cell r="O119">
            <v>400.89089999999931</v>
          </cell>
          <cell r="P119">
            <v>0</v>
          </cell>
          <cell r="Q119">
            <v>0</v>
          </cell>
          <cell r="R119">
            <v>400.89089999999931</v>
          </cell>
        </row>
        <row r="120">
          <cell r="N120">
            <v>11</v>
          </cell>
          <cell r="O120">
            <v>17.380000000000003</v>
          </cell>
          <cell r="P120">
            <v>11</v>
          </cell>
          <cell r="Q120">
            <v>17.380000000000003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5.5999999999999943</v>
          </cell>
          <cell r="O122">
            <v>557.25599999999952</v>
          </cell>
          <cell r="P122">
            <v>1.95</v>
          </cell>
          <cell r="Q122">
            <v>194.0445</v>
          </cell>
          <cell r="R122">
            <v>363.21149999999955</v>
          </cell>
        </row>
        <row r="123">
          <cell r="N123">
            <v>4</v>
          </cell>
          <cell r="O123">
            <v>19.440000000000001</v>
          </cell>
          <cell r="P123">
            <v>4</v>
          </cell>
          <cell r="Q123">
            <v>19.440000000000001</v>
          </cell>
          <cell r="R123">
            <v>0</v>
          </cell>
        </row>
        <row r="124">
          <cell r="N124">
            <v>14.720000000000027</v>
          </cell>
          <cell r="O124">
            <v>973.43360000000177</v>
          </cell>
          <cell r="P124">
            <v>3.5</v>
          </cell>
          <cell r="Q124">
            <v>231.45499999999998</v>
          </cell>
          <cell r="R124">
            <v>741.97860000000173</v>
          </cell>
        </row>
        <row r="125">
          <cell r="N125">
            <v>2.3999999999999986</v>
          </cell>
          <cell r="O125">
            <v>348.09599999999978</v>
          </cell>
          <cell r="P125">
            <v>0.86</v>
          </cell>
          <cell r="Q125">
            <v>124.73439999999999</v>
          </cell>
          <cell r="R125">
            <v>223.36159999999978</v>
          </cell>
        </row>
        <row r="126">
          <cell r="N126">
            <v>1.2699999999999996</v>
          </cell>
          <cell r="O126">
            <v>616.15319999999986</v>
          </cell>
          <cell r="P126">
            <v>0.4</v>
          </cell>
          <cell r="Q126">
            <v>194.06400000000002</v>
          </cell>
          <cell r="R126">
            <v>422.08919999999983</v>
          </cell>
        </row>
        <row r="127"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N128">
            <v>1.0700000000000003</v>
          </cell>
          <cell r="O128">
            <v>573.88380000000018</v>
          </cell>
          <cell r="P128">
            <v>0</v>
          </cell>
          <cell r="Q128">
            <v>0</v>
          </cell>
          <cell r="R128">
            <v>573.88380000000018</v>
          </cell>
        </row>
        <row r="129">
          <cell r="N129">
            <v>7.2599999999999909</v>
          </cell>
          <cell r="O129">
            <v>509.79719999999935</v>
          </cell>
          <cell r="P129">
            <v>2</v>
          </cell>
          <cell r="Q129">
            <v>140.44</v>
          </cell>
          <cell r="R129">
            <v>369.35719999999935</v>
          </cell>
        </row>
        <row r="130">
          <cell r="N130">
            <v>2.6999999999999993</v>
          </cell>
          <cell r="O130">
            <v>679.23899999999981</v>
          </cell>
          <cell r="P130">
            <v>0.85</v>
          </cell>
          <cell r="Q130">
            <v>213.83449999999999</v>
          </cell>
          <cell r="R130">
            <v>465.40449999999981</v>
          </cell>
        </row>
        <row r="131">
          <cell r="N131">
            <v>4.4499999999999886</v>
          </cell>
          <cell r="O131">
            <v>481.75699999999881</v>
          </cell>
          <cell r="P131">
            <v>0</v>
          </cell>
          <cell r="Q131">
            <v>0</v>
          </cell>
          <cell r="R131">
            <v>481.75699999999881</v>
          </cell>
        </row>
        <row r="132">
          <cell r="N132">
            <v>58</v>
          </cell>
          <cell r="O132">
            <v>0</v>
          </cell>
          <cell r="P132">
            <v>58</v>
          </cell>
          <cell r="Q132">
            <v>0</v>
          </cell>
          <cell r="R132">
            <v>0</v>
          </cell>
        </row>
        <row r="133">
          <cell r="N133">
            <v>18</v>
          </cell>
          <cell r="O133">
            <v>98.28</v>
          </cell>
          <cell r="P133">
            <v>18</v>
          </cell>
          <cell r="Q133">
            <v>98.28</v>
          </cell>
          <cell r="R133">
            <v>0</v>
          </cell>
        </row>
        <row r="134">
          <cell r="N134">
            <v>17.649999999999977</v>
          </cell>
          <cell r="O134">
            <v>1487.8949999999979</v>
          </cell>
          <cell r="P134">
            <v>0</v>
          </cell>
          <cell r="Q134">
            <v>0</v>
          </cell>
          <cell r="R134">
            <v>1487.8949999999979</v>
          </cell>
        </row>
        <row r="135">
          <cell r="N135">
            <v>2.7800000000000011</v>
          </cell>
          <cell r="O135">
            <v>1684.0684000000006</v>
          </cell>
          <cell r="P135">
            <v>0</v>
          </cell>
          <cell r="Q135">
            <v>0</v>
          </cell>
          <cell r="R135">
            <v>1684.0684000000006</v>
          </cell>
        </row>
        <row r="136">
          <cell r="N136">
            <v>3.4000000000000057</v>
          </cell>
          <cell r="O136">
            <v>481.67800000000074</v>
          </cell>
          <cell r="P136">
            <v>1.78</v>
          </cell>
          <cell r="Q136">
            <v>252.17259999999999</v>
          </cell>
          <cell r="R136">
            <v>229.50540000000075</v>
          </cell>
        </row>
        <row r="137">
          <cell r="N137">
            <v>2</v>
          </cell>
          <cell r="O137">
            <v>407.16</v>
          </cell>
          <cell r="P137">
            <v>0.9</v>
          </cell>
          <cell r="Q137">
            <v>183.22200000000001</v>
          </cell>
          <cell r="R137">
            <v>223.93800000000002</v>
          </cell>
        </row>
        <row r="138">
          <cell r="N138">
            <v>7.1299999999999955</v>
          </cell>
          <cell r="O138">
            <v>366.98109999999974</v>
          </cell>
          <cell r="P138">
            <v>1.9</v>
          </cell>
          <cell r="Q138">
            <v>97.792999999999992</v>
          </cell>
          <cell r="R138">
            <v>269.18809999999974</v>
          </cell>
        </row>
        <row r="139">
          <cell r="N139">
            <v>0.76999999999999602</v>
          </cell>
          <cell r="O139">
            <v>484.29919999999754</v>
          </cell>
          <cell r="P139">
            <v>0.3</v>
          </cell>
          <cell r="Q139">
            <v>188.68800000000002</v>
          </cell>
          <cell r="R139">
            <v>295.61119999999755</v>
          </cell>
        </row>
        <row r="140">
          <cell r="N140">
            <v>3.25</v>
          </cell>
          <cell r="O140">
            <v>469.39750000000004</v>
          </cell>
          <cell r="P140">
            <v>1.24</v>
          </cell>
          <cell r="Q140">
            <v>179.0932</v>
          </cell>
          <cell r="R140">
            <v>290.30430000000001</v>
          </cell>
        </row>
        <row r="141">
          <cell r="N141">
            <v>10.64</v>
          </cell>
          <cell r="O141">
            <v>348.88560000000001</v>
          </cell>
          <cell r="P141">
            <v>2.72</v>
          </cell>
          <cell r="Q141">
            <v>89.188800000000001</v>
          </cell>
          <cell r="R141">
            <v>259.6968</v>
          </cell>
        </row>
        <row r="142">
          <cell r="N142">
            <v>7.259999999999998</v>
          </cell>
          <cell r="O142">
            <v>572.23319999999978</v>
          </cell>
          <cell r="P142">
            <v>2.0499999999999998</v>
          </cell>
          <cell r="Q142">
            <v>161.58099999999996</v>
          </cell>
          <cell r="R142">
            <v>410.65219999999982</v>
          </cell>
        </row>
        <row r="143">
          <cell r="N143">
            <v>40</v>
          </cell>
          <cell r="O143">
            <v>425.20000000000005</v>
          </cell>
          <cell r="P143">
            <v>40</v>
          </cell>
          <cell r="Q143">
            <v>425.20000000000005</v>
          </cell>
          <cell r="R143">
            <v>0</v>
          </cell>
        </row>
        <row r="144">
          <cell r="N144">
            <v>3.230000000000004</v>
          </cell>
          <cell r="O144">
            <v>570.6118000000007</v>
          </cell>
          <cell r="P144">
            <v>1.36</v>
          </cell>
          <cell r="Q144">
            <v>240.25760000000002</v>
          </cell>
          <cell r="R144">
            <v>330.35420000000067</v>
          </cell>
        </row>
        <row r="145">
          <cell r="N145">
            <v>6.1200000000000045</v>
          </cell>
          <cell r="O145">
            <v>531.64440000000047</v>
          </cell>
          <cell r="P145">
            <v>0.6</v>
          </cell>
          <cell r="Q145">
            <v>52.122</v>
          </cell>
          <cell r="R145">
            <v>479.52240000000046</v>
          </cell>
        </row>
        <row r="146">
          <cell r="N146">
            <v>1.3900000000000006</v>
          </cell>
          <cell r="O146">
            <v>871.72460000000035</v>
          </cell>
          <cell r="P146">
            <v>0.2</v>
          </cell>
          <cell r="Q146">
            <v>125.428</v>
          </cell>
          <cell r="R146">
            <v>746.29660000000035</v>
          </cell>
        </row>
        <row r="147">
          <cell r="N147">
            <v>1.4500000000000002</v>
          </cell>
          <cell r="O147">
            <v>356.77250000000004</v>
          </cell>
          <cell r="P147">
            <v>0</v>
          </cell>
          <cell r="Q147">
            <v>0</v>
          </cell>
          <cell r="R147">
            <v>356.77250000000004</v>
          </cell>
        </row>
        <row r="148">
          <cell r="N148">
            <v>7.8099999999999952</v>
          </cell>
          <cell r="O148">
            <v>463.67969999999968</v>
          </cell>
          <cell r="P148">
            <v>2.85</v>
          </cell>
          <cell r="Q148">
            <v>169.2045</v>
          </cell>
          <cell r="R148">
            <v>294.47519999999969</v>
          </cell>
        </row>
        <row r="149">
          <cell r="N149">
            <v>11.850000000000001</v>
          </cell>
          <cell r="O149">
            <v>402.42600000000004</v>
          </cell>
          <cell r="P149">
            <v>3.8</v>
          </cell>
          <cell r="Q149">
            <v>129.048</v>
          </cell>
          <cell r="R149">
            <v>273.37800000000004</v>
          </cell>
        </row>
        <row r="150">
          <cell r="N150">
            <v>0.76999999999999602</v>
          </cell>
          <cell r="O150">
            <v>533.29429999999729</v>
          </cell>
          <cell r="P150">
            <v>0.3</v>
          </cell>
          <cell r="Q150">
            <v>207.77700000000002</v>
          </cell>
          <cell r="R150">
            <v>325.51729999999725</v>
          </cell>
        </row>
        <row r="151">
          <cell r="N151">
            <v>54</v>
          </cell>
          <cell r="O151">
            <v>152.82</v>
          </cell>
          <cell r="P151">
            <v>54</v>
          </cell>
          <cell r="Q151">
            <v>152.82</v>
          </cell>
          <cell r="R151">
            <v>0</v>
          </cell>
        </row>
        <row r="152">
          <cell r="N152">
            <v>0.73999999999999844</v>
          </cell>
          <cell r="O152">
            <v>174.81019999999961</v>
          </cell>
          <cell r="P152">
            <v>0.3</v>
          </cell>
          <cell r="Q152">
            <v>70.869</v>
          </cell>
          <cell r="R152">
            <v>103.94119999999961</v>
          </cell>
        </row>
        <row r="153">
          <cell r="N153">
            <v>10.189999999999984</v>
          </cell>
          <cell r="O153">
            <v>1160.3352999999981</v>
          </cell>
          <cell r="P153">
            <v>0</v>
          </cell>
          <cell r="Q153">
            <v>0</v>
          </cell>
          <cell r="R153">
            <v>1160.3352999999981</v>
          </cell>
        </row>
        <row r="154">
          <cell r="N154">
            <v>3.7899999999999991</v>
          </cell>
          <cell r="O154">
            <v>442.1792999999999</v>
          </cell>
          <cell r="P154">
            <v>0</v>
          </cell>
          <cell r="Q154">
            <v>0</v>
          </cell>
          <cell r="R154">
            <v>442.1792999999999</v>
          </cell>
        </row>
        <row r="155">
          <cell r="N155">
            <v>1.5400000000000027</v>
          </cell>
          <cell r="O155">
            <v>955.32360000000176</v>
          </cell>
          <cell r="P155">
            <v>0.24</v>
          </cell>
          <cell r="Q155">
            <v>148.88159999999999</v>
          </cell>
          <cell r="R155">
            <v>806.44200000000183</v>
          </cell>
        </row>
        <row r="156">
          <cell r="N156">
            <v>3.6799999999999997</v>
          </cell>
          <cell r="O156">
            <v>498.78719999999993</v>
          </cell>
          <cell r="P156">
            <v>1.25</v>
          </cell>
          <cell r="Q156">
            <v>169.42499999999998</v>
          </cell>
          <cell r="R156">
            <v>329.36219999999992</v>
          </cell>
        </row>
        <row r="157">
          <cell r="N157">
            <v>6.9199999999999946</v>
          </cell>
          <cell r="O157">
            <v>521.35279999999966</v>
          </cell>
          <cell r="P157">
            <v>2.6</v>
          </cell>
          <cell r="Q157">
            <v>195.88400000000001</v>
          </cell>
          <cell r="R157">
            <v>325.46879999999965</v>
          </cell>
        </row>
        <row r="158"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</row>
        <row r="159">
          <cell r="N159">
            <v>10</v>
          </cell>
          <cell r="O159">
            <v>689.4</v>
          </cell>
          <cell r="P159">
            <v>2.12</v>
          </cell>
          <cell r="Q159">
            <v>146.15280000000001</v>
          </cell>
          <cell r="R159">
            <v>543.24720000000002</v>
          </cell>
        </row>
        <row r="160">
          <cell r="N160">
            <v>3.1700000000000017</v>
          </cell>
          <cell r="O160">
            <v>820.71300000000042</v>
          </cell>
          <cell r="P160">
            <v>0.2</v>
          </cell>
          <cell r="Q160">
            <v>51.78</v>
          </cell>
          <cell r="R160">
            <v>768.93300000000045</v>
          </cell>
        </row>
        <row r="161">
          <cell r="N161">
            <v>1.1899999999999977</v>
          </cell>
          <cell r="O161">
            <v>343.81479999999937</v>
          </cell>
          <cell r="P161">
            <v>0.43</v>
          </cell>
          <cell r="Q161">
            <v>124.23560000000001</v>
          </cell>
          <cell r="R161">
            <v>219.57919999999936</v>
          </cell>
        </row>
        <row r="162">
          <cell r="N162">
            <v>4.09</v>
          </cell>
          <cell r="O162">
            <v>486.54639999999995</v>
          </cell>
          <cell r="P162">
            <v>0.9</v>
          </cell>
          <cell r="Q162">
            <v>107.06399999999999</v>
          </cell>
          <cell r="R162">
            <v>379.48239999999998</v>
          </cell>
        </row>
        <row r="163">
          <cell r="N163">
            <v>17</v>
          </cell>
          <cell r="O163">
            <v>66.81</v>
          </cell>
          <cell r="P163">
            <v>0</v>
          </cell>
          <cell r="Q163">
            <v>0</v>
          </cell>
          <cell r="R163">
            <v>66.81</v>
          </cell>
        </row>
        <row r="164">
          <cell r="N164">
            <v>2.5400000000000063</v>
          </cell>
          <cell r="O164">
            <v>259.76580000000064</v>
          </cell>
          <cell r="P164">
            <v>2.54</v>
          </cell>
          <cell r="Q164">
            <v>259.76580000000001</v>
          </cell>
          <cell r="R164">
            <v>6.2527760746888816E-13</v>
          </cell>
        </row>
        <row r="165">
          <cell r="N165">
            <v>2</v>
          </cell>
          <cell r="O165">
            <v>4.88</v>
          </cell>
          <cell r="P165">
            <v>0</v>
          </cell>
          <cell r="Q165">
            <v>0</v>
          </cell>
          <cell r="R165">
            <v>4.88</v>
          </cell>
        </row>
        <row r="166">
          <cell r="N166">
            <v>2.9200000000000017</v>
          </cell>
          <cell r="O166">
            <v>298.54080000000016</v>
          </cell>
          <cell r="P166">
            <v>2.92</v>
          </cell>
          <cell r="Q166">
            <v>298.54079999999999</v>
          </cell>
          <cell r="R166">
            <v>0</v>
          </cell>
        </row>
        <row r="167">
          <cell r="N167">
            <v>1.389999999999997</v>
          </cell>
          <cell r="O167">
            <v>504.69509999999889</v>
          </cell>
          <cell r="P167">
            <v>0.55000000000000004</v>
          </cell>
          <cell r="Q167">
            <v>199.6995</v>
          </cell>
          <cell r="R167">
            <v>304.99559999999889</v>
          </cell>
        </row>
        <row r="168">
          <cell r="N168">
            <v>6</v>
          </cell>
          <cell r="O168">
            <v>81.960000000000008</v>
          </cell>
          <cell r="P168">
            <v>6</v>
          </cell>
          <cell r="Q168">
            <v>81.960000000000008</v>
          </cell>
          <cell r="R168">
            <v>0</v>
          </cell>
        </row>
        <row r="169">
          <cell r="N169">
            <v>8</v>
          </cell>
          <cell r="O169">
            <v>122.4</v>
          </cell>
          <cell r="P169">
            <v>8</v>
          </cell>
          <cell r="Q169">
            <v>122.4</v>
          </cell>
          <cell r="R169">
            <v>0</v>
          </cell>
        </row>
        <row r="170"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N171">
            <v>4.5499999999999972</v>
          </cell>
          <cell r="O171">
            <v>568.34049999999968</v>
          </cell>
          <cell r="P171">
            <v>1.5</v>
          </cell>
          <cell r="Q171">
            <v>187.36500000000001</v>
          </cell>
          <cell r="R171">
            <v>380.97549999999967</v>
          </cell>
        </row>
        <row r="172">
          <cell r="N172">
            <v>4</v>
          </cell>
          <cell r="O172">
            <v>52.04</v>
          </cell>
          <cell r="P172">
            <v>0</v>
          </cell>
          <cell r="Q172">
            <v>0</v>
          </cell>
          <cell r="R172">
            <v>52.04</v>
          </cell>
        </row>
        <row r="173">
          <cell r="N173">
            <v>4.0900000000000034</v>
          </cell>
          <cell r="O173">
            <v>466.66900000000038</v>
          </cell>
          <cell r="P173">
            <v>0.6</v>
          </cell>
          <cell r="Q173">
            <v>68.459999999999994</v>
          </cell>
          <cell r="R173">
            <v>398.2090000000004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3.1699999999999982</v>
          </cell>
          <cell r="O175">
            <v>548.85379999999964</v>
          </cell>
          <cell r="P175">
            <v>0.6</v>
          </cell>
          <cell r="Q175">
            <v>103.88399999999999</v>
          </cell>
          <cell r="R175">
            <v>444.96979999999962</v>
          </cell>
        </row>
        <row r="176">
          <cell r="N176">
            <v>4</v>
          </cell>
          <cell r="O176">
            <v>45.64</v>
          </cell>
          <cell r="P176">
            <v>4</v>
          </cell>
          <cell r="Q176">
            <v>45.64</v>
          </cell>
          <cell r="R176">
            <v>0</v>
          </cell>
        </row>
        <row r="177">
          <cell r="N177">
            <v>4</v>
          </cell>
          <cell r="O177">
            <v>55.64</v>
          </cell>
          <cell r="P177">
            <v>4</v>
          </cell>
          <cell r="Q177">
            <v>55.64</v>
          </cell>
          <cell r="R177">
            <v>0</v>
          </cell>
        </row>
        <row r="178">
          <cell r="N178" t="str">
            <v>總計</v>
          </cell>
          <cell r="O178">
            <v>76715.72659999998</v>
          </cell>
          <cell r="P178" t="str">
            <v>總計</v>
          </cell>
          <cell r="Q178">
            <v>19329.102699999989</v>
          </cell>
          <cell r="R178">
            <v>57386.623899999991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FFA2-2399-45F5-9C8A-5C584F6B83C6}">
  <sheetPr>
    <tabColor rgb="FFFF0000"/>
  </sheetPr>
  <dimension ref="A1:AA52"/>
  <sheetViews>
    <sheetView tabSelected="1" zoomScale="70" zoomScaleNormal="70" workbookViewId="0">
      <selection activeCell="V34" sqref="V34"/>
    </sheetView>
  </sheetViews>
  <sheetFormatPr defaultColWidth="8" defaultRowHeight="16.5" x14ac:dyDescent="0.25"/>
  <cols>
    <col min="1" max="1" width="17.75" style="1" customWidth="1"/>
    <col min="2" max="2" width="16" style="1" bestFit="1" customWidth="1"/>
    <col min="3" max="6" width="13.75" style="1" customWidth="1"/>
    <col min="7" max="10" width="17.75" style="1" customWidth="1"/>
    <col min="11" max="11" width="16.5" style="1" bestFit="1" customWidth="1"/>
    <col min="12" max="12" width="15.375" style="1" customWidth="1"/>
    <col min="13" max="20" width="8" style="1"/>
    <col min="21" max="21" width="71.375" style="1" customWidth="1"/>
    <col min="22" max="22" width="17.125" style="1" bestFit="1" customWidth="1"/>
    <col min="23" max="16384" width="8" style="1"/>
  </cols>
  <sheetData>
    <row r="1" spans="1:27" ht="27" x14ac:dyDescent="0.2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 t="s">
        <v>1</v>
      </c>
      <c r="N1" s="88"/>
      <c r="O1" s="88"/>
      <c r="P1" s="88"/>
      <c r="Q1" s="88"/>
      <c r="R1" s="88"/>
      <c r="S1" s="88"/>
      <c r="T1" s="88"/>
      <c r="U1" s="88"/>
      <c r="V1" s="89" t="s">
        <v>2</v>
      </c>
    </row>
    <row r="2" spans="1:27" ht="16.5" customHeight="1" x14ac:dyDescent="0.25">
      <c r="A2" s="90" t="s">
        <v>3</v>
      </c>
      <c r="B2" s="90" t="s">
        <v>4</v>
      </c>
      <c r="C2" s="90" t="s">
        <v>5</v>
      </c>
      <c r="D2" s="90" t="s">
        <v>6</v>
      </c>
      <c r="E2" s="90" t="s">
        <v>7</v>
      </c>
      <c r="F2" s="90" t="s">
        <v>8</v>
      </c>
      <c r="G2" s="90" t="s">
        <v>9</v>
      </c>
      <c r="H2" s="90"/>
      <c r="I2" s="90" t="s">
        <v>10</v>
      </c>
      <c r="J2" s="90"/>
      <c r="K2" s="90" t="s">
        <v>11</v>
      </c>
      <c r="L2" s="90"/>
      <c r="M2" s="88"/>
      <c r="N2" s="88"/>
      <c r="O2" s="88"/>
      <c r="P2" s="88"/>
      <c r="Q2" s="88"/>
      <c r="R2" s="88"/>
      <c r="S2" s="88"/>
      <c r="T2" s="88"/>
      <c r="U2" s="88"/>
      <c r="V2" s="89"/>
    </row>
    <row r="3" spans="1:27" ht="37.5" customHeight="1" x14ac:dyDescent="0.25">
      <c r="A3" s="90"/>
      <c r="B3" s="90"/>
      <c r="C3" s="90"/>
      <c r="D3" s="90"/>
      <c r="E3" s="90"/>
      <c r="F3" s="90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88"/>
      <c r="N3" s="88"/>
      <c r="O3" s="88"/>
      <c r="P3" s="88"/>
      <c r="Q3" s="88"/>
      <c r="R3" s="88"/>
      <c r="S3" s="88"/>
      <c r="T3" s="88"/>
      <c r="U3" s="88"/>
      <c r="V3" s="89"/>
    </row>
    <row r="4" spans="1:27" ht="18.75" x14ac:dyDescent="0.25">
      <c r="A4" s="3">
        <v>45901</v>
      </c>
      <c r="B4" s="4">
        <f>'0901分析標準表'!$C$3</f>
        <v>7806641.3300000001</v>
      </c>
      <c r="C4" s="5">
        <f>'0901分析標準表'!$D$5</f>
        <v>18890.799099999997</v>
      </c>
      <c r="D4" s="6">
        <f t="shared" ref="D4" si="0">C4/B4</f>
        <v>2.4198369441420201E-3</v>
      </c>
      <c r="E4" s="5">
        <f>'0901分析標準表'!$F$5</f>
        <v>57786.602399999967</v>
      </c>
      <c r="F4" s="7">
        <f t="shared" ref="F4" si="1">E4/B4</f>
        <v>7.4022361163094408E-3</v>
      </c>
      <c r="G4" s="4">
        <f>'0901分析標準表'!$H$5</f>
        <v>4046.0188999999996</v>
      </c>
      <c r="H4" s="7">
        <f t="shared" ref="H4" si="2">G4/C4</f>
        <v>0.21417934088346746</v>
      </c>
      <c r="I4" s="8">
        <f>'0901分析標準表'!$J$5</f>
        <v>13156.282299999972</v>
      </c>
      <c r="J4" s="7">
        <f t="shared" ref="J4" si="3">I4/E4</f>
        <v>0.22767011302952081</v>
      </c>
      <c r="K4" s="9">
        <f>'0901分析標準表'!$L$5</f>
        <v>2627.0036999999998</v>
      </c>
      <c r="L4" s="10">
        <f t="shared" ref="L4" si="4">K4/C4</f>
        <v>0.13906260323312633</v>
      </c>
      <c r="M4" s="84" t="s">
        <v>215</v>
      </c>
      <c r="N4" s="84"/>
      <c r="O4" s="84"/>
      <c r="P4" s="84"/>
      <c r="Q4" s="84"/>
      <c r="R4" s="84"/>
      <c r="S4" s="84"/>
      <c r="T4" s="84"/>
      <c r="U4" s="84"/>
      <c r="V4" s="11">
        <v>165</v>
      </c>
    </row>
    <row r="5" spans="1:27" ht="18.75" x14ac:dyDescent="0.25">
      <c r="A5" s="3">
        <f>A4+1</f>
        <v>45902</v>
      </c>
      <c r="B5" s="4">
        <f>'0902分析標準表'!$C$3</f>
        <v>8169292.4199999999</v>
      </c>
      <c r="C5" s="5">
        <f>'0902分析標準表'!$D$5</f>
        <v>19804.523799999995</v>
      </c>
      <c r="D5" s="6">
        <f t="shared" ref="D5:D33" si="5">C5/B5</f>
        <v>2.4242642791822105E-3</v>
      </c>
      <c r="E5" s="5">
        <f>'0902分析標準表'!$F$5</f>
        <v>60496.908400000029</v>
      </c>
      <c r="F5" s="7">
        <f t="shared" ref="F5:F33" si="6">E5/B5</f>
        <v>7.405403710594562E-3</v>
      </c>
      <c r="G5" s="4">
        <f>'0902分析標準表'!$H$5</f>
        <v>4567.9904999999999</v>
      </c>
      <c r="H5" s="7">
        <f t="shared" ref="H5:H33" si="7">G5/C5</f>
        <v>0.23065389231928923</v>
      </c>
      <c r="I5" s="8">
        <f>'0902分析標準表'!$J$5</f>
        <v>16402.992699999995</v>
      </c>
      <c r="J5" s="7">
        <f t="shared" ref="J5:J33" si="8">I5/E5</f>
        <v>0.27113770164162615</v>
      </c>
      <c r="K5" s="9">
        <f>'0902分析標準表'!$L$5</f>
        <v>2613.1788999999999</v>
      </c>
      <c r="L5" s="10">
        <f t="shared" ref="L5:L33" si="9">K5/C5</f>
        <v>0.13194858540350263</v>
      </c>
      <c r="M5" s="84" t="s">
        <v>216</v>
      </c>
      <c r="N5" s="84"/>
      <c r="O5" s="84"/>
      <c r="P5" s="84"/>
      <c r="Q5" s="84"/>
      <c r="R5" s="84"/>
      <c r="S5" s="84"/>
      <c r="T5" s="84"/>
      <c r="U5" s="84"/>
      <c r="V5" s="11">
        <v>168</v>
      </c>
    </row>
    <row r="6" spans="1:27" ht="18.75" x14ac:dyDescent="0.25">
      <c r="A6" s="12">
        <f t="shared" ref="A6:A33" si="10">A5+1</f>
        <v>45903</v>
      </c>
      <c r="B6" s="4">
        <f>'0903分析標準表'!$C$3</f>
        <v>7774607.1799999997</v>
      </c>
      <c r="C6" s="5">
        <f>'0903分析標準表'!$D$5</f>
        <v>18796.060799999996</v>
      </c>
      <c r="D6" s="6">
        <f t="shared" si="5"/>
        <v>2.4176219280058848E-3</v>
      </c>
      <c r="E6" s="5">
        <f>'0903分析標準表'!$F$5</f>
        <v>57180.863099999995</v>
      </c>
      <c r="F6" s="7">
        <f t="shared" si="6"/>
        <v>7.3548234368800607E-3</v>
      </c>
      <c r="G6" s="4">
        <f>'0903分析標準表'!$H$5</f>
        <v>4000.8862999999997</v>
      </c>
      <c r="H6" s="7">
        <f t="shared" si="7"/>
        <v>0.21285770154563452</v>
      </c>
      <c r="I6" s="8">
        <f>'0903分析標準表'!$J$5</f>
        <v>14191.893499999982</v>
      </c>
      <c r="J6" s="7">
        <f t="shared" si="8"/>
        <v>0.24819306198964988</v>
      </c>
      <c r="K6" s="9">
        <f>'0903分析標準表'!$L$5</f>
        <v>2163.5178999999998</v>
      </c>
      <c r="L6" s="10">
        <f t="shared" si="9"/>
        <v>0.11510485750290829</v>
      </c>
      <c r="M6" s="84" t="s">
        <v>217</v>
      </c>
      <c r="N6" s="84"/>
      <c r="O6" s="84"/>
      <c r="P6" s="84"/>
      <c r="Q6" s="84"/>
      <c r="R6" s="84"/>
      <c r="S6" s="84"/>
      <c r="T6" s="84"/>
      <c r="U6" s="84"/>
      <c r="V6" s="11">
        <v>168</v>
      </c>
    </row>
    <row r="7" spans="1:27" ht="18.75" x14ac:dyDescent="0.25">
      <c r="A7" s="3">
        <f t="shared" si="10"/>
        <v>45904</v>
      </c>
      <c r="B7" s="4">
        <f>'0904分析標準表'!$C$3</f>
        <v>6925705.3300000001</v>
      </c>
      <c r="C7" s="5">
        <f>'0904分析標準表'!$D$5</f>
        <v>16721.350999999999</v>
      </c>
      <c r="D7" s="6">
        <f t="shared" si="5"/>
        <v>2.414389611346632E-3</v>
      </c>
      <c r="E7" s="5">
        <f>'0904分析標準表'!$F$5</f>
        <v>50847.621100000004</v>
      </c>
      <c r="F7" s="7">
        <f t="shared" si="6"/>
        <v>7.3418689761090379E-3</v>
      </c>
      <c r="G7" s="4">
        <f>'0904分析標準表'!$H$5</f>
        <v>4283.4052999999994</v>
      </c>
      <c r="H7" s="7">
        <f t="shared" si="7"/>
        <v>0.25616382910687058</v>
      </c>
      <c r="I7" s="8">
        <f>'0904分析標準表'!$J$5</f>
        <v>19270.510699999992</v>
      </c>
      <c r="J7" s="7">
        <f t="shared" si="8"/>
        <v>0.37898549200760917</v>
      </c>
      <c r="K7" s="9">
        <f>'0904分析標準表'!$L$5</f>
        <v>2640.4545999999996</v>
      </c>
      <c r="L7" s="10">
        <f t="shared" si="9"/>
        <v>0.15790916654999945</v>
      </c>
      <c r="M7" s="84" t="s">
        <v>218</v>
      </c>
      <c r="N7" s="84"/>
      <c r="O7" s="84"/>
      <c r="P7" s="84"/>
      <c r="Q7" s="84"/>
      <c r="R7" s="84"/>
      <c r="S7" s="84"/>
      <c r="T7" s="84"/>
      <c r="U7" s="84"/>
      <c r="V7" s="11">
        <v>168</v>
      </c>
    </row>
    <row r="8" spans="1:27" ht="18.75" x14ac:dyDescent="0.25">
      <c r="A8" s="3">
        <f t="shared" si="10"/>
        <v>45905</v>
      </c>
      <c r="B8" s="4">
        <f>'0905分析標準表'!$C$3</f>
        <v>5813361.7999999998</v>
      </c>
      <c r="C8" s="5">
        <f>'0905分析標準表'!$D$5</f>
        <v>14011.297800000006</v>
      </c>
      <c r="D8" s="6">
        <f t="shared" ref="D8:D9" si="11">C8/B8</f>
        <v>2.4101885074484797E-3</v>
      </c>
      <c r="E8" s="5">
        <f>'0905分析標準表'!$F$5</f>
        <v>41910.745399999978</v>
      </c>
      <c r="F8" s="7">
        <f t="shared" ref="F8:F9" si="12">E8/B8</f>
        <v>7.2093819104807793E-3</v>
      </c>
      <c r="G8" s="4">
        <f>'0905分析標準表'!$H$5</f>
        <v>3162.0397999999996</v>
      </c>
      <c r="H8" s="7">
        <f t="shared" ref="H8:H9" si="13">G8/C8</f>
        <v>0.2256778668996671</v>
      </c>
      <c r="I8" s="8">
        <f>'0905分析標準表'!$J$5</f>
        <v>16692.995599999987</v>
      </c>
      <c r="J8" s="7">
        <f t="shared" ref="J8:J9" si="14">I8/E8</f>
        <v>0.39829870456085936</v>
      </c>
      <c r="K8" s="9">
        <f>'0905分析標準表'!$L$5</f>
        <v>2269.5210999999999</v>
      </c>
      <c r="L8" s="10">
        <f t="shared" ref="L8:L9" si="15">K8/C8</f>
        <v>0.16197793611952199</v>
      </c>
      <c r="M8" s="84" t="s">
        <v>219</v>
      </c>
      <c r="N8" s="84"/>
      <c r="O8" s="84"/>
      <c r="P8" s="84"/>
      <c r="Q8" s="84"/>
      <c r="R8" s="84"/>
      <c r="S8" s="84"/>
      <c r="T8" s="84"/>
      <c r="U8" s="84"/>
      <c r="V8" s="11">
        <v>168</v>
      </c>
      <c r="Y8" s="13"/>
      <c r="Z8" s="13"/>
    </row>
    <row r="9" spans="1:27" ht="18.75" x14ac:dyDescent="0.25">
      <c r="A9" s="3">
        <f t="shared" si="10"/>
        <v>45906</v>
      </c>
      <c r="B9" s="4">
        <f>'0906分析標準表'!$C$3</f>
        <v>6064269.0899999999</v>
      </c>
      <c r="C9" s="5">
        <f>'0906分析標準表'!$D$5</f>
        <v>14614.187100000005</v>
      </c>
      <c r="D9" s="6">
        <f t="shared" si="11"/>
        <v>2.4098843377677367E-3</v>
      </c>
      <c r="E9" s="5">
        <f>'0906分析標準表'!$F$5</f>
        <v>43815.584400000014</v>
      </c>
      <c r="F9" s="7">
        <f t="shared" si="12"/>
        <v>7.2252045134758381E-3</v>
      </c>
      <c r="G9" s="4">
        <f>'0906分析標準表'!$H$5</f>
        <v>4195.5953999999992</v>
      </c>
      <c r="H9" s="7">
        <f t="shared" si="13"/>
        <v>0.28709057652614822</v>
      </c>
      <c r="I9" s="8">
        <f>'0906分析標準表'!$J$5</f>
        <v>19012.177499999976</v>
      </c>
      <c r="J9" s="7">
        <f t="shared" si="14"/>
        <v>0.43391358943052166</v>
      </c>
      <c r="K9" s="9">
        <f>'0906分析標準表'!$L$5</f>
        <v>2184.1961000000001</v>
      </c>
      <c r="L9" s="10">
        <f t="shared" si="15"/>
        <v>0.14945724213425457</v>
      </c>
      <c r="M9" s="84" t="s">
        <v>220</v>
      </c>
      <c r="N9" s="84"/>
      <c r="O9" s="84"/>
      <c r="P9" s="84"/>
      <c r="Q9" s="84"/>
      <c r="R9" s="84"/>
      <c r="S9" s="84"/>
      <c r="T9" s="84"/>
      <c r="U9" s="84"/>
      <c r="V9" s="11">
        <v>168</v>
      </c>
    </row>
    <row r="10" spans="1:27" ht="18.75" x14ac:dyDescent="0.25">
      <c r="A10" s="3">
        <f t="shared" si="10"/>
        <v>45907</v>
      </c>
      <c r="B10" s="4">
        <f>'0907分析標準表'!$C$3</f>
        <v>8031264.3600000003</v>
      </c>
      <c r="C10" s="5">
        <f>'0907分析標準表'!$D$5</f>
        <v>19417.672999999999</v>
      </c>
      <c r="D10" s="6">
        <f t="shared" ref="D10:D11" si="16">C10/B10</f>
        <v>2.4177604085242684E-3</v>
      </c>
      <c r="E10" s="5">
        <f>'0907分析標準表'!$F$5</f>
        <v>58646.033500000012</v>
      </c>
      <c r="F10" s="7">
        <f t="shared" ref="F10:F11" si="17">E10/B10</f>
        <v>7.3022167956627955E-3</v>
      </c>
      <c r="G10" s="4">
        <f>'0907分析標準表'!$H$5</f>
        <v>2976.0915</v>
      </c>
      <c r="H10" s="7">
        <f t="shared" ref="H10:H11" si="18">G10/C10</f>
        <v>0.15326715513233743</v>
      </c>
      <c r="I10" s="8">
        <f>'0907分析標準表'!$J$5</f>
        <v>18030.284100000012</v>
      </c>
      <c r="J10" s="7">
        <f t="shared" ref="J10:J11" si="19">I10/E10</f>
        <v>0.30744251612515289</v>
      </c>
      <c r="K10" s="9">
        <f>'0907分析標準表'!$L$5</f>
        <v>2858.7592</v>
      </c>
      <c r="L10" s="10">
        <f t="shared" si="9"/>
        <v>0.14722460307164509</v>
      </c>
      <c r="M10" s="84" t="s">
        <v>221</v>
      </c>
      <c r="N10" s="84"/>
      <c r="O10" s="84"/>
      <c r="P10" s="84"/>
      <c r="Q10" s="84"/>
      <c r="R10" s="84"/>
      <c r="S10" s="84"/>
      <c r="T10" s="84"/>
      <c r="U10" s="84"/>
      <c r="V10" s="11">
        <v>168</v>
      </c>
    </row>
    <row r="11" spans="1:27" ht="18.75" x14ac:dyDescent="0.25">
      <c r="A11" s="3">
        <f t="shared" si="10"/>
        <v>45908</v>
      </c>
      <c r="B11" s="4">
        <f>'0908分析標準表'!$C$3</f>
        <v>7945762.29</v>
      </c>
      <c r="C11" s="5">
        <f>'0908分析標準表'!$D$5</f>
        <v>19226.279599999991</v>
      </c>
      <c r="D11" s="6">
        <f t="shared" si="16"/>
        <v>2.4196897538952163E-3</v>
      </c>
      <c r="E11" s="5">
        <f>'0908分析標準表'!$F$5</f>
        <v>57407.437200000008</v>
      </c>
      <c r="F11" s="7">
        <f t="shared" si="17"/>
        <v>7.2249124885411095E-3</v>
      </c>
      <c r="G11" s="4">
        <f>'0908分析標準表'!$H$5</f>
        <v>3542.9085999999998</v>
      </c>
      <c r="H11" s="7">
        <f t="shared" si="18"/>
        <v>0.18427426801803098</v>
      </c>
      <c r="I11" s="8">
        <f>'0908分析標準表'!$J$5</f>
        <v>15998.349600000021</v>
      </c>
      <c r="J11" s="7">
        <f t="shared" si="19"/>
        <v>0.27868078388979223</v>
      </c>
      <c r="K11" s="9">
        <f>'0908分析標準表'!$L$5</f>
        <v>2450.7745</v>
      </c>
      <c r="L11" s="10">
        <f t="shared" si="9"/>
        <v>0.12747003325594003</v>
      </c>
      <c r="M11" s="84" t="s">
        <v>217</v>
      </c>
      <c r="N11" s="84"/>
      <c r="O11" s="84"/>
      <c r="P11" s="84"/>
      <c r="Q11" s="84"/>
      <c r="R11" s="84"/>
      <c r="S11" s="84"/>
      <c r="T11" s="84"/>
      <c r="U11" s="84"/>
      <c r="V11" s="11">
        <v>169</v>
      </c>
    </row>
    <row r="12" spans="1:27" ht="18.75" x14ac:dyDescent="0.25">
      <c r="A12" s="3">
        <f t="shared" si="10"/>
        <v>45909</v>
      </c>
      <c r="B12" s="4">
        <f>'0909分析標準表'!$C$3</f>
        <v>7852972.2199999997</v>
      </c>
      <c r="C12" s="5">
        <f>'0909分析標準表'!$D$5</f>
        <v>18989.067600000009</v>
      </c>
      <c r="D12" s="6">
        <f t="shared" ref="D12:D14" si="20">C12/B12</f>
        <v>2.4180739556977585E-3</v>
      </c>
      <c r="E12" s="5">
        <f>'0909分析標準表'!$F$5</f>
        <v>56792.052099999979</v>
      </c>
      <c r="F12" s="7">
        <f t="shared" ref="F12:F14" si="21">E12/B12</f>
        <v>7.2319181208054728E-3</v>
      </c>
      <c r="G12" s="4">
        <f>'0909分析標準表'!$H$5</f>
        <v>6211.8667999999998</v>
      </c>
      <c r="H12" s="7">
        <f t="shared" ref="H12:H14" si="22">G12/C12</f>
        <v>0.32712858423864882</v>
      </c>
      <c r="I12" s="8">
        <f>'0909分析標準表'!$J$5</f>
        <v>13180.341699999964</v>
      </c>
      <c r="J12" s="7">
        <f t="shared" ref="J12:J14" si="23">I12/E12</f>
        <v>0.23208074391803796</v>
      </c>
      <c r="K12" s="9">
        <f>'0909分析標準表'!$L$5</f>
        <v>3586.7374</v>
      </c>
      <c r="L12" s="10">
        <f t="shared" si="9"/>
        <v>0.18888433468950303</v>
      </c>
      <c r="M12" s="84" t="s">
        <v>222</v>
      </c>
      <c r="N12" s="84"/>
      <c r="O12" s="84"/>
      <c r="P12" s="84"/>
      <c r="Q12" s="84"/>
      <c r="R12" s="84"/>
      <c r="S12" s="84"/>
      <c r="T12" s="84"/>
      <c r="U12" s="84"/>
      <c r="V12" s="11">
        <v>170</v>
      </c>
    </row>
    <row r="13" spans="1:27" ht="18.75" x14ac:dyDescent="0.25">
      <c r="A13" s="12">
        <f t="shared" si="10"/>
        <v>45910</v>
      </c>
      <c r="B13" s="4">
        <f>'0910分析標準表'!$C$3</f>
        <v>7585453.29</v>
      </c>
      <c r="C13" s="5">
        <f>'0910分析標準表'!$D$5</f>
        <v>18325.580500000011</v>
      </c>
      <c r="D13" s="6">
        <f t="shared" si="20"/>
        <v>2.4158846939521541E-3</v>
      </c>
      <c r="E13" s="5">
        <f>'0910分析標準表'!$F$5</f>
        <v>54158.092599999996</v>
      </c>
      <c r="F13" s="7">
        <f t="shared" si="21"/>
        <v>7.1397305512904945E-3</v>
      </c>
      <c r="G13" s="4">
        <f>'0910分析標準表'!$H$5</f>
        <v>4007.0427999999997</v>
      </c>
      <c r="H13" s="7">
        <f t="shared" si="22"/>
        <v>0.21865843758673825</v>
      </c>
      <c r="I13" s="8">
        <f>'0910分析標準表'!$J$5</f>
        <v>14337.106299999992</v>
      </c>
      <c r="J13" s="7">
        <f t="shared" si="23"/>
        <v>0.26472694313462569</v>
      </c>
      <c r="K13" s="9">
        <f>'0910分析標準表'!$L$5</f>
        <v>2265.1703000000002</v>
      </c>
      <c r="L13" s="10">
        <f t="shared" si="9"/>
        <v>0.12360701479552033</v>
      </c>
      <c r="M13" s="84" t="s">
        <v>223</v>
      </c>
      <c r="N13" s="84"/>
      <c r="O13" s="84"/>
      <c r="P13" s="84"/>
      <c r="Q13" s="84"/>
      <c r="R13" s="84"/>
      <c r="S13" s="84"/>
      <c r="T13" s="84"/>
      <c r="U13" s="84"/>
      <c r="V13" s="11">
        <v>168</v>
      </c>
    </row>
    <row r="14" spans="1:27" ht="18.75" x14ac:dyDescent="0.25">
      <c r="A14" s="3">
        <f t="shared" si="10"/>
        <v>45911</v>
      </c>
      <c r="B14" s="4">
        <f>'0911分析標準表'!$C$3</f>
        <v>6980689.6500000004</v>
      </c>
      <c r="C14" s="5">
        <f>'0911分析標準表'!$D$5</f>
        <v>16847.966100000005</v>
      </c>
      <c r="D14" s="6">
        <f t="shared" si="20"/>
        <v>2.4135102611244153E-3</v>
      </c>
      <c r="E14" s="5">
        <f>'0911分析標準表'!$F$5</f>
        <v>49744.601600000045</v>
      </c>
      <c r="F14" s="7">
        <f t="shared" si="21"/>
        <v>7.1260296753057981E-3</v>
      </c>
      <c r="G14" s="4">
        <f>'0911分析標準表'!$H$5</f>
        <v>3838.4941999999996</v>
      </c>
      <c r="H14" s="7">
        <f t="shared" si="22"/>
        <v>0.2278313107479483</v>
      </c>
      <c r="I14" s="8">
        <f>'0911分析標準表'!$J$5</f>
        <v>19399.405400000018</v>
      </c>
      <c r="J14" s="7">
        <f t="shared" si="23"/>
        <v>0.38998011394265542</v>
      </c>
      <c r="K14" s="9">
        <f>'0911分析標準表'!$L$5</f>
        <v>2555.1956</v>
      </c>
      <c r="L14" s="10">
        <f t="shared" si="9"/>
        <v>0.1516619623302779</v>
      </c>
      <c r="M14" s="84" t="s">
        <v>224</v>
      </c>
      <c r="N14" s="84"/>
      <c r="O14" s="84"/>
      <c r="P14" s="84"/>
      <c r="Q14" s="84"/>
      <c r="R14" s="84"/>
      <c r="S14" s="84"/>
      <c r="T14" s="84"/>
      <c r="U14" s="84"/>
      <c r="V14" s="11">
        <v>168</v>
      </c>
    </row>
    <row r="15" spans="1:27" ht="18.75" x14ac:dyDescent="0.25">
      <c r="A15" s="3">
        <f t="shared" si="10"/>
        <v>45912</v>
      </c>
      <c r="B15" s="4">
        <f>'0912分析標準表'!$C$3</f>
        <v>5798799.4400000004</v>
      </c>
      <c r="C15" s="5">
        <f>'0912分析標準表'!$D$5</f>
        <v>13984.8614</v>
      </c>
      <c r="D15" s="6">
        <f t="shared" ref="D15:D29" si="24">C15/B15</f>
        <v>2.4116822015834366E-3</v>
      </c>
      <c r="E15" s="5">
        <f>'0912分析標準表'!$F$5</f>
        <v>41420.317699999992</v>
      </c>
      <c r="F15" s="7">
        <f t="shared" ref="F15:F29" si="25">E15/B15</f>
        <v>7.1429126198577393E-3</v>
      </c>
      <c r="G15" s="4">
        <f>'0912分析標準表'!$H$5</f>
        <v>6707.2371999999996</v>
      </c>
      <c r="H15" s="7">
        <f t="shared" ref="H15:H29" si="26">G15/C15</f>
        <v>0.4796069841636042</v>
      </c>
      <c r="I15" s="8">
        <f>'0912分析標準表'!$J$5</f>
        <v>18841.757600000001</v>
      </c>
      <c r="J15" s="7">
        <f t="shared" ref="J15:J29" si="27">I15/E15</f>
        <v>0.45489167264402719</v>
      </c>
      <c r="K15" s="9">
        <f>'0912分析標準表'!$L$5</f>
        <v>1633.6051</v>
      </c>
      <c r="L15" s="10">
        <f t="shared" ref="L15:L29" si="28">K15/C15</f>
        <v>0.11681239114747323</v>
      </c>
      <c r="M15" s="84" t="s">
        <v>225</v>
      </c>
      <c r="N15" s="84"/>
      <c r="O15" s="84"/>
      <c r="P15" s="84"/>
      <c r="Q15" s="84"/>
      <c r="R15" s="84"/>
      <c r="S15" s="84"/>
      <c r="T15" s="84"/>
      <c r="U15" s="84"/>
      <c r="V15" s="11">
        <v>168</v>
      </c>
      <c r="Y15" s="14"/>
      <c r="Z15" s="14"/>
      <c r="AA15" s="14"/>
    </row>
    <row r="16" spans="1:27" ht="18.75" x14ac:dyDescent="0.25">
      <c r="A16" s="3">
        <f t="shared" si="10"/>
        <v>45913</v>
      </c>
      <c r="B16" s="4">
        <f>'0913分析標準表'!$C$3</f>
        <v>6087959.3799999999</v>
      </c>
      <c r="C16" s="5">
        <f>'0913分析標準表'!$D$5</f>
        <v>14694.912599999998</v>
      </c>
      <c r="D16" s="6">
        <f t="shared" si="24"/>
        <v>2.4137665320625051E-3</v>
      </c>
      <c r="E16" s="5">
        <f>'0913分析標準表'!$F$5</f>
        <v>43322.470899999993</v>
      </c>
      <c r="F16" s="7">
        <f t="shared" si="25"/>
        <v>7.1160906628782395E-3</v>
      </c>
      <c r="G16" s="4">
        <f>'0913分析標準表'!$H$5</f>
        <v>5166.7465999999995</v>
      </c>
      <c r="H16" s="7">
        <f t="shared" si="26"/>
        <v>0.35160104320729341</v>
      </c>
      <c r="I16" s="8">
        <f>'0913分析標準表'!$J$5</f>
        <v>15600.561199999976</v>
      </c>
      <c r="J16" s="7">
        <f t="shared" si="27"/>
        <v>0.36010321839699083</v>
      </c>
      <c r="K16" s="9">
        <f>'0913分析標準表'!$L$5</f>
        <v>1361.5699</v>
      </c>
      <c r="L16" s="10">
        <f t="shared" si="28"/>
        <v>9.2655869215581457E-2</v>
      </c>
      <c r="M16" s="84" t="s">
        <v>216</v>
      </c>
      <c r="N16" s="84"/>
      <c r="O16" s="84"/>
      <c r="P16" s="84"/>
      <c r="Q16" s="84"/>
      <c r="R16" s="84"/>
      <c r="S16" s="84"/>
      <c r="T16" s="84"/>
      <c r="U16" s="84"/>
      <c r="V16" s="11">
        <v>168</v>
      </c>
    </row>
    <row r="17" spans="1:26" ht="18.75" x14ac:dyDescent="0.25">
      <c r="A17" s="3">
        <f t="shared" si="10"/>
        <v>45914</v>
      </c>
      <c r="B17" s="4">
        <f>'0914分析標準表'!$C$3</f>
        <v>8034432.2199999997</v>
      </c>
      <c r="C17" s="5">
        <f>'0914分析標準表'!$D$5</f>
        <v>19430.677900000002</v>
      </c>
      <c r="D17" s="6">
        <f t="shared" si="24"/>
        <v>2.4184257664943004E-3</v>
      </c>
      <c r="E17" s="5">
        <f>'0914分析標準表'!$F$5</f>
        <v>57482.400700000006</v>
      </c>
      <c r="F17" s="7">
        <f t="shared" si="25"/>
        <v>7.1545068930832312E-3</v>
      </c>
      <c r="G17" s="4">
        <f>'0914分析標準表'!$H$5</f>
        <v>4041.6025</v>
      </c>
      <c r="H17" s="7">
        <f t="shared" si="26"/>
        <v>0.20800110633299107</v>
      </c>
      <c r="I17" s="8">
        <f>'0914分析標準表'!$J$5</f>
        <v>12757.079400000017</v>
      </c>
      <c r="J17" s="7">
        <f t="shared" si="27"/>
        <v>0.22193017766566622</v>
      </c>
      <c r="K17" s="9">
        <f>'0914分析標準表'!$L$5</f>
        <v>2790.8796000000002</v>
      </c>
      <c r="L17" s="10">
        <f t="shared" si="28"/>
        <v>0.14363264186474933</v>
      </c>
      <c r="M17" s="84" t="s">
        <v>226</v>
      </c>
      <c r="N17" s="84"/>
      <c r="O17" s="84"/>
      <c r="P17" s="84"/>
      <c r="Q17" s="84"/>
      <c r="R17" s="84"/>
      <c r="S17" s="84"/>
      <c r="T17" s="84"/>
      <c r="U17" s="84"/>
      <c r="V17" s="11">
        <v>160</v>
      </c>
      <c r="Y17" s="15"/>
      <c r="Z17" s="15"/>
    </row>
    <row r="18" spans="1:26" ht="18.75" x14ac:dyDescent="0.25">
      <c r="A18" s="3">
        <f t="shared" si="10"/>
        <v>45915</v>
      </c>
      <c r="B18" s="4">
        <f>'0915分析標準表'!$C$3</f>
        <v>7902070.0300000003</v>
      </c>
      <c r="C18" s="5">
        <f>'0915分析標準表'!$D$5</f>
        <v>19089.992200000001</v>
      </c>
      <c r="D18" s="6">
        <f t="shared" si="24"/>
        <v>2.4158216932430804E-3</v>
      </c>
      <c r="E18" s="5">
        <f>'0915分析標準表'!$F$5</f>
        <v>56342.009499999986</v>
      </c>
      <c r="F18" s="7">
        <f t="shared" si="25"/>
        <v>7.1300316608305207E-3</v>
      </c>
      <c r="G18" s="4">
        <f>'0915分析標準表'!$H$5</f>
        <v>4866.0187999999998</v>
      </c>
      <c r="H18" s="7">
        <f t="shared" si="26"/>
        <v>0.25489894123686441</v>
      </c>
      <c r="I18" s="8">
        <f>'0915分析標準表'!$J$5</f>
        <v>20849.636099999992</v>
      </c>
      <c r="J18" s="7">
        <f t="shared" si="27"/>
        <v>0.37005488950478416</v>
      </c>
      <c r="K18" s="9">
        <f>'0915分析標準表'!$L$5</f>
        <v>3670.1785</v>
      </c>
      <c r="L18" s="10">
        <f t="shared" si="28"/>
        <v>0.1922566788686273</v>
      </c>
      <c r="M18" s="84" t="s">
        <v>227</v>
      </c>
      <c r="N18" s="84"/>
      <c r="O18" s="84"/>
      <c r="P18" s="84"/>
      <c r="Q18" s="84"/>
      <c r="R18" s="84"/>
      <c r="S18" s="84"/>
      <c r="T18" s="84"/>
      <c r="U18" s="84"/>
      <c r="V18" s="11">
        <v>158</v>
      </c>
    </row>
    <row r="19" spans="1:26" ht="18.75" x14ac:dyDescent="0.25">
      <c r="A19" s="3">
        <f t="shared" si="10"/>
        <v>45916</v>
      </c>
      <c r="B19" s="4">
        <f>'0916分析標準表'!$C$3</f>
        <v>8643585.0999999996</v>
      </c>
      <c r="C19" s="5">
        <f>'0916分析標準表'!$D$5</f>
        <v>21007.839599999988</v>
      </c>
      <c r="D19" s="6">
        <f t="shared" si="24"/>
        <v>2.4304544187341882E-3</v>
      </c>
      <c r="E19" s="5">
        <f>'0916分析標準表'!$F$5</f>
        <v>62334.438400000028</v>
      </c>
      <c r="F19" s="7">
        <f t="shared" si="25"/>
        <v>7.2116416601254998E-3</v>
      </c>
      <c r="G19" s="4">
        <f>'0916分析標準表'!$H$5</f>
        <v>7198.9205999999995</v>
      </c>
      <c r="H19" s="7">
        <f t="shared" si="26"/>
        <v>0.34267781633290856</v>
      </c>
      <c r="I19" s="8">
        <f>'0916分析標準表'!$J$5</f>
        <v>26760.536000000018</v>
      </c>
      <c r="J19" s="7">
        <f t="shared" si="27"/>
        <v>0.42930580088453973</v>
      </c>
      <c r="K19" s="9">
        <f>'0916分析標準表'!$L$5</f>
        <v>3222.8436999999999</v>
      </c>
      <c r="L19" s="10">
        <f t="shared" si="28"/>
        <v>0.15341147692311977</v>
      </c>
      <c r="M19" s="84" t="s">
        <v>228</v>
      </c>
      <c r="N19" s="84"/>
      <c r="O19" s="84"/>
      <c r="P19" s="84"/>
      <c r="Q19" s="84"/>
      <c r="R19" s="84"/>
      <c r="S19" s="84"/>
      <c r="T19" s="84"/>
      <c r="U19" s="84"/>
      <c r="V19" s="11">
        <v>174</v>
      </c>
    </row>
    <row r="20" spans="1:26" ht="18.75" x14ac:dyDescent="0.25">
      <c r="A20" s="12">
        <f t="shared" si="10"/>
        <v>45917</v>
      </c>
      <c r="B20" s="4">
        <f>'0917分析標準表'!$C$3</f>
        <v>8026958.5199999996</v>
      </c>
      <c r="C20" s="5">
        <f>'0917分析標準表'!$D$5</f>
        <v>19476.86129999999</v>
      </c>
      <c r="D20" s="6">
        <f t="shared" si="24"/>
        <v>2.4264310387890221E-3</v>
      </c>
      <c r="E20" s="5">
        <f>'0917分析標準表'!$F$5</f>
        <v>57892.892099999968</v>
      </c>
      <c r="F20" s="7">
        <f t="shared" si="25"/>
        <v>7.2123073709368032E-3</v>
      </c>
      <c r="G20" s="4">
        <f>'0917分析標準表'!$H$5</f>
        <v>5695.6570000000002</v>
      </c>
      <c r="H20" s="7">
        <f t="shared" si="26"/>
        <v>0.29243197413948846</v>
      </c>
      <c r="I20" s="8">
        <f>'0917分析標準表'!$J$5</f>
        <v>25858.326199999989</v>
      </c>
      <c r="J20" s="7">
        <f t="shared" si="27"/>
        <v>0.44665804837205575</v>
      </c>
      <c r="K20" s="9">
        <f>'0917分析標準表'!$L$5</f>
        <v>3625.0326</v>
      </c>
      <c r="L20" s="10">
        <f t="shared" si="28"/>
        <v>0.18611995763403633</v>
      </c>
      <c r="M20" s="84" t="s">
        <v>229</v>
      </c>
      <c r="N20" s="84"/>
      <c r="O20" s="84"/>
      <c r="P20" s="84"/>
      <c r="Q20" s="84"/>
      <c r="R20" s="84"/>
      <c r="S20" s="84"/>
      <c r="T20" s="84"/>
      <c r="U20" s="84"/>
      <c r="V20" s="11">
        <v>174</v>
      </c>
    </row>
    <row r="21" spans="1:26" ht="18.75" x14ac:dyDescent="0.25">
      <c r="A21" s="3">
        <f t="shared" si="10"/>
        <v>45918</v>
      </c>
      <c r="B21" s="4">
        <f>'0918分析標準表'!$C$3</f>
        <v>7356980.9800000004</v>
      </c>
      <c r="C21" s="5">
        <f>'0918分析標準表'!$D$5</f>
        <v>17831.617799999993</v>
      </c>
      <c r="D21" s="6">
        <f t="shared" si="24"/>
        <v>2.4237683702697287E-3</v>
      </c>
      <c r="E21" s="5">
        <f>'0918分析標準表'!$F$5</f>
        <v>53044.101300000097</v>
      </c>
      <c r="F21" s="7">
        <f t="shared" si="25"/>
        <v>7.2100364870047676E-3</v>
      </c>
      <c r="G21" s="4">
        <f>'0918分析標準表'!$H$5</f>
        <v>5863.3725000000004</v>
      </c>
      <c r="H21" s="7">
        <f t="shared" si="26"/>
        <v>0.32881887475179078</v>
      </c>
      <c r="I21" s="8">
        <f>'0918分析標準表'!$J$5</f>
        <v>23351.342500000057</v>
      </c>
      <c r="J21" s="7">
        <f t="shared" si="27"/>
        <v>0.44022505665488604</v>
      </c>
      <c r="K21" s="9">
        <f>'0918分析標準表'!$L$5</f>
        <v>3415.2734000000005</v>
      </c>
      <c r="L21" s="10">
        <f t="shared" si="28"/>
        <v>0.19152908268368121</v>
      </c>
      <c r="M21" s="84" t="s">
        <v>230</v>
      </c>
      <c r="N21" s="84"/>
      <c r="O21" s="84"/>
      <c r="P21" s="84"/>
      <c r="Q21" s="84"/>
      <c r="R21" s="84"/>
      <c r="S21" s="84"/>
      <c r="T21" s="84"/>
      <c r="U21" s="84"/>
      <c r="V21" s="11">
        <v>174</v>
      </c>
    </row>
    <row r="22" spans="1:26" ht="18.75" x14ac:dyDescent="0.25">
      <c r="A22" s="3">
        <f t="shared" si="10"/>
        <v>45919</v>
      </c>
      <c r="B22" s="4">
        <f>'0919分析標準表'!$C$3</f>
        <v>5796047.9199999999</v>
      </c>
      <c r="C22" s="5">
        <f>'0919分析標準表'!$D$5</f>
        <v>14036.895499999995</v>
      </c>
      <c r="D22" s="6">
        <f t="shared" si="24"/>
        <v>2.4218045975023606E-3</v>
      </c>
      <c r="E22" s="5">
        <f>'0919分析標準表'!$F$5</f>
        <v>41419.956299999991</v>
      </c>
      <c r="F22" s="7">
        <f t="shared" si="25"/>
        <v>7.1462411753145045E-3</v>
      </c>
      <c r="G22" s="4">
        <f>'0919分析標準表'!$H$5</f>
        <v>4383.8855000000003</v>
      </c>
      <c r="H22" s="7">
        <f t="shared" si="26"/>
        <v>0.31231161477265412</v>
      </c>
      <c r="I22" s="8">
        <f>'0919分析標準表'!$J$5</f>
        <v>13311.998000000016</v>
      </c>
      <c r="J22" s="7">
        <f t="shared" si="27"/>
        <v>0.32139092334097946</v>
      </c>
      <c r="K22" s="9">
        <f>'0919分析標準表'!$L$5</f>
        <v>2181.3901000000001</v>
      </c>
      <c r="L22" s="10">
        <f t="shared" si="28"/>
        <v>0.15540402790631311</v>
      </c>
      <c r="M22" s="84" t="s">
        <v>231</v>
      </c>
      <c r="N22" s="84"/>
      <c r="O22" s="84"/>
      <c r="P22" s="84"/>
      <c r="Q22" s="84"/>
      <c r="R22" s="84"/>
      <c r="S22" s="84"/>
      <c r="T22" s="84"/>
      <c r="U22" s="84"/>
      <c r="V22" s="11">
        <v>174</v>
      </c>
    </row>
    <row r="23" spans="1:26" ht="18.75" x14ac:dyDescent="0.25">
      <c r="A23" s="3">
        <f t="shared" si="10"/>
        <v>45920</v>
      </c>
      <c r="B23" s="4">
        <f>'0920分析標準表'!$C$3</f>
        <v>5974025.2999999998</v>
      </c>
      <c r="C23" s="5">
        <f>'0920分析標準表'!$D$5</f>
        <v>14470.433500000003</v>
      </c>
      <c r="D23" s="6">
        <f t="shared" si="24"/>
        <v>2.4222250113336485E-3</v>
      </c>
      <c r="E23" s="5">
        <f>'0920分析標準表'!$F$5</f>
        <v>42713.631299999965</v>
      </c>
      <c r="F23" s="7">
        <f t="shared" si="25"/>
        <v>7.1498912634333778E-3</v>
      </c>
      <c r="G23" s="4">
        <f>'0920分析標準表'!$H$5</f>
        <v>3120.7277000000004</v>
      </c>
      <c r="H23" s="7">
        <f t="shared" si="26"/>
        <v>0.21566235040574283</v>
      </c>
      <c r="I23" s="8">
        <f>'0920分析標準表'!$J$5</f>
        <v>15543.564799999971</v>
      </c>
      <c r="J23" s="7">
        <f t="shared" si="27"/>
        <v>0.36390174112871515</v>
      </c>
      <c r="K23" s="9">
        <f>'0920分析標準表'!$L$5</f>
        <v>2506.6467000000002</v>
      </c>
      <c r="L23" s="10">
        <f t="shared" si="28"/>
        <v>0.1732254047537691</v>
      </c>
      <c r="M23" s="84" t="s">
        <v>232</v>
      </c>
      <c r="N23" s="84"/>
      <c r="O23" s="84"/>
      <c r="P23" s="84"/>
      <c r="Q23" s="84"/>
      <c r="R23" s="84"/>
      <c r="S23" s="84"/>
      <c r="T23" s="84"/>
      <c r="U23" s="84"/>
      <c r="V23" s="11">
        <v>174</v>
      </c>
    </row>
    <row r="24" spans="1:26" ht="18.75" x14ac:dyDescent="0.25">
      <c r="A24" s="3">
        <f t="shared" si="10"/>
        <v>45921</v>
      </c>
      <c r="B24" s="4">
        <f>'0921分析標準表'!$C$3</f>
        <v>7966442.1900000004</v>
      </c>
      <c r="C24" s="5">
        <f>'0921分析標準表'!$D$5</f>
        <v>19329.102699999989</v>
      </c>
      <c r="D24" s="6">
        <f t="shared" si="24"/>
        <v>2.426315567100097E-3</v>
      </c>
      <c r="E24" s="5">
        <f>'0921分析標準表'!$F$5</f>
        <v>57386.623899999991</v>
      </c>
      <c r="F24" s="7">
        <f t="shared" si="25"/>
        <v>7.2035448863277309E-3</v>
      </c>
      <c r="G24" s="4">
        <f>'0921分析標準表'!$H$5</f>
        <v>5551.8347999999996</v>
      </c>
      <c r="H24" s="7">
        <f t="shared" si="26"/>
        <v>0.28722672160048085</v>
      </c>
      <c r="I24" s="8">
        <f>'0921分析標準表'!$J$5</f>
        <v>15889.629800000008</v>
      </c>
      <c r="J24" s="7">
        <f t="shared" si="27"/>
        <v>0.27688734273144811</v>
      </c>
      <c r="K24" s="9">
        <f>'0921分析標準表'!$L$5</f>
        <v>2023.2663</v>
      </c>
      <c r="L24" s="10">
        <f t="shared" si="28"/>
        <v>0.10467461068433359</v>
      </c>
      <c r="M24" s="84" t="s">
        <v>231</v>
      </c>
      <c r="N24" s="84"/>
      <c r="O24" s="84"/>
      <c r="P24" s="84"/>
      <c r="Q24" s="84"/>
      <c r="R24" s="84"/>
      <c r="S24" s="84"/>
      <c r="T24" s="84"/>
      <c r="U24" s="84"/>
      <c r="V24" s="11">
        <v>174</v>
      </c>
    </row>
    <row r="25" spans="1:26" ht="18.75" x14ac:dyDescent="0.25">
      <c r="A25" s="3">
        <f t="shared" si="10"/>
        <v>45922</v>
      </c>
      <c r="B25" s="4">
        <f>'0922分析標準表'!$C$3</f>
        <v>7692372.9400000004</v>
      </c>
      <c r="C25" s="5">
        <f>'0922分析標準表'!$D$5</f>
        <v>18648.763200000005</v>
      </c>
      <c r="D25" s="6">
        <f t="shared" si="24"/>
        <v>2.4243186524443268E-3</v>
      </c>
      <c r="E25" s="5">
        <f>'0922分析標準表'!$F$5</f>
        <v>55273.625699999982</v>
      </c>
      <c r="F25" s="7">
        <f t="shared" si="25"/>
        <v>7.1855103920637495E-3</v>
      </c>
      <c r="G25" s="4">
        <f>'0922分析標準表'!$H$5</f>
        <v>4858.09</v>
      </c>
      <c r="H25" s="7">
        <f t="shared" si="26"/>
        <v>0.26050467518403575</v>
      </c>
      <c r="I25" s="8">
        <f>'0922分析標準表'!$J$5</f>
        <v>17210.060199999967</v>
      </c>
      <c r="J25" s="7">
        <f t="shared" si="27"/>
        <v>0.31136115972214889</v>
      </c>
      <c r="K25" s="9">
        <f>'0922分析標準表'!$L$5</f>
        <v>3705.7460000000001</v>
      </c>
      <c r="L25" s="10">
        <f t="shared" si="28"/>
        <v>0.19871269532769867</v>
      </c>
      <c r="M25" s="84" t="s">
        <v>233</v>
      </c>
      <c r="N25" s="84"/>
      <c r="O25" s="84"/>
      <c r="P25" s="84"/>
      <c r="Q25" s="84"/>
      <c r="R25" s="84"/>
      <c r="S25" s="84"/>
      <c r="T25" s="84"/>
      <c r="U25" s="84"/>
      <c r="V25" s="11">
        <v>174</v>
      </c>
    </row>
    <row r="26" spans="1:26" ht="18.75" x14ac:dyDescent="0.25">
      <c r="A26" s="3">
        <f t="shared" si="10"/>
        <v>45923</v>
      </c>
      <c r="B26" s="4">
        <f>'0923分析標準表'!$C$3</f>
        <v>7459138.04</v>
      </c>
      <c r="C26" s="5">
        <f>'0923分析標準表'!$D$5</f>
        <v>18065.410299999996</v>
      </c>
      <c r="D26" s="6">
        <f t="shared" si="24"/>
        <v>2.4219166079409351E-3</v>
      </c>
      <c r="E26" s="5">
        <f>'0923分析標準表'!$F$5</f>
        <v>54022.948000000048</v>
      </c>
      <c r="F26" s="7">
        <f t="shared" si="25"/>
        <v>7.2425188688423911E-3</v>
      </c>
      <c r="G26" s="4">
        <f>'0923分析標準表'!$H$5</f>
        <v>3771.3058000000005</v>
      </c>
      <c r="H26" s="7">
        <f t="shared" si="26"/>
        <v>0.20875838064967733</v>
      </c>
      <c r="I26" s="8">
        <f>'0923分析標準表'!$J$5</f>
        <v>22897.348000000005</v>
      </c>
      <c r="J26" s="7">
        <f t="shared" si="27"/>
        <v>0.42384484460196409</v>
      </c>
      <c r="K26" s="9">
        <f>'0923分析標準表'!$L$5</f>
        <v>2962.7928000000002</v>
      </c>
      <c r="L26" s="10">
        <f t="shared" si="28"/>
        <v>0.16400362631121645</v>
      </c>
      <c r="M26" s="84" t="s">
        <v>230</v>
      </c>
      <c r="N26" s="84"/>
      <c r="O26" s="84"/>
      <c r="P26" s="84"/>
      <c r="Q26" s="84"/>
      <c r="R26" s="84"/>
      <c r="S26" s="84"/>
      <c r="T26" s="84"/>
      <c r="U26" s="84"/>
      <c r="V26" s="11">
        <v>174</v>
      </c>
    </row>
    <row r="27" spans="1:26" ht="18.75" x14ac:dyDescent="0.25">
      <c r="A27" s="12">
        <f t="shared" si="10"/>
        <v>45924</v>
      </c>
      <c r="B27" s="4">
        <f>'0924分析標準表'!$C$3</f>
        <v>7098839.0300000003</v>
      </c>
      <c r="C27" s="5">
        <f>'0924分析標準表'!$D$5</f>
        <v>17168.150099999992</v>
      </c>
      <c r="D27" s="6">
        <f t="shared" si="24"/>
        <v>2.4184447664535916E-3</v>
      </c>
      <c r="E27" s="5">
        <f>'0924分析標準表'!$F$5</f>
        <v>50583.8848</v>
      </c>
      <c r="F27" s="7">
        <f t="shared" si="25"/>
        <v>7.1256559820881017E-3</v>
      </c>
      <c r="G27" s="4">
        <f>'0924分析標準表'!$H$5</f>
        <v>3368.6970000000001</v>
      </c>
      <c r="H27" s="7">
        <f t="shared" si="26"/>
        <v>0.19621782081227271</v>
      </c>
      <c r="I27" s="8">
        <f>'0924分析標準表'!$J$5</f>
        <v>21401.144499999999</v>
      </c>
      <c r="J27" s="7">
        <f t="shared" si="27"/>
        <v>0.42308226393873172</v>
      </c>
      <c r="K27" s="9">
        <f>'0924分析標準表'!$L$5</f>
        <v>2233.6143999999995</v>
      </c>
      <c r="L27" s="10">
        <f t="shared" si="28"/>
        <v>0.13010221759419499</v>
      </c>
      <c r="M27" s="84" t="s">
        <v>231</v>
      </c>
      <c r="N27" s="84"/>
      <c r="O27" s="84"/>
      <c r="P27" s="84"/>
      <c r="Q27" s="84"/>
      <c r="R27" s="84"/>
      <c r="S27" s="84"/>
      <c r="T27" s="84"/>
      <c r="U27" s="84"/>
      <c r="V27" s="11">
        <v>174</v>
      </c>
    </row>
    <row r="28" spans="1:26" ht="18.75" x14ac:dyDescent="0.25">
      <c r="A28" s="3">
        <f t="shared" si="10"/>
        <v>45925</v>
      </c>
      <c r="B28" s="4">
        <f>'0925分析標準表'!$C$3</f>
        <v>6557727.0999999996</v>
      </c>
      <c r="C28" s="5">
        <f>'0925分析標準表'!$D$5</f>
        <v>15819.225099999998</v>
      </c>
      <c r="D28" s="6">
        <f t="shared" si="24"/>
        <v>2.4123030523792305E-3</v>
      </c>
      <c r="E28" s="5">
        <f>'0925分析標準表'!$F$5</f>
        <v>46633.562299999983</v>
      </c>
      <c r="F28" s="7">
        <f t="shared" si="25"/>
        <v>7.1112386332758473E-3</v>
      </c>
      <c r="G28" s="4">
        <f>'0925分析標準表'!$H$5</f>
        <v>4625.5322000000006</v>
      </c>
      <c r="H28" s="7">
        <f t="shared" si="26"/>
        <v>0.29239941721292034</v>
      </c>
      <c r="I28" s="8">
        <f>'0925分析標準表'!$J$5</f>
        <v>16899.603900000006</v>
      </c>
      <c r="J28" s="7">
        <f t="shared" si="27"/>
        <v>0.36239144226817971</v>
      </c>
      <c r="K28" s="9">
        <f>'0925分析標準表'!$L$5</f>
        <v>4091.5539000000008</v>
      </c>
      <c r="L28" s="10">
        <f t="shared" si="28"/>
        <v>0.25864439466127842</v>
      </c>
      <c r="M28" s="84" t="s">
        <v>234</v>
      </c>
      <c r="N28" s="84"/>
      <c r="O28" s="84"/>
      <c r="P28" s="84"/>
      <c r="Q28" s="84"/>
      <c r="R28" s="84"/>
      <c r="S28" s="84"/>
      <c r="T28" s="84"/>
      <c r="U28" s="84"/>
      <c r="V28" s="11">
        <v>174</v>
      </c>
    </row>
    <row r="29" spans="1:26" ht="18.75" x14ac:dyDescent="0.25">
      <c r="A29" s="3">
        <f t="shared" si="10"/>
        <v>45926</v>
      </c>
      <c r="B29" s="4">
        <f>'0926分析標準表'!$C$3</f>
        <v>5226513.2699999996</v>
      </c>
      <c r="C29" s="5">
        <f>'0926分析標準表'!$D$5</f>
        <v>12595.985800000004</v>
      </c>
      <c r="D29" s="6">
        <f t="shared" si="24"/>
        <v>2.4100169939872754E-3</v>
      </c>
      <c r="E29" s="5">
        <f>'0926分析標準表'!$F$5</f>
        <v>37138.000099999968</v>
      </c>
      <c r="F29" s="7">
        <f t="shared" si="25"/>
        <v>7.1056932569502447E-3</v>
      </c>
      <c r="G29" s="4">
        <f>'0926分析標準表'!$H$5</f>
        <v>3258.0119999999993</v>
      </c>
      <c r="H29" s="7">
        <f t="shared" si="26"/>
        <v>0.25865478508240286</v>
      </c>
      <c r="I29" s="8">
        <f>'0926分析標準表'!$J$5</f>
        <v>18684.235699999997</v>
      </c>
      <c r="J29" s="7">
        <f t="shared" si="27"/>
        <v>0.50310290402524971</v>
      </c>
      <c r="K29" s="9">
        <f>'0926分析標準表'!$L$5</f>
        <v>2389.5565999999999</v>
      </c>
      <c r="L29" s="10">
        <f t="shared" si="28"/>
        <v>0.18970778769852212</v>
      </c>
      <c r="M29" s="84" t="s">
        <v>228</v>
      </c>
      <c r="N29" s="84"/>
      <c r="O29" s="84"/>
      <c r="P29" s="84"/>
      <c r="Q29" s="84"/>
      <c r="R29" s="84"/>
      <c r="S29" s="84"/>
      <c r="T29" s="84"/>
      <c r="U29" s="84"/>
      <c r="V29" s="11">
        <v>174</v>
      </c>
    </row>
    <row r="30" spans="1:26" ht="18.75" x14ac:dyDescent="0.25">
      <c r="A30" s="3">
        <f t="shared" si="10"/>
        <v>45927</v>
      </c>
      <c r="B30" s="4">
        <f>'0927分析標準表'!$C$3</f>
        <v>5183430.2300000004</v>
      </c>
      <c r="C30" s="5">
        <f>'0927分析標準表'!$D$5</f>
        <v>12493.8374</v>
      </c>
      <c r="D30" s="6">
        <f t="shared" si="5"/>
        <v>2.4103415779939993E-3</v>
      </c>
      <c r="E30" s="5">
        <f>'0927分析標準表'!$F$5</f>
        <v>36775.807199999996</v>
      </c>
      <c r="F30" s="7">
        <f t="shared" si="6"/>
        <v>7.0948784044885258E-3</v>
      </c>
      <c r="G30" s="4">
        <f>'0927分析標準表'!$H$5</f>
        <v>3846.5122000000001</v>
      </c>
      <c r="H30" s="7">
        <f t="shared" si="7"/>
        <v>0.30787275973353073</v>
      </c>
      <c r="I30" s="8">
        <f>'0927分析標準表'!$J$5</f>
        <v>17045.616599999976</v>
      </c>
      <c r="J30" s="7">
        <f t="shared" si="8"/>
        <v>0.46350081474214322</v>
      </c>
      <c r="K30" s="9">
        <f>'0927分析標準表'!$L$5</f>
        <v>2265.2746000000006</v>
      </c>
      <c r="L30" s="10">
        <f t="shared" si="9"/>
        <v>0.18131135594897374</v>
      </c>
      <c r="M30" s="84" t="s">
        <v>240</v>
      </c>
      <c r="N30" s="84"/>
      <c r="O30" s="84"/>
      <c r="P30" s="84"/>
      <c r="Q30" s="84"/>
      <c r="R30" s="84"/>
      <c r="S30" s="84"/>
      <c r="T30" s="84"/>
      <c r="U30" s="84"/>
      <c r="V30" s="11">
        <v>174</v>
      </c>
    </row>
    <row r="31" spans="1:26" ht="18.75" x14ac:dyDescent="0.25">
      <c r="A31" s="3">
        <f t="shared" si="10"/>
        <v>45928</v>
      </c>
      <c r="B31" s="4">
        <f>'0928分析標準表'!$C$3</f>
        <v>5811925.3600000003</v>
      </c>
      <c r="C31" s="5">
        <f>'0928分析標準表'!$D$5</f>
        <v>14019.259499999996</v>
      </c>
      <c r="D31" s="6">
        <f t="shared" si="5"/>
        <v>2.4121540851997445E-3</v>
      </c>
      <c r="E31" s="5">
        <f>'0928分析標準表'!$F$5</f>
        <v>41276.034299999985</v>
      </c>
      <c r="F31" s="7">
        <f t="shared" si="6"/>
        <v>7.1019553320622797E-3</v>
      </c>
      <c r="G31" s="4">
        <f>'0928分析標準表'!$H$5</f>
        <v>5539.4813000000004</v>
      </c>
      <c r="H31" s="7">
        <f t="shared" si="7"/>
        <v>0.39513365880701484</v>
      </c>
      <c r="I31" s="8">
        <f>'0928分析標準表'!$J$5</f>
        <v>16378.959800000015</v>
      </c>
      <c r="J31" s="7">
        <f t="shared" si="8"/>
        <v>0.39681524830984116</v>
      </c>
      <c r="K31" s="9">
        <f>'0928分析標準表'!$L$5</f>
        <v>3326.6535000000003</v>
      </c>
      <c r="L31" s="10">
        <f t="shared" si="9"/>
        <v>0.2372916700771536</v>
      </c>
      <c r="M31" s="84" t="s">
        <v>241</v>
      </c>
      <c r="N31" s="84"/>
      <c r="O31" s="84"/>
      <c r="P31" s="84"/>
      <c r="Q31" s="84"/>
      <c r="R31" s="84"/>
      <c r="S31" s="84"/>
      <c r="T31" s="84"/>
      <c r="U31" s="84"/>
      <c r="V31" s="11">
        <v>170</v>
      </c>
    </row>
    <row r="32" spans="1:26" ht="18.75" x14ac:dyDescent="0.25">
      <c r="A32" s="3">
        <f t="shared" si="10"/>
        <v>45929</v>
      </c>
      <c r="B32" s="4">
        <f>'0929分析標準表'!$C$3</f>
        <v>7679816.0899999999</v>
      </c>
      <c r="C32" s="5">
        <f>'0929分析標準表'!$D$5</f>
        <v>18535.7232</v>
      </c>
      <c r="D32" s="6">
        <f t="shared" si="5"/>
        <v>2.4135634216730312E-3</v>
      </c>
      <c r="E32" s="5">
        <f>'0929分析標準表'!$F$5</f>
        <v>54681.687500000015</v>
      </c>
      <c r="F32" s="7">
        <f t="shared" si="6"/>
        <v>7.1201818974808307E-3</v>
      </c>
      <c r="G32" s="4">
        <f>'0929分析標準表'!$H$5</f>
        <v>5601.3797000000004</v>
      </c>
      <c r="H32" s="7">
        <f t="shared" si="7"/>
        <v>0.30219374985055886</v>
      </c>
      <c r="I32" s="8">
        <f>'0929分析標準表'!$J$5</f>
        <v>20571.504299999986</v>
      </c>
      <c r="J32" s="7">
        <f t="shared" si="8"/>
        <v>0.37620463523551612</v>
      </c>
      <c r="K32" s="9">
        <f>'0929分析標準表'!$L$5</f>
        <v>2344.9750999999997</v>
      </c>
      <c r="L32" s="10">
        <f t="shared" si="9"/>
        <v>0.12651111988983518</v>
      </c>
      <c r="M32" s="84" t="s">
        <v>243</v>
      </c>
      <c r="N32" s="84"/>
      <c r="O32" s="84"/>
      <c r="P32" s="84"/>
      <c r="Q32" s="84"/>
      <c r="R32" s="84"/>
      <c r="S32" s="84"/>
      <c r="T32" s="84"/>
      <c r="U32" s="84"/>
      <c r="V32" s="11">
        <v>171</v>
      </c>
    </row>
    <row r="33" spans="1:22" ht="18.75" x14ac:dyDescent="0.25">
      <c r="A33" s="3">
        <f t="shared" si="10"/>
        <v>45930</v>
      </c>
      <c r="B33" s="4">
        <f>'0930分析標準表'!$C$3</f>
        <v>8504390.9600000009</v>
      </c>
      <c r="C33" s="5">
        <f>'0930分析標準表'!$D$5</f>
        <v>20545.405699999996</v>
      </c>
      <c r="D33" s="6">
        <f t="shared" si="5"/>
        <v>2.415858560199588E-3</v>
      </c>
      <c r="E33" s="5">
        <f>'0930分析標準表'!$F$5</f>
        <v>60659.852300000028</v>
      </c>
      <c r="F33" s="7">
        <f t="shared" si="6"/>
        <v>7.1327685410173128E-3</v>
      </c>
      <c r="G33" s="4">
        <f>'0930分析標準表'!$H$5</f>
        <v>4665.3513000000003</v>
      </c>
      <c r="H33" s="7">
        <f t="shared" si="7"/>
        <v>0.22707516065258332</v>
      </c>
      <c r="I33" s="8">
        <f>'0930分析標準表'!$J$5</f>
        <v>22203.494399999981</v>
      </c>
      <c r="J33" s="7">
        <f t="shared" si="8"/>
        <v>0.3660327804655728</v>
      </c>
      <c r="K33" s="9">
        <f>'0930分析標準表'!$L$5</f>
        <v>3042.6479000000004</v>
      </c>
      <c r="L33" s="10">
        <f t="shared" si="9"/>
        <v>0.14809383394166808</v>
      </c>
      <c r="M33" s="84" t="s">
        <v>243</v>
      </c>
      <c r="N33" s="84"/>
      <c r="O33" s="84"/>
      <c r="P33" s="84"/>
      <c r="Q33" s="84"/>
      <c r="R33" s="84"/>
      <c r="S33" s="84"/>
      <c r="T33" s="84"/>
      <c r="U33" s="84"/>
      <c r="V33" s="11">
        <v>182</v>
      </c>
    </row>
    <row r="34" spans="1:22" ht="18.75" x14ac:dyDescent="0.25">
      <c r="A34" s="12"/>
      <c r="B34" s="4"/>
      <c r="C34" s="5"/>
      <c r="D34" s="6"/>
      <c r="E34" s="5"/>
      <c r="F34" s="7"/>
      <c r="G34" s="4"/>
      <c r="H34" s="7"/>
      <c r="I34" s="8"/>
      <c r="J34" s="7"/>
      <c r="K34" s="9"/>
      <c r="L34" s="10"/>
      <c r="M34" s="84"/>
      <c r="N34" s="84"/>
      <c r="O34" s="84"/>
      <c r="P34" s="84"/>
      <c r="Q34" s="84"/>
      <c r="R34" s="84"/>
      <c r="S34" s="84"/>
      <c r="T34" s="84"/>
      <c r="U34" s="84"/>
      <c r="V34" s="11"/>
    </row>
    <row r="35" spans="1:22" ht="27" x14ac:dyDescent="0.25">
      <c r="A35" s="85" t="s">
        <v>16</v>
      </c>
      <c r="B35" s="85"/>
      <c r="C35" s="85"/>
      <c r="D35" s="85"/>
      <c r="E35" s="85"/>
      <c r="F35" s="16"/>
      <c r="G35" s="16"/>
      <c r="H35" s="16"/>
      <c r="I35" s="16"/>
      <c r="J35" s="16"/>
      <c r="K35" s="16"/>
      <c r="L35" s="16"/>
    </row>
    <row r="36" spans="1:22" ht="27" x14ac:dyDescent="0.25">
      <c r="A36" s="85" t="s">
        <v>17</v>
      </c>
      <c r="B36" s="85"/>
      <c r="C36" s="85"/>
      <c r="D36" s="85"/>
      <c r="E36" s="85"/>
      <c r="F36" s="16"/>
      <c r="G36" s="16"/>
      <c r="H36" s="16"/>
      <c r="I36" s="16"/>
      <c r="J36" s="16"/>
      <c r="K36" s="16"/>
      <c r="L36" s="16"/>
    </row>
    <row r="37" spans="1:22" ht="18.75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22" ht="18.75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22" ht="18.75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22" ht="18.75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22" ht="18.75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22" ht="18.75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22" ht="18.75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22" ht="18.75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22" ht="18.75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22" ht="18.75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22" ht="18.75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 spans="1:22" ht="18.75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1:12" ht="18.75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spans="1:12" ht="18.75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spans="1:12" ht="18.75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ht="18.75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</sheetData>
  <mergeCells count="45"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31:U31"/>
    <mergeCell ref="M20:U20"/>
    <mergeCell ref="M21:U21"/>
    <mergeCell ref="M22:U22"/>
    <mergeCell ref="M23:U23"/>
    <mergeCell ref="M24:U24"/>
    <mergeCell ref="M25:U25"/>
    <mergeCell ref="M26:U26"/>
    <mergeCell ref="M27:U27"/>
    <mergeCell ref="M28:U28"/>
    <mergeCell ref="M29:U29"/>
    <mergeCell ref="M30:U30"/>
    <mergeCell ref="M32:U32"/>
    <mergeCell ref="M33:U33"/>
    <mergeCell ref="M34:U34"/>
    <mergeCell ref="A35:E35"/>
    <mergeCell ref="A36:E36"/>
  </mergeCells>
  <phoneticPr fontId="3" type="noConversion"/>
  <conditionalFormatting sqref="D4:D34">
    <cfRule type="cellIs" dxfId="1022" priority="3" operator="greaterThan">
      <formula>0.0025</formula>
    </cfRule>
  </conditionalFormatting>
  <conditionalFormatting sqref="H4:J34">
    <cfRule type="cellIs" dxfId="1021" priority="1" operator="greaterThan">
      <formula>0.16</formula>
    </cfRule>
  </conditionalFormatting>
  <conditionalFormatting sqref="L4:L34">
    <cfRule type="cellIs" dxfId="1020" priority="2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13BA-94BC-40EE-804D-1AAA198F26D0}">
  <sheetPr>
    <tabColor rgb="FFFF0000"/>
    <pageSetUpPr fitToPage="1"/>
  </sheetPr>
  <dimension ref="A1:R56"/>
  <sheetViews>
    <sheetView zoomScale="70" zoomScaleNormal="70" workbookViewId="0">
      <selection activeCell="D5" sqref="D5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45930</v>
      </c>
      <c r="B3" s="149"/>
      <c r="C3" s="150">
        <v>8504390.9600000009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20545.405699999996</v>
      </c>
      <c r="E5" s="24">
        <f>D5/C3</f>
        <v>2.415858560199588E-3</v>
      </c>
      <c r="F5" s="23">
        <v>60659.852300000028</v>
      </c>
      <c r="G5" s="25">
        <f>F5/C3</f>
        <v>7.1327685410173128E-3</v>
      </c>
      <c r="H5" s="26">
        <f>SUM(C12:C21)</f>
        <v>4665.3513000000003</v>
      </c>
      <c r="I5" s="27">
        <f>H5/D5</f>
        <v>0.22707516065258332</v>
      </c>
      <c r="J5" s="26">
        <f>SUM(C28:C37)</f>
        <v>22203.494399999981</v>
      </c>
      <c r="K5" s="28">
        <f>J5/F5</f>
        <v>0.3660327804655728</v>
      </c>
      <c r="L5" s="29">
        <v>3042.6479000000004</v>
      </c>
      <c r="M5" s="30">
        <f>L5/D5</f>
        <v>0.14809383394166808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59</v>
      </c>
      <c r="C12" s="36">
        <v>1081.5</v>
      </c>
      <c r="D12" s="37">
        <v>3901</v>
      </c>
      <c r="E12" s="37">
        <v>3971</v>
      </c>
      <c r="F12" s="37">
        <v>0</v>
      </c>
      <c r="G12" s="36">
        <v>15.45</v>
      </c>
      <c r="H12" s="38">
        <f>(E12+F12)/D12</f>
        <v>1.0179441168931043</v>
      </c>
      <c r="I12" s="36">
        <v>1081.5</v>
      </c>
      <c r="J12" s="37">
        <v>70</v>
      </c>
      <c r="K12" s="39">
        <f>J12/D12</f>
        <v>1.7944116893104333E-2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244</v>
      </c>
      <c r="C13" s="36">
        <v>915.12</v>
      </c>
      <c r="D13" s="37">
        <v>10216</v>
      </c>
      <c r="E13" s="37">
        <v>10960</v>
      </c>
      <c r="F13" s="37">
        <v>0</v>
      </c>
      <c r="G13" s="36">
        <v>1.23</v>
      </c>
      <c r="H13" s="38">
        <f t="shared" ref="H13:H21" si="1">(E13+F13)/D13</f>
        <v>1.072826938136257</v>
      </c>
      <c r="I13" s="36">
        <v>915.12</v>
      </c>
      <c r="J13" s="37">
        <v>744</v>
      </c>
      <c r="K13" s="39">
        <f>J13/D13</f>
        <v>7.2826938136256847E-2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69" t="s">
        <v>84</v>
      </c>
      <c r="Q13" s="44" t="s">
        <v>245</v>
      </c>
      <c r="R13" s="45" t="s">
        <v>246</v>
      </c>
    </row>
    <row r="14" spans="1:18" s="46" customFormat="1" ht="24.95" customHeight="1" x14ac:dyDescent="0.25">
      <c r="A14" s="47">
        <v>3</v>
      </c>
      <c r="B14" s="35" t="s">
        <v>247</v>
      </c>
      <c r="C14" s="36">
        <v>389.02499999999998</v>
      </c>
      <c r="D14" s="37">
        <v>1225.92</v>
      </c>
      <c r="E14" s="37">
        <v>1247.22</v>
      </c>
      <c r="F14" s="37">
        <v>40.200000000000003</v>
      </c>
      <c r="G14" s="36">
        <v>51.87</v>
      </c>
      <c r="H14" s="38">
        <f>(E14+F14)/D14</f>
        <v>1.0501664056382145</v>
      </c>
      <c r="I14" s="36">
        <v>3190.0049999999997</v>
      </c>
      <c r="J14" s="37">
        <v>7.5</v>
      </c>
      <c r="K14" s="39">
        <f t="shared" ref="K14:K21" si="4">J14/D14</f>
        <v>6.1178543461237267E-3</v>
      </c>
      <c r="L14" s="40">
        <f t="shared" si="2"/>
        <v>54</v>
      </c>
      <c r="M14" s="41">
        <f t="shared" si="3"/>
        <v>4.4048551292090836E-2</v>
      </c>
      <c r="N14" s="42">
        <f t="shared" si="0"/>
        <v>2800.98</v>
      </c>
      <c r="O14" s="43" t="s">
        <v>57</v>
      </c>
      <c r="P14" s="69" t="s">
        <v>235</v>
      </c>
      <c r="Q14" s="44"/>
      <c r="R14" s="45" t="s">
        <v>246</v>
      </c>
    </row>
    <row r="15" spans="1:18" s="46" customFormat="1" ht="24.95" customHeight="1" x14ac:dyDescent="0.25">
      <c r="A15" s="34">
        <v>4</v>
      </c>
      <c r="B15" s="35" t="s">
        <v>109</v>
      </c>
      <c r="C15" s="36">
        <v>367.79200000000003</v>
      </c>
      <c r="D15" s="37">
        <v>263.02</v>
      </c>
      <c r="E15" s="37">
        <v>266.52999999999997</v>
      </c>
      <c r="F15" s="37">
        <v>0</v>
      </c>
      <c r="G15" s="36">
        <v>144.80000000000001</v>
      </c>
      <c r="H15" s="38">
        <f>(E15+F15)/D15</f>
        <v>1.0133449927762146</v>
      </c>
      <c r="I15" s="36">
        <v>508.24799999999874</v>
      </c>
      <c r="J15" s="37">
        <v>2.54</v>
      </c>
      <c r="K15" s="39">
        <f t="shared" si="4"/>
        <v>9.6570602995969899E-3</v>
      </c>
      <c r="L15" s="40">
        <f t="shared" si="2"/>
        <v>0.96999999999999087</v>
      </c>
      <c r="M15" s="41">
        <f t="shared" si="3"/>
        <v>3.6879324766177133E-3</v>
      </c>
      <c r="N15" s="42">
        <f t="shared" si="0"/>
        <v>140.45599999999868</v>
      </c>
      <c r="O15" s="43" t="s">
        <v>57</v>
      </c>
      <c r="P15" s="69" t="s">
        <v>235</v>
      </c>
      <c r="Q15" s="44"/>
      <c r="R15" s="45" t="s">
        <v>58</v>
      </c>
    </row>
    <row r="16" spans="1:18" s="46" customFormat="1" ht="24.95" customHeight="1" x14ac:dyDescent="0.25">
      <c r="A16" s="47">
        <v>5</v>
      </c>
      <c r="B16" s="35" t="s">
        <v>66</v>
      </c>
      <c r="C16" s="36">
        <v>367.3</v>
      </c>
      <c r="D16" s="37">
        <v>54.13</v>
      </c>
      <c r="E16" s="37">
        <v>56.2</v>
      </c>
      <c r="F16" s="37">
        <v>0</v>
      </c>
      <c r="G16" s="36">
        <v>183.65</v>
      </c>
      <c r="H16" s="38">
        <f t="shared" si="1"/>
        <v>1.038241271014225</v>
      </c>
      <c r="I16" s="36">
        <v>380.15550000000007</v>
      </c>
      <c r="J16" s="37">
        <v>2</v>
      </c>
      <c r="K16" s="39">
        <f t="shared" si="4"/>
        <v>3.6948087936449284E-2</v>
      </c>
      <c r="L16" s="40">
        <f t="shared" si="2"/>
        <v>7.0000000000000284E-2</v>
      </c>
      <c r="M16" s="41">
        <f t="shared" si="3"/>
        <v>1.2931830777757304E-3</v>
      </c>
      <c r="N16" s="42">
        <f t="shared" si="0"/>
        <v>12.855500000000053</v>
      </c>
      <c r="O16" s="43" t="s">
        <v>57</v>
      </c>
      <c r="P16" s="69" t="s">
        <v>235</v>
      </c>
      <c r="Q16" s="44"/>
      <c r="R16" s="45" t="s">
        <v>68</v>
      </c>
    </row>
    <row r="17" spans="1:18" s="46" customFormat="1" ht="24.95" customHeight="1" x14ac:dyDescent="0.25">
      <c r="A17" s="34">
        <v>6</v>
      </c>
      <c r="B17" s="35" t="s">
        <v>199</v>
      </c>
      <c r="C17" s="36">
        <v>329.58750000000003</v>
      </c>
      <c r="D17" s="37">
        <v>317.68</v>
      </c>
      <c r="E17" s="37">
        <v>327.10000000000002</v>
      </c>
      <c r="F17" s="37">
        <v>0</v>
      </c>
      <c r="G17" s="36">
        <v>39.950000000000003</v>
      </c>
      <c r="H17" s="38">
        <f t="shared" si="1"/>
        <v>1.0296524804835054</v>
      </c>
      <c r="I17" s="36">
        <v>376.32900000000069</v>
      </c>
      <c r="J17" s="37">
        <v>8.25</v>
      </c>
      <c r="K17" s="39">
        <f t="shared" si="4"/>
        <v>2.5969529085872575E-2</v>
      </c>
      <c r="L17" s="40">
        <f t="shared" si="2"/>
        <v>1.1700000000000159</v>
      </c>
      <c r="M17" s="41">
        <f t="shared" si="3"/>
        <v>3.6829513976328883E-3</v>
      </c>
      <c r="N17" s="42">
        <f t="shared" si="0"/>
        <v>46.741500000000642</v>
      </c>
      <c r="O17" s="43" t="s">
        <v>57</v>
      </c>
      <c r="P17" s="69" t="s">
        <v>235</v>
      </c>
      <c r="Q17" s="44"/>
      <c r="R17" s="45" t="s">
        <v>136</v>
      </c>
    </row>
    <row r="18" spans="1:18" s="46" customFormat="1" ht="24.95" customHeight="1" x14ac:dyDescent="0.25">
      <c r="A18" s="47">
        <v>7</v>
      </c>
      <c r="B18" s="35" t="s">
        <v>194</v>
      </c>
      <c r="C18" s="36">
        <v>313.77499999999998</v>
      </c>
      <c r="D18" s="37">
        <v>166.81</v>
      </c>
      <c r="E18" s="37">
        <v>169.56</v>
      </c>
      <c r="F18" s="37">
        <v>0</v>
      </c>
      <c r="G18" s="36">
        <v>114.1</v>
      </c>
      <c r="H18" s="38">
        <f t="shared" si="1"/>
        <v>1.0164858221929141</v>
      </c>
      <c r="I18" s="36">
        <v>313.77499999999998</v>
      </c>
      <c r="J18" s="37">
        <v>2.75</v>
      </c>
      <c r="K18" s="39">
        <f t="shared" si="4"/>
        <v>1.6485822192914095E-2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69" t="s">
        <v>236</v>
      </c>
      <c r="Q18" s="44"/>
      <c r="R18" s="45" t="s">
        <v>195</v>
      </c>
    </row>
    <row r="19" spans="1:18" s="46" customFormat="1" ht="24.95" customHeight="1" x14ac:dyDescent="0.25">
      <c r="A19" s="34">
        <v>8</v>
      </c>
      <c r="B19" s="35" t="s">
        <v>103</v>
      </c>
      <c r="C19" s="36">
        <v>303.12119999999999</v>
      </c>
      <c r="D19" s="37">
        <v>49.95</v>
      </c>
      <c r="E19" s="37">
        <v>51.99</v>
      </c>
      <c r="F19" s="37">
        <v>0</v>
      </c>
      <c r="G19" s="36">
        <v>248.46</v>
      </c>
      <c r="H19" s="38">
        <f t="shared" si="1"/>
        <v>1.0408408408408407</v>
      </c>
      <c r="I19" s="36">
        <v>506.85839999999979</v>
      </c>
      <c r="J19" s="37">
        <v>1.22</v>
      </c>
      <c r="K19" s="39">
        <f t="shared" si="4"/>
        <v>2.4424424424424423E-2</v>
      </c>
      <c r="L19" s="40">
        <f t="shared" si="2"/>
        <v>0.81999999999999917</v>
      </c>
      <c r="M19" s="41">
        <f t="shared" si="3"/>
        <v>1.6416416416416398E-2</v>
      </c>
      <c r="N19" s="42">
        <f t="shared" si="0"/>
        <v>203.7371999999998</v>
      </c>
      <c r="O19" s="43" t="s">
        <v>57</v>
      </c>
      <c r="P19" s="69" t="s">
        <v>235</v>
      </c>
      <c r="Q19" s="44"/>
      <c r="R19" s="45" t="s">
        <v>58</v>
      </c>
    </row>
    <row r="20" spans="1:18" s="46" customFormat="1" ht="24.95" customHeight="1" x14ac:dyDescent="0.25">
      <c r="A20" s="47">
        <v>9</v>
      </c>
      <c r="B20" s="35" t="s">
        <v>177</v>
      </c>
      <c r="C20" s="36">
        <v>300.322</v>
      </c>
      <c r="D20" s="37">
        <v>59.93</v>
      </c>
      <c r="E20" s="37">
        <v>60.86</v>
      </c>
      <c r="F20" s="37">
        <v>1.82</v>
      </c>
      <c r="G20" s="36">
        <v>176.66</v>
      </c>
      <c r="H20" s="38">
        <f t="shared" si="1"/>
        <v>1.0458868680126814</v>
      </c>
      <c r="I20" s="36">
        <v>485.815</v>
      </c>
      <c r="J20" s="37">
        <v>1.7</v>
      </c>
      <c r="K20" s="39">
        <f t="shared" si="4"/>
        <v>2.8366427498748539E-2</v>
      </c>
      <c r="L20" s="40">
        <f t="shared" si="2"/>
        <v>1.05</v>
      </c>
      <c r="M20" s="41">
        <f t="shared" si="3"/>
        <v>1.7520440513932922E-2</v>
      </c>
      <c r="N20" s="42">
        <f t="shared" si="0"/>
        <v>185.49299999999999</v>
      </c>
      <c r="O20" s="43" t="s">
        <v>57</v>
      </c>
      <c r="P20" s="69" t="s">
        <v>235</v>
      </c>
      <c r="Q20" s="44"/>
      <c r="R20" s="45" t="s">
        <v>178</v>
      </c>
    </row>
    <row r="21" spans="1:18" s="46" customFormat="1" ht="24.95" customHeight="1" thickBot="1" x14ac:dyDescent="0.3">
      <c r="A21" s="48">
        <v>10</v>
      </c>
      <c r="B21" s="49" t="s">
        <v>82</v>
      </c>
      <c r="C21" s="50">
        <v>297.80860000000001</v>
      </c>
      <c r="D21" s="51">
        <v>1122.5999999999999</v>
      </c>
      <c r="E21" s="51">
        <v>1125.77</v>
      </c>
      <c r="F21" s="51">
        <v>6.04</v>
      </c>
      <c r="G21" s="50">
        <v>147.43</v>
      </c>
      <c r="H21" s="52">
        <f t="shared" si="1"/>
        <v>1.0082041688936398</v>
      </c>
      <c r="I21" s="50">
        <v>1357.8303000000055</v>
      </c>
      <c r="J21" s="51">
        <v>2.02</v>
      </c>
      <c r="K21" s="53">
        <f t="shared" si="4"/>
        <v>1.7993942633172993E-3</v>
      </c>
      <c r="L21" s="54">
        <f t="shared" si="2"/>
        <v>7.1900000000000368</v>
      </c>
      <c r="M21" s="55">
        <f t="shared" si="3"/>
        <v>6.4047746303224993E-3</v>
      </c>
      <c r="N21" s="56">
        <f t="shared" si="0"/>
        <v>1060.0217000000055</v>
      </c>
      <c r="O21" s="57" t="s">
        <v>57</v>
      </c>
      <c r="P21" s="57" t="s">
        <v>84</v>
      </c>
      <c r="Q21" s="57" t="s">
        <v>85</v>
      </c>
      <c r="R21" s="58" t="s">
        <v>58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132</v>
      </c>
      <c r="C28" s="36">
        <v>3773.9999999999955</v>
      </c>
      <c r="D28" s="37">
        <v>58.18</v>
      </c>
      <c r="E28" s="37">
        <v>60.98</v>
      </c>
      <c r="F28" s="37">
        <v>3.2</v>
      </c>
      <c r="G28" s="36">
        <v>629</v>
      </c>
      <c r="H28" s="68">
        <f t="shared" ref="H28:H37" si="5">(E28+F28)/D28</f>
        <v>1.103128222756961</v>
      </c>
      <c r="I28" s="36">
        <v>3773.9999999999955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5.9999999999999929</v>
      </c>
      <c r="N28" s="41">
        <f t="shared" ref="N28:N37" si="9">M28/D28</f>
        <v>0.10312822275696103</v>
      </c>
      <c r="O28" s="43" t="s">
        <v>83</v>
      </c>
      <c r="P28" s="69" t="s">
        <v>235</v>
      </c>
      <c r="Q28" s="44"/>
      <c r="R28" s="45" t="s">
        <v>70</v>
      </c>
    </row>
    <row r="29" spans="1:18" s="67" customFormat="1" ht="24.95" customHeight="1" x14ac:dyDescent="0.25">
      <c r="A29" s="47">
        <v>2</v>
      </c>
      <c r="B29" s="35" t="s">
        <v>248</v>
      </c>
      <c r="C29" s="36">
        <v>3286.7813999999944</v>
      </c>
      <c r="D29" s="37">
        <v>498.2</v>
      </c>
      <c r="E29" s="37">
        <v>506.32</v>
      </c>
      <c r="F29" s="37">
        <v>9.1</v>
      </c>
      <c r="G29" s="36">
        <v>190.87</v>
      </c>
      <c r="H29" s="68">
        <f t="shared" si="5"/>
        <v>1.034564431955038</v>
      </c>
      <c r="I29" s="36">
        <v>3286.7813999999944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17.21999999999997</v>
      </c>
      <c r="N29" s="41">
        <f t="shared" si="9"/>
        <v>3.4564431955038076E-2</v>
      </c>
      <c r="O29" s="43" t="s">
        <v>83</v>
      </c>
      <c r="P29" s="69" t="s">
        <v>235</v>
      </c>
      <c r="Q29" s="44"/>
      <c r="R29" s="45" t="s">
        <v>249</v>
      </c>
    </row>
    <row r="30" spans="1:18" s="67" customFormat="1" ht="24.95" customHeight="1" x14ac:dyDescent="0.25">
      <c r="A30" s="47">
        <v>3</v>
      </c>
      <c r="B30" s="35" t="s">
        <v>247</v>
      </c>
      <c r="C30" s="36">
        <v>2800.9799999999996</v>
      </c>
      <c r="D30" s="37">
        <v>1225.92</v>
      </c>
      <c r="E30" s="37">
        <v>1247.22</v>
      </c>
      <c r="F30" s="37">
        <v>40.200000000000003</v>
      </c>
      <c r="G30" s="36">
        <v>51.87</v>
      </c>
      <c r="H30" s="68">
        <f t="shared" si="5"/>
        <v>1.0501664056382145</v>
      </c>
      <c r="I30" s="36">
        <v>3190.0049999999997</v>
      </c>
      <c r="J30" s="37">
        <v>7.5</v>
      </c>
      <c r="K30" s="39">
        <f t="shared" si="6"/>
        <v>6.1178543461237267E-3</v>
      </c>
      <c r="L30" s="42">
        <f t="shared" si="7"/>
        <v>389.02499999999998</v>
      </c>
      <c r="M30" s="40">
        <f t="shared" si="8"/>
        <v>54</v>
      </c>
      <c r="N30" s="41">
        <f t="shared" si="9"/>
        <v>4.4048551292090836E-2</v>
      </c>
      <c r="O30" s="43" t="s">
        <v>83</v>
      </c>
      <c r="P30" s="69" t="s">
        <v>235</v>
      </c>
      <c r="Q30" s="44"/>
      <c r="R30" s="45" t="s">
        <v>246</v>
      </c>
    </row>
    <row r="31" spans="1:18" s="67" customFormat="1" ht="24.95" customHeight="1" x14ac:dyDescent="0.25">
      <c r="A31" s="34">
        <v>4</v>
      </c>
      <c r="B31" s="35" t="s">
        <v>196</v>
      </c>
      <c r="C31" s="36">
        <v>2535.0804999999996</v>
      </c>
      <c r="D31" s="37">
        <v>66.040000000000006</v>
      </c>
      <c r="E31" s="37">
        <v>60.77</v>
      </c>
      <c r="F31" s="37">
        <v>12.6</v>
      </c>
      <c r="G31" s="36">
        <v>345.85</v>
      </c>
      <c r="H31" s="68">
        <f t="shared" si="5"/>
        <v>1.1109933373712901</v>
      </c>
      <c r="I31" s="36">
        <v>2535.0804999999996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7.3299999999999983</v>
      </c>
      <c r="N31" s="41">
        <f t="shared" si="9"/>
        <v>0.11099333737129009</v>
      </c>
      <c r="O31" s="43" t="s">
        <v>83</v>
      </c>
      <c r="P31" s="69" t="s">
        <v>235</v>
      </c>
      <c r="Q31" s="44"/>
      <c r="R31" s="45" t="s">
        <v>197</v>
      </c>
    </row>
    <row r="32" spans="1:18" s="67" customFormat="1" ht="24.95" customHeight="1" x14ac:dyDescent="0.25">
      <c r="A32" s="47">
        <v>5</v>
      </c>
      <c r="B32" s="35" t="s">
        <v>86</v>
      </c>
      <c r="C32" s="36">
        <v>2446.512899999987</v>
      </c>
      <c r="D32" s="37">
        <v>5223.99</v>
      </c>
      <c r="E32" s="37">
        <v>5203.8999999999996</v>
      </c>
      <c r="F32" s="37">
        <v>82.2</v>
      </c>
      <c r="G32" s="36">
        <v>39.39</v>
      </c>
      <c r="H32" s="68">
        <f t="shared" si="5"/>
        <v>1.0118893795738506</v>
      </c>
      <c r="I32" s="36">
        <v>2446.512899999987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62.109999999999673</v>
      </c>
      <c r="N32" s="41">
        <f t="shared" si="9"/>
        <v>1.1889379573850577E-2</v>
      </c>
      <c r="O32" s="43" t="s">
        <v>83</v>
      </c>
      <c r="P32" s="44" t="s">
        <v>60</v>
      </c>
      <c r="Q32" s="44" t="s">
        <v>87</v>
      </c>
      <c r="R32" s="45" t="s">
        <v>58</v>
      </c>
    </row>
    <row r="33" spans="1:18" s="67" customFormat="1" ht="24.95" customHeight="1" x14ac:dyDescent="0.25">
      <c r="A33" s="34">
        <v>6</v>
      </c>
      <c r="B33" s="35" t="s">
        <v>250</v>
      </c>
      <c r="C33" s="36">
        <v>1851.7442000000003</v>
      </c>
      <c r="D33" s="37">
        <v>119.88</v>
      </c>
      <c r="E33" s="37">
        <v>120.07</v>
      </c>
      <c r="F33" s="37">
        <v>4.84</v>
      </c>
      <c r="G33" s="36">
        <v>368.14</v>
      </c>
      <c r="H33" s="68">
        <f t="shared" si="5"/>
        <v>1.0419586252919586</v>
      </c>
      <c r="I33" s="36">
        <v>1851.7442000000003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5.0300000000000011</v>
      </c>
      <c r="N33" s="41">
        <f t="shared" si="9"/>
        <v>4.1958625291958637E-2</v>
      </c>
      <c r="O33" s="43" t="s">
        <v>83</v>
      </c>
      <c r="P33" s="69" t="s">
        <v>235</v>
      </c>
      <c r="Q33" s="44"/>
      <c r="R33" s="45" t="s">
        <v>251</v>
      </c>
    </row>
    <row r="34" spans="1:18" s="67" customFormat="1" ht="24.95" customHeight="1" x14ac:dyDescent="0.25">
      <c r="A34" s="47">
        <v>7</v>
      </c>
      <c r="B34" s="35" t="s">
        <v>124</v>
      </c>
      <c r="C34" s="36">
        <v>1655.2901000000004</v>
      </c>
      <c r="D34" s="37">
        <v>49.09</v>
      </c>
      <c r="E34" s="37">
        <v>48.78</v>
      </c>
      <c r="F34" s="37">
        <v>2.7</v>
      </c>
      <c r="G34" s="36">
        <v>692.59</v>
      </c>
      <c r="H34" s="68">
        <f t="shared" si="5"/>
        <v>1.0486860867793848</v>
      </c>
      <c r="I34" s="36">
        <v>1655.2901000000004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2.3900000000000006</v>
      </c>
      <c r="N34" s="41">
        <f t="shared" si="9"/>
        <v>4.868608677938481E-2</v>
      </c>
      <c r="O34" s="43" t="s">
        <v>83</v>
      </c>
      <c r="P34" s="69" t="s">
        <v>235</v>
      </c>
      <c r="Q34" s="44"/>
      <c r="R34" s="45" t="s">
        <v>121</v>
      </c>
    </row>
    <row r="35" spans="1:18" s="67" customFormat="1" ht="24.95" customHeight="1" x14ac:dyDescent="0.25">
      <c r="A35" s="34">
        <v>8</v>
      </c>
      <c r="B35" s="35" t="s">
        <v>164</v>
      </c>
      <c r="C35" s="36">
        <v>1377.4878999999989</v>
      </c>
      <c r="D35" s="37">
        <v>356.86</v>
      </c>
      <c r="E35" s="37">
        <v>352.49</v>
      </c>
      <c r="F35" s="37">
        <v>25.2</v>
      </c>
      <c r="G35" s="36">
        <v>66.13</v>
      </c>
      <c r="H35" s="68">
        <f t="shared" si="5"/>
        <v>1.0583702292215433</v>
      </c>
      <c r="I35" s="36">
        <v>1377.4878999999989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20.829999999999984</v>
      </c>
      <c r="N35" s="41">
        <f t="shared" si="9"/>
        <v>5.8370229221543418E-2</v>
      </c>
      <c r="O35" s="43" t="s">
        <v>83</v>
      </c>
      <c r="P35" s="69" t="s">
        <v>235</v>
      </c>
      <c r="Q35" s="44"/>
      <c r="R35" s="45" t="s">
        <v>165</v>
      </c>
    </row>
    <row r="36" spans="1:18" s="67" customFormat="1" ht="24.95" customHeight="1" x14ac:dyDescent="0.25">
      <c r="A36" s="47">
        <v>9</v>
      </c>
      <c r="B36" s="35" t="s">
        <v>134</v>
      </c>
      <c r="C36" s="36">
        <v>1295.392199999997</v>
      </c>
      <c r="D36" s="37">
        <v>117.06</v>
      </c>
      <c r="E36" s="37">
        <v>115.27</v>
      </c>
      <c r="F36" s="37">
        <v>5.33</v>
      </c>
      <c r="G36" s="36">
        <v>365.93</v>
      </c>
      <c r="H36" s="68">
        <f t="shared" si="5"/>
        <v>1.0302409021014864</v>
      </c>
      <c r="I36" s="36">
        <v>1295.392199999997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3.539999999999992</v>
      </c>
      <c r="N36" s="41">
        <f t="shared" si="9"/>
        <v>3.0240902101486347E-2</v>
      </c>
      <c r="O36" s="43" t="s">
        <v>97</v>
      </c>
      <c r="P36" s="69" t="s">
        <v>235</v>
      </c>
      <c r="Q36" s="44"/>
      <c r="R36" s="45" t="s">
        <v>72</v>
      </c>
    </row>
    <row r="37" spans="1:18" s="67" customFormat="1" ht="24.95" customHeight="1" thickBot="1" x14ac:dyDescent="0.3">
      <c r="A37" s="48">
        <v>10</v>
      </c>
      <c r="B37" s="49" t="s">
        <v>110</v>
      </c>
      <c r="C37" s="50">
        <v>1180.2252000000026</v>
      </c>
      <c r="D37" s="51">
        <v>149.84</v>
      </c>
      <c r="E37" s="51">
        <v>149.66</v>
      </c>
      <c r="F37" s="51">
        <v>3.36</v>
      </c>
      <c r="G37" s="50">
        <v>371.14</v>
      </c>
      <c r="H37" s="70">
        <f t="shared" si="5"/>
        <v>1.0212226374799787</v>
      </c>
      <c r="I37" s="50">
        <v>1180.2252000000026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3.1800000000000068</v>
      </c>
      <c r="N37" s="55">
        <f t="shared" si="9"/>
        <v>2.1222637479978688E-2</v>
      </c>
      <c r="O37" s="57" t="s">
        <v>97</v>
      </c>
      <c r="P37" s="71" t="s">
        <v>235</v>
      </c>
      <c r="Q37" s="72"/>
      <c r="R37" s="58" t="s">
        <v>58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109</v>
      </c>
      <c r="C44" s="36">
        <v>367.79200000000003</v>
      </c>
      <c r="D44" s="78">
        <f t="shared" ref="D44:D53" si="10">C44/$L$5</f>
        <v>0.12087892259896388</v>
      </c>
      <c r="E44" s="79"/>
    </row>
    <row r="45" spans="1:18" s="80" customFormat="1" ht="24.95" customHeight="1" x14ac:dyDescent="0.25">
      <c r="A45" s="81">
        <v>2</v>
      </c>
      <c r="B45" s="35" t="s">
        <v>103</v>
      </c>
      <c r="C45" s="36">
        <v>303.12119999999999</v>
      </c>
      <c r="D45" s="78">
        <f t="shared" si="10"/>
        <v>9.9624146454803386E-2</v>
      </c>
      <c r="E45" s="79"/>
    </row>
    <row r="46" spans="1:18" s="80" customFormat="1" ht="24.95" customHeight="1" x14ac:dyDescent="0.25">
      <c r="A46" s="81">
        <v>3</v>
      </c>
      <c r="B46" s="35" t="s">
        <v>82</v>
      </c>
      <c r="C46" s="36">
        <v>297.80860000000001</v>
      </c>
      <c r="D46" s="78">
        <f t="shared" si="10"/>
        <v>9.7878101504942444E-2</v>
      </c>
      <c r="E46" s="79"/>
    </row>
    <row r="47" spans="1:18" s="80" customFormat="1" ht="24.95" customHeight="1" x14ac:dyDescent="0.25">
      <c r="A47" s="77">
        <v>4</v>
      </c>
      <c r="B47" s="35" t="s">
        <v>104</v>
      </c>
      <c r="C47" s="36">
        <v>296.01</v>
      </c>
      <c r="D47" s="78">
        <f t="shared" si="10"/>
        <v>9.7286971653867654E-2</v>
      </c>
      <c r="E47" s="79"/>
    </row>
    <row r="48" spans="1:18" s="80" customFormat="1" ht="24.95" customHeight="1" x14ac:dyDescent="0.25">
      <c r="A48" s="81">
        <v>5</v>
      </c>
      <c r="B48" s="35" t="s">
        <v>126</v>
      </c>
      <c r="C48" s="36">
        <v>263.60000000000002</v>
      </c>
      <c r="D48" s="78">
        <f t="shared" si="10"/>
        <v>8.663506546386783E-2</v>
      </c>
      <c r="E48" s="79"/>
    </row>
    <row r="49" spans="1:5" s="80" customFormat="1" ht="24.95" customHeight="1" x14ac:dyDescent="0.25">
      <c r="A49" s="77">
        <v>6</v>
      </c>
      <c r="B49" s="35" t="s">
        <v>106</v>
      </c>
      <c r="C49" s="36">
        <v>259.536</v>
      </c>
      <c r="D49" s="78">
        <f t="shared" si="10"/>
        <v>8.5299386761116841E-2</v>
      </c>
      <c r="E49" s="79"/>
    </row>
    <row r="50" spans="1:5" s="80" customFormat="1" ht="24.95" customHeight="1" x14ac:dyDescent="0.25">
      <c r="A50" s="81">
        <v>7</v>
      </c>
      <c r="B50" s="35" t="s">
        <v>105</v>
      </c>
      <c r="C50" s="36">
        <v>230.3</v>
      </c>
      <c r="D50" s="78">
        <f t="shared" si="10"/>
        <v>7.5690650896543102E-2</v>
      </c>
      <c r="E50" s="79"/>
    </row>
    <row r="51" spans="1:5" s="80" customFormat="1" ht="24.95" customHeight="1" x14ac:dyDescent="0.25">
      <c r="A51" s="77">
        <v>8</v>
      </c>
      <c r="B51" s="35" t="s">
        <v>147</v>
      </c>
      <c r="C51" s="36">
        <v>214.74</v>
      </c>
      <c r="D51" s="78">
        <f t="shared" si="10"/>
        <v>7.0576684209829196E-2</v>
      </c>
      <c r="E51" s="79"/>
    </row>
    <row r="52" spans="1:5" s="80" customFormat="1" ht="24.95" customHeight="1" x14ac:dyDescent="0.25">
      <c r="A52" s="81">
        <v>9</v>
      </c>
      <c r="B52" s="35" t="s">
        <v>73</v>
      </c>
      <c r="C52" s="36">
        <v>209.96710000000002</v>
      </c>
      <c r="D52" s="78">
        <f t="shared" si="10"/>
        <v>6.9008017654622472E-2</v>
      </c>
      <c r="E52" s="79"/>
    </row>
    <row r="53" spans="1:5" s="80" customFormat="1" ht="24.95" customHeight="1" thickBot="1" x14ac:dyDescent="0.3">
      <c r="A53" s="82">
        <v>10</v>
      </c>
      <c r="B53" s="49" t="s">
        <v>168</v>
      </c>
      <c r="C53" s="50">
        <v>146.03849999999997</v>
      </c>
      <c r="D53" s="83">
        <f t="shared" si="10"/>
        <v>4.7997173777485046E-2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J25:N25"/>
    <mergeCell ref="B26:B27"/>
    <mergeCell ref="C26:C27"/>
    <mergeCell ref="D26:I26"/>
    <mergeCell ref="J26:L26"/>
    <mergeCell ref="M26:N26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3" priority="27" operator="containsText" text="綠豆芽">
      <formula>NOT(ISERROR(SEARCH("綠豆芽",A12)))</formula>
    </cfRule>
    <cfRule type="containsText" dxfId="32" priority="28" operator="containsText" text="煮白細麵生(方#12)">
      <formula>NOT(ISERROR(SEARCH("煮白細麵生(方#12)",A12)))</formula>
    </cfRule>
    <cfRule type="containsText" dxfId="31" priority="29" operator="containsText" text="024">
      <formula>NOT(ISERROR(SEARCH("024",A12)))</formula>
    </cfRule>
    <cfRule type="containsText" dxfId="30" priority="30" operator="containsText" text="白醬">
      <formula>NOT(ISERROR(SEARCH("白醬",A12)))</formula>
    </cfRule>
    <cfRule type="containsText" dxfId="29" priority="31" operator="containsText" text="青蔥">
      <formula>NOT(ISERROR(SEARCH("青蔥",A12)))</formula>
    </cfRule>
    <cfRule type="containsText" dxfId="28" priority="32" operator="containsText" text=")川燙小青花菜">
      <formula>NOT(ISERROR(SEARCH(")川燙小青花菜",A12)))</formula>
    </cfRule>
    <cfRule type="containsText" dxfId="27" priority="33" operator="containsText" text="湯凍">
      <formula>NOT(ISERROR(SEARCH("湯凍",A12)))</formula>
    </cfRule>
    <cfRule type="containsText" dxfId="26" priority="34" operator="containsText" text="中華">
      <formula>NOT(ISERROR(SEARCH("中華",A12)))</formula>
    </cfRule>
  </conditionalFormatting>
  <conditionalFormatting sqref="A28:A37">
    <cfRule type="containsText" dxfId="25" priority="5" operator="containsText" text="綠豆芽">
      <formula>NOT(ISERROR(SEARCH("綠豆芽",A28)))</formula>
    </cfRule>
    <cfRule type="containsText" dxfId="24" priority="6" operator="containsText" text="煮白細麵生(方#12)">
      <formula>NOT(ISERROR(SEARCH("煮白細麵生(方#12)",A28)))</formula>
    </cfRule>
    <cfRule type="containsText" dxfId="23" priority="7" operator="containsText" text="024">
      <formula>NOT(ISERROR(SEARCH("024",A28)))</formula>
    </cfRule>
    <cfRule type="containsText" dxfId="22" priority="8" operator="containsText" text="白醬">
      <formula>NOT(ISERROR(SEARCH("白醬",A28)))</formula>
    </cfRule>
    <cfRule type="containsText" dxfId="21" priority="9" operator="containsText" text="青蔥">
      <formula>NOT(ISERROR(SEARCH("青蔥",A28)))</formula>
    </cfRule>
    <cfRule type="containsText" dxfId="20" priority="10" operator="containsText" text=")川燙小青花菜">
      <formula>NOT(ISERROR(SEARCH(")川燙小青花菜",A28)))</formula>
    </cfRule>
    <cfRule type="containsText" dxfId="19" priority="11" operator="containsText" text="湯凍">
      <formula>NOT(ISERROR(SEARCH("湯凍",A28)))</formula>
    </cfRule>
    <cfRule type="containsText" dxfId="18" priority="12" operator="containsText" text="中華">
      <formula>NOT(ISERROR(SEARCH("中華",A28)))</formula>
    </cfRule>
  </conditionalFormatting>
  <conditionalFormatting sqref="A44:A53">
    <cfRule type="containsText" dxfId="17" priority="17" operator="containsText" text="綠豆芽">
      <formula>NOT(ISERROR(SEARCH("綠豆芽",A44)))</formula>
    </cfRule>
    <cfRule type="containsText" dxfId="16" priority="18" operator="containsText" text="煮白細麵生(方#12)">
      <formula>NOT(ISERROR(SEARCH("煮白細麵生(方#12)",A44)))</formula>
    </cfRule>
    <cfRule type="containsText" dxfId="15" priority="19" operator="containsText" text="024">
      <formula>NOT(ISERROR(SEARCH("024",A44)))</formula>
    </cfRule>
    <cfRule type="containsText" dxfId="14" priority="20" operator="containsText" text="白醬">
      <formula>NOT(ISERROR(SEARCH("白醬",A44)))</formula>
    </cfRule>
    <cfRule type="containsText" dxfId="13" priority="21" operator="containsText" text="青蔥">
      <formula>NOT(ISERROR(SEARCH("青蔥",A44)))</formula>
    </cfRule>
    <cfRule type="containsText" dxfId="12" priority="22" operator="containsText" text=")川燙小青花菜">
      <formula>NOT(ISERROR(SEARCH(")川燙小青花菜",A44)))</formula>
    </cfRule>
    <cfRule type="containsText" dxfId="11" priority="23" operator="containsText" text="湯凍">
      <formula>NOT(ISERROR(SEARCH("湯凍",A44)))</formula>
    </cfRule>
    <cfRule type="containsText" dxfId="10" priority="24" operator="containsText" text="中華">
      <formula>NOT(ISERROR(SEARCH("中華",A44)))</formula>
    </cfRule>
  </conditionalFormatting>
  <conditionalFormatting sqref="D44:D53">
    <cfRule type="cellIs" dxfId="9" priority="16" operator="greaterThan">
      <formula>0.146</formula>
    </cfRule>
  </conditionalFormatting>
  <conditionalFormatting sqref="E5">
    <cfRule type="cellIs" dxfId="8" priority="14" operator="greaterThan">
      <formula>0.0025</formula>
    </cfRule>
    <cfRule type="cellIs" dxfId="7" priority="25" operator="greaterThan">
      <formula>0.072</formula>
    </cfRule>
    <cfRule type="cellIs" dxfId="6" priority="26" operator="greaterThan">
      <formula>7.2</formula>
    </cfRule>
  </conditionalFormatting>
  <conditionalFormatting sqref="G5">
    <cfRule type="cellIs" dxfId="5" priority="1" operator="greaterThan">
      <formula>0.0025</formula>
    </cfRule>
    <cfRule type="cellIs" dxfId="4" priority="2" operator="greaterThan">
      <formula>0.072</formula>
    </cfRule>
    <cfRule type="cellIs" dxfId="3" priority="3" operator="greaterThan">
      <formula>7.2</formula>
    </cfRule>
  </conditionalFormatting>
  <conditionalFormatting sqref="H12:H22">
    <cfRule type="cellIs" dxfId="2" priority="15" operator="greaterThan">
      <formula>1.1</formula>
    </cfRule>
  </conditionalFormatting>
  <conditionalFormatting sqref="H28:H37">
    <cfRule type="cellIs" dxfId="1" priority="4" operator="greaterThan">
      <formula>1.1</formula>
    </cfRule>
  </conditionalFormatting>
  <conditionalFormatting sqref="I5">
    <cfRule type="cellIs" dxfId="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4D7A-EDB9-469B-ACB1-6C1F53770119}">
  <sheetPr>
    <tabColor rgb="FFFF0000"/>
    <pageSetUpPr fitToPage="1"/>
  </sheetPr>
  <dimension ref="A1:R56"/>
  <sheetViews>
    <sheetView topLeftCell="A16" zoomScale="70" zoomScaleNormal="70" workbookViewId="0">
      <selection activeCell="J33" sqref="J33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45929</v>
      </c>
      <c r="B3" s="149"/>
      <c r="C3" s="150">
        <v>7679816.0899999999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18535.7232</v>
      </c>
      <c r="E5" s="24">
        <f>D5/C3</f>
        <v>2.4135634216730312E-3</v>
      </c>
      <c r="F5" s="23">
        <v>54681.687500000015</v>
      </c>
      <c r="G5" s="25">
        <f>F5/C3</f>
        <v>7.1201818974808307E-3</v>
      </c>
      <c r="H5" s="26">
        <f>SUM(C12:C21)</f>
        <v>5601.3797000000004</v>
      </c>
      <c r="I5" s="27">
        <f>H5/D5</f>
        <v>0.30219374985055886</v>
      </c>
      <c r="J5" s="26">
        <f>SUM(C28:C37)</f>
        <v>20571.504299999986</v>
      </c>
      <c r="K5" s="28">
        <f>J5/F5</f>
        <v>0.37620463523551612</v>
      </c>
      <c r="L5" s="29">
        <v>2344.9750999999997</v>
      </c>
      <c r="M5" s="30">
        <f>L5/D5</f>
        <v>0.12651111988983518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205</v>
      </c>
      <c r="C12" s="36">
        <v>1114.1831999999999</v>
      </c>
      <c r="D12" s="37">
        <v>505.78</v>
      </c>
      <c r="E12" s="37">
        <v>509.96</v>
      </c>
      <c r="F12" s="37">
        <v>14.44</v>
      </c>
      <c r="G12" s="36">
        <v>82.41</v>
      </c>
      <c r="H12" s="38">
        <f>(E12+F12)/D12</f>
        <v>1.0368144252441773</v>
      </c>
      <c r="I12" s="36">
        <v>1534.4742000000003</v>
      </c>
      <c r="J12" s="37">
        <v>13.52</v>
      </c>
      <c r="K12" s="39">
        <f>J12/D12</f>
        <v>2.6730989758392977E-2</v>
      </c>
      <c r="L12" s="40">
        <f>((E12+F12)-D12)-J12</f>
        <v>5.100000000000005</v>
      </c>
      <c r="M12" s="41">
        <f>L12/D12</f>
        <v>1.0083435485784343E-2</v>
      </c>
      <c r="N12" s="42">
        <f t="shared" ref="N12:N21" si="0">L12*G12</f>
        <v>420.29100000000039</v>
      </c>
      <c r="O12" s="43" t="s">
        <v>57</v>
      </c>
      <c r="P12" s="69" t="s">
        <v>235</v>
      </c>
      <c r="Q12" s="44"/>
      <c r="R12" s="45" t="s">
        <v>206</v>
      </c>
    </row>
    <row r="13" spans="1:18" s="46" customFormat="1" ht="24.95" customHeight="1" x14ac:dyDescent="0.25">
      <c r="A13" s="47">
        <v>2</v>
      </c>
      <c r="B13" s="35" t="s">
        <v>139</v>
      </c>
      <c r="C13" s="36">
        <v>1059.8665999999998</v>
      </c>
      <c r="D13" s="37">
        <v>35.57</v>
      </c>
      <c r="E13" s="37">
        <v>37.26</v>
      </c>
      <c r="F13" s="37">
        <v>0</v>
      </c>
      <c r="G13" s="36">
        <v>627.14</v>
      </c>
      <c r="H13" s="38">
        <f t="shared" ref="H13:H21" si="1">(E13+F13)/D13</f>
        <v>1.0475119482710149</v>
      </c>
      <c r="I13" s="36">
        <v>1059.8665999999985</v>
      </c>
      <c r="J13" s="37">
        <v>1.69</v>
      </c>
      <c r="K13" s="39">
        <f>J13/D13</f>
        <v>4.7511948271014896E-2</v>
      </c>
      <c r="L13" s="40">
        <f t="shared" ref="L13:L21" si="2">((E13+F13)-D13)-J13</f>
        <v>-2.2204460492503131E-15</v>
      </c>
      <c r="M13" s="41">
        <f t="shared" ref="M13:M21" si="3">L13/D13</f>
        <v>-6.2424685106840406E-17</v>
      </c>
      <c r="N13" s="42">
        <f t="shared" si="0"/>
        <v>-1.3925305353268413E-12</v>
      </c>
      <c r="O13" s="43" t="s">
        <v>57</v>
      </c>
      <c r="P13" s="69" t="s">
        <v>235</v>
      </c>
      <c r="Q13" s="44"/>
      <c r="R13" s="45" t="s">
        <v>140</v>
      </c>
    </row>
    <row r="14" spans="1:18" s="46" customFormat="1" ht="24.95" customHeight="1" x14ac:dyDescent="0.25">
      <c r="A14" s="47">
        <v>3</v>
      </c>
      <c r="B14" s="35" t="s">
        <v>71</v>
      </c>
      <c r="C14" s="36">
        <v>908.86799999999994</v>
      </c>
      <c r="D14" s="37">
        <v>190.32</v>
      </c>
      <c r="E14" s="37">
        <v>197.72</v>
      </c>
      <c r="F14" s="37">
        <v>0</v>
      </c>
      <c r="G14" s="36">
        <v>122.82</v>
      </c>
      <c r="H14" s="38">
        <f>(E14+F14)/D14</f>
        <v>1.0388818831441782</v>
      </c>
      <c r="I14" s="36">
        <v>908.86800000000062</v>
      </c>
      <c r="J14" s="37">
        <v>7.4</v>
      </c>
      <c r="K14" s="39">
        <f t="shared" ref="K14:K21" si="4">J14/D14</f>
        <v>3.8881883144178231E-2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69" t="s">
        <v>235</v>
      </c>
      <c r="Q14" s="44"/>
      <c r="R14" s="45" t="s">
        <v>72</v>
      </c>
    </row>
    <row r="15" spans="1:18" s="46" customFormat="1" ht="24.95" customHeight="1" x14ac:dyDescent="0.25">
      <c r="A15" s="34">
        <v>4</v>
      </c>
      <c r="B15" s="35" t="s">
        <v>59</v>
      </c>
      <c r="C15" s="36">
        <v>695.25</v>
      </c>
      <c r="D15" s="37">
        <v>3956</v>
      </c>
      <c r="E15" s="37">
        <v>4001</v>
      </c>
      <c r="F15" s="37">
        <v>0</v>
      </c>
      <c r="G15" s="36">
        <v>15.45</v>
      </c>
      <c r="H15" s="38">
        <f>(E15+F15)/D15</f>
        <v>1.0113751263902933</v>
      </c>
      <c r="I15" s="36">
        <v>695.25</v>
      </c>
      <c r="J15" s="37">
        <v>45</v>
      </c>
      <c r="K15" s="39">
        <f t="shared" si="4"/>
        <v>1.1375126390293226E-2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60</v>
      </c>
      <c r="Q15" s="44" t="s">
        <v>61</v>
      </c>
      <c r="R15" s="45" t="s">
        <v>62</v>
      </c>
    </row>
    <row r="16" spans="1:18" s="46" customFormat="1" ht="24.95" customHeight="1" x14ac:dyDescent="0.25">
      <c r="A16" s="47">
        <v>5</v>
      </c>
      <c r="B16" s="35" t="s">
        <v>133</v>
      </c>
      <c r="C16" s="36">
        <v>316.1925</v>
      </c>
      <c r="D16" s="37">
        <v>203.38</v>
      </c>
      <c r="E16" s="37">
        <v>208.84</v>
      </c>
      <c r="F16" s="37">
        <v>0</v>
      </c>
      <c r="G16" s="36">
        <v>152.75</v>
      </c>
      <c r="H16" s="38">
        <f t="shared" si="1"/>
        <v>1.0268462975710493</v>
      </c>
      <c r="I16" s="36">
        <v>834.01500000000124</v>
      </c>
      <c r="J16" s="37">
        <v>2.0699999999999998</v>
      </c>
      <c r="K16" s="39">
        <f t="shared" si="4"/>
        <v>1.017799193627692E-2</v>
      </c>
      <c r="L16" s="40">
        <f t="shared" si="2"/>
        <v>3.3900000000000081</v>
      </c>
      <c r="M16" s="41">
        <f t="shared" si="3"/>
        <v>1.6668305634772389E-2</v>
      </c>
      <c r="N16" s="42">
        <f t="shared" si="0"/>
        <v>517.82250000000124</v>
      </c>
      <c r="O16" s="43" t="s">
        <v>57</v>
      </c>
      <c r="P16" s="69" t="s">
        <v>235</v>
      </c>
      <c r="Q16" s="44"/>
      <c r="R16" s="45" t="s">
        <v>128</v>
      </c>
    </row>
    <row r="17" spans="1:18" s="46" customFormat="1" ht="24.95" customHeight="1" x14ac:dyDescent="0.25">
      <c r="A17" s="34">
        <v>6</v>
      </c>
      <c r="B17" s="35" t="s">
        <v>103</v>
      </c>
      <c r="C17" s="36">
        <v>313.05959999999999</v>
      </c>
      <c r="D17" s="37">
        <v>47.43</v>
      </c>
      <c r="E17" s="37">
        <v>49.59</v>
      </c>
      <c r="F17" s="37">
        <v>0</v>
      </c>
      <c r="G17" s="36">
        <v>248.46</v>
      </c>
      <c r="H17" s="38">
        <f t="shared" si="1"/>
        <v>1.045540796963947</v>
      </c>
      <c r="I17" s="36">
        <v>536.67360000000099</v>
      </c>
      <c r="J17" s="37">
        <v>1.26</v>
      </c>
      <c r="K17" s="39">
        <f t="shared" si="4"/>
        <v>2.6565464895635674E-2</v>
      </c>
      <c r="L17" s="40">
        <f t="shared" si="2"/>
        <v>0.90000000000000369</v>
      </c>
      <c r="M17" s="41">
        <f t="shared" si="3"/>
        <v>1.8975332068311274E-2</v>
      </c>
      <c r="N17" s="42">
        <f t="shared" si="0"/>
        <v>223.61400000000091</v>
      </c>
      <c r="O17" s="43" t="s">
        <v>57</v>
      </c>
      <c r="P17" s="69" t="s">
        <v>235</v>
      </c>
      <c r="Q17" s="44"/>
      <c r="R17" s="45" t="s">
        <v>58</v>
      </c>
    </row>
    <row r="18" spans="1:18" s="46" customFormat="1" ht="24.95" customHeight="1" x14ac:dyDescent="0.25">
      <c r="A18" s="47">
        <v>7</v>
      </c>
      <c r="B18" s="35" t="s">
        <v>114</v>
      </c>
      <c r="C18" s="36">
        <v>300.34039999999999</v>
      </c>
      <c r="D18" s="37">
        <v>112.2</v>
      </c>
      <c r="E18" s="37">
        <v>114.62</v>
      </c>
      <c r="F18" s="37">
        <v>0</v>
      </c>
      <c r="G18" s="36">
        <v>141.66999999999999</v>
      </c>
      <c r="H18" s="38">
        <f t="shared" si="1"/>
        <v>1.0215686274509803</v>
      </c>
      <c r="I18" s="36">
        <v>342.84140000000019</v>
      </c>
      <c r="J18" s="37">
        <v>2.12</v>
      </c>
      <c r="K18" s="39">
        <f t="shared" si="4"/>
        <v>1.8894830659536541E-2</v>
      </c>
      <c r="L18" s="40">
        <f>((E18+F18)-D18)-J18</f>
        <v>0.3000000000000016</v>
      </c>
      <c r="M18" s="41">
        <f t="shared" si="3"/>
        <v>2.6737967914438644E-3</v>
      </c>
      <c r="N18" s="42">
        <f t="shared" si="0"/>
        <v>42.501000000000225</v>
      </c>
      <c r="O18" s="43" t="s">
        <v>57</v>
      </c>
      <c r="P18" s="69" t="s">
        <v>236</v>
      </c>
      <c r="Q18" s="44"/>
      <c r="R18" s="45" t="s">
        <v>95</v>
      </c>
    </row>
    <row r="19" spans="1:18" s="46" customFormat="1" ht="24.95" customHeight="1" x14ac:dyDescent="0.25">
      <c r="A19" s="34">
        <v>8</v>
      </c>
      <c r="B19" s="35" t="s">
        <v>117</v>
      </c>
      <c r="C19" s="36">
        <v>299.52</v>
      </c>
      <c r="D19" s="37">
        <v>148.96</v>
      </c>
      <c r="E19" s="37">
        <v>152.08000000000001</v>
      </c>
      <c r="F19" s="37">
        <v>0</v>
      </c>
      <c r="G19" s="36">
        <v>96</v>
      </c>
      <c r="H19" s="38">
        <f t="shared" si="1"/>
        <v>1.0209452201933404</v>
      </c>
      <c r="I19" s="36">
        <v>299.52000000000044</v>
      </c>
      <c r="J19" s="37">
        <v>3.12</v>
      </c>
      <c r="K19" s="39">
        <f t="shared" si="4"/>
        <v>2.0945220193340493E-2</v>
      </c>
      <c r="L19" s="40">
        <f t="shared" si="2"/>
        <v>4.4408920985006262E-15</v>
      </c>
      <c r="M19" s="41">
        <f t="shared" si="3"/>
        <v>2.9812648351910757E-17</v>
      </c>
      <c r="N19" s="42">
        <f t="shared" si="0"/>
        <v>4.2632564145606011E-13</v>
      </c>
      <c r="O19" s="43" t="s">
        <v>57</v>
      </c>
      <c r="P19" s="69" t="s">
        <v>84</v>
      </c>
      <c r="Q19" s="44"/>
      <c r="R19" s="45" t="s">
        <v>119</v>
      </c>
    </row>
    <row r="20" spans="1:18" s="46" customFormat="1" ht="24.95" customHeight="1" x14ac:dyDescent="0.25">
      <c r="A20" s="47">
        <v>9</v>
      </c>
      <c r="B20" s="35" t="s">
        <v>82</v>
      </c>
      <c r="C20" s="36">
        <v>297.80860000000001</v>
      </c>
      <c r="D20" s="37">
        <v>802.38</v>
      </c>
      <c r="E20" s="37">
        <v>798.24</v>
      </c>
      <c r="F20" s="37">
        <v>12.96</v>
      </c>
      <c r="G20" s="36">
        <v>147.43</v>
      </c>
      <c r="H20" s="38">
        <f t="shared" si="1"/>
        <v>1.0109922979137067</v>
      </c>
      <c r="I20" s="36">
        <v>1300.3326000000075</v>
      </c>
      <c r="J20" s="37">
        <v>2.02</v>
      </c>
      <c r="K20" s="39">
        <f t="shared" si="4"/>
        <v>2.5175104065405418E-3</v>
      </c>
      <c r="L20" s="40">
        <f t="shared" si="2"/>
        <v>6.8000000000000504</v>
      </c>
      <c r="M20" s="41">
        <f t="shared" si="3"/>
        <v>8.474787507166244E-3</v>
      </c>
      <c r="N20" s="42">
        <f t="shared" si="0"/>
        <v>1002.5240000000075</v>
      </c>
      <c r="O20" s="43" t="s">
        <v>57</v>
      </c>
      <c r="P20" s="69" t="s">
        <v>84</v>
      </c>
      <c r="Q20" s="44" t="s">
        <v>85</v>
      </c>
      <c r="R20" s="45" t="s">
        <v>58</v>
      </c>
    </row>
    <row r="21" spans="1:18" s="46" customFormat="1" ht="24.95" customHeight="1" thickBot="1" x14ac:dyDescent="0.3">
      <c r="A21" s="48">
        <v>10</v>
      </c>
      <c r="B21" s="49" t="s">
        <v>242</v>
      </c>
      <c r="C21" s="50">
        <v>296.29080000000005</v>
      </c>
      <c r="D21" s="51">
        <v>46.8</v>
      </c>
      <c r="E21" s="51">
        <v>48.36</v>
      </c>
      <c r="F21" s="51">
        <v>0</v>
      </c>
      <c r="G21" s="50">
        <v>189.93</v>
      </c>
      <c r="H21" s="52">
        <f t="shared" si="1"/>
        <v>1.0333333333333334</v>
      </c>
      <c r="I21" s="50">
        <v>296.29080000000044</v>
      </c>
      <c r="J21" s="51">
        <v>1.56</v>
      </c>
      <c r="K21" s="53">
        <f t="shared" si="4"/>
        <v>3.333333333333334E-2</v>
      </c>
      <c r="L21" s="54">
        <f t="shared" si="2"/>
        <v>2.2204460492503131E-15</v>
      </c>
      <c r="M21" s="55">
        <f t="shared" si="3"/>
        <v>4.7445428402784472E-17</v>
      </c>
      <c r="N21" s="56">
        <f t="shared" si="0"/>
        <v>4.21729318134112E-13</v>
      </c>
      <c r="O21" s="57" t="s">
        <v>57</v>
      </c>
      <c r="P21" s="57" t="s">
        <v>236</v>
      </c>
      <c r="Q21" s="57"/>
      <c r="R21" s="58" t="s">
        <v>72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122</v>
      </c>
      <c r="C28" s="36">
        <v>3514.8624000000027</v>
      </c>
      <c r="D28" s="37">
        <v>14.04</v>
      </c>
      <c r="E28" s="37">
        <v>14.92</v>
      </c>
      <c r="F28" s="37">
        <v>0.8</v>
      </c>
      <c r="G28" s="36">
        <v>2092.1799999999998</v>
      </c>
      <c r="H28" s="68">
        <f t="shared" ref="H28:H37" si="5">(E28+F28)/D28</f>
        <v>1.1196581196581197</v>
      </c>
      <c r="I28" s="36">
        <v>3514.8624000000027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>((E28+F28)-D28)-J28</f>
        <v>1.6800000000000015</v>
      </c>
      <c r="N28" s="41">
        <f t="shared" ref="N28:N37" si="8">M28/D28</f>
        <v>0.11965811965811977</v>
      </c>
      <c r="O28" s="43" t="s">
        <v>83</v>
      </c>
      <c r="P28" s="69" t="s">
        <v>235</v>
      </c>
      <c r="Q28" s="44"/>
      <c r="R28" s="45" t="s">
        <v>123</v>
      </c>
    </row>
    <row r="29" spans="1:18" s="67" customFormat="1" ht="24.95" customHeight="1" x14ac:dyDescent="0.25">
      <c r="A29" s="47">
        <v>2</v>
      </c>
      <c r="B29" s="35" t="s">
        <v>150</v>
      </c>
      <c r="C29" s="36">
        <v>2886.475199999993</v>
      </c>
      <c r="D29" s="37">
        <v>376.16</v>
      </c>
      <c r="E29" s="37">
        <v>383.39</v>
      </c>
      <c r="F29" s="37">
        <v>3.61</v>
      </c>
      <c r="G29" s="36">
        <v>266.27999999999997</v>
      </c>
      <c r="H29" s="68">
        <f t="shared" si="5"/>
        <v>1.0288175244576776</v>
      </c>
      <c r="I29" s="36">
        <v>2886.475199999993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ref="M29:M37" si="9">((E29+F29)-D29)-J29</f>
        <v>10.839999999999975</v>
      </c>
      <c r="N29" s="41">
        <f t="shared" si="8"/>
        <v>2.8817524457677515E-2</v>
      </c>
      <c r="O29" s="43" t="s">
        <v>83</v>
      </c>
      <c r="P29" s="69" t="s">
        <v>235</v>
      </c>
      <c r="Q29" s="44"/>
      <c r="R29" s="45" t="s">
        <v>151</v>
      </c>
    </row>
    <row r="30" spans="1:18" s="67" customFormat="1" ht="24.95" customHeight="1" x14ac:dyDescent="0.25">
      <c r="A30" s="47">
        <v>3</v>
      </c>
      <c r="B30" s="35" t="s">
        <v>94</v>
      </c>
      <c r="C30" s="36">
        <v>2707.8365999999992</v>
      </c>
      <c r="D30" s="37">
        <v>201.03</v>
      </c>
      <c r="E30" s="37">
        <v>199.91</v>
      </c>
      <c r="F30" s="37">
        <v>5.59</v>
      </c>
      <c r="G30" s="36">
        <v>605.78</v>
      </c>
      <c r="H30" s="68">
        <f t="shared" si="5"/>
        <v>1.0222354872407102</v>
      </c>
      <c r="I30" s="36">
        <v>2707.8365999999992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9"/>
        <v>4.4699999999999989</v>
      </c>
      <c r="N30" s="41">
        <f t="shared" si="8"/>
        <v>2.2235487240710335E-2</v>
      </c>
      <c r="O30" s="43" t="s">
        <v>83</v>
      </c>
      <c r="P30" s="44" t="s">
        <v>60</v>
      </c>
      <c r="Q30" s="44" t="s">
        <v>87</v>
      </c>
      <c r="R30" s="45" t="s">
        <v>95</v>
      </c>
    </row>
    <row r="31" spans="1:18" s="67" customFormat="1" ht="24.95" customHeight="1" x14ac:dyDescent="0.25">
      <c r="A31" s="34">
        <v>4</v>
      </c>
      <c r="B31" s="35" t="s">
        <v>142</v>
      </c>
      <c r="C31" s="36">
        <v>2622.426100000002</v>
      </c>
      <c r="D31" s="37">
        <v>109.71</v>
      </c>
      <c r="E31" s="37">
        <v>107.28</v>
      </c>
      <c r="F31" s="37">
        <v>25.46</v>
      </c>
      <c r="G31" s="36">
        <v>113.87</v>
      </c>
      <c r="H31" s="68">
        <f t="shared" si="5"/>
        <v>1.2099170540515907</v>
      </c>
      <c r="I31" s="36">
        <v>2622.426100000002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9"/>
        <v>23.030000000000015</v>
      </c>
      <c r="N31" s="41">
        <f t="shared" si="8"/>
        <v>0.2099170540515907</v>
      </c>
      <c r="O31" s="43" t="s">
        <v>83</v>
      </c>
      <c r="P31" s="69" t="s">
        <v>235</v>
      </c>
      <c r="Q31" s="44"/>
      <c r="R31" s="45" t="s">
        <v>121</v>
      </c>
    </row>
    <row r="32" spans="1:18" s="67" customFormat="1" ht="24.95" customHeight="1" x14ac:dyDescent="0.25">
      <c r="A32" s="47">
        <v>5</v>
      </c>
      <c r="B32" s="35" t="s">
        <v>86</v>
      </c>
      <c r="C32" s="36">
        <v>1675.2566999999899</v>
      </c>
      <c r="D32" s="37">
        <v>5243.67</v>
      </c>
      <c r="E32" s="37">
        <v>5207.8999999999996</v>
      </c>
      <c r="F32" s="37">
        <v>78.3</v>
      </c>
      <c r="G32" s="36">
        <v>39.39</v>
      </c>
      <c r="H32" s="68">
        <f t="shared" si="5"/>
        <v>1.0081107316059172</v>
      </c>
      <c r="I32" s="36">
        <v>1675.2566999999899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9"/>
        <v>42.529999999999745</v>
      </c>
      <c r="N32" s="41">
        <f t="shared" si="8"/>
        <v>8.1107316059171805E-3</v>
      </c>
      <c r="O32" s="43" t="s">
        <v>83</v>
      </c>
      <c r="P32" s="44" t="s">
        <v>60</v>
      </c>
      <c r="Q32" s="44" t="s">
        <v>87</v>
      </c>
      <c r="R32" s="45" t="s">
        <v>58</v>
      </c>
    </row>
    <row r="33" spans="1:18" s="67" customFormat="1" ht="24.95" customHeight="1" x14ac:dyDescent="0.25">
      <c r="A33" s="34">
        <v>6</v>
      </c>
      <c r="B33" s="35" t="s">
        <v>188</v>
      </c>
      <c r="C33" s="36">
        <v>1506.4103999999991</v>
      </c>
      <c r="D33" s="37">
        <v>32.49</v>
      </c>
      <c r="E33" s="37">
        <v>32.630000000000003</v>
      </c>
      <c r="F33" s="37">
        <v>3.3</v>
      </c>
      <c r="G33" s="36">
        <v>437.91</v>
      </c>
      <c r="H33" s="68">
        <f t="shared" si="5"/>
        <v>1.105878731917513</v>
      </c>
      <c r="I33" s="36">
        <v>1506.4103999999991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9"/>
        <v>3.4399999999999977</v>
      </c>
      <c r="N33" s="41">
        <f t="shared" si="8"/>
        <v>0.105878731917513</v>
      </c>
      <c r="O33" s="43" t="s">
        <v>83</v>
      </c>
      <c r="P33" s="69" t="s">
        <v>235</v>
      </c>
      <c r="Q33" s="44"/>
      <c r="R33" s="45" t="s">
        <v>182</v>
      </c>
    </row>
    <row r="34" spans="1:18" s="67" customFormat="1" ht="24.95" customHeight="1" x14ac:dyDescent="0.25">
      <c r="A34" s="47">
        <v>7</v>
      </c>
      <c r="B34" s="35" t="s">
        <v>125</v>
      </c>
      <c r="C34" s="36">
        <v>1487.9999999999995</v>
      </c>
      <c r="D34" s="37">
        <v>140.57</v>
      </c>
      <c r="E34" s="37">
        <v>140.78</v>
      </c>
      <c r="F34" s="37">
        <v>7.23</v>
      </c>
      <c r="G34" s="36">
        <v>200</v>
      </c>
      <c r="H34" s="68">
        <f t="shared" si="5"/>
        <v>1.0529273671480401</v>
      </c>
      <c r="I34" s="36">
        <v>1487.9999999999995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9"/>
        <v>7.4399999999999977</v>
      </c>
      <c r="N34" s="41">
        <f t="shared" si="8"/>
        <v>5.2927367148040111E-2</v>
      </c>
      <c r="O34" s="43" t="s">
        <v>83</v>
      </c>
      <c r="P34" s="69" t="s">
        <v>235</v>
      </c>
      <c r="Q34" s="44"/>
      <c r="R34" s="45" t="s">
        <v>58</v>
      </c>
    </row>
    <row r="35" spans="1:18" s="67" customFormat="1" ht="24.95" customHeight="1" x14ac:dyDescent="0.25">
      <c r="A35" s="34">
        <v>8</v>
      </c>
      <c r="B35" s="35" t="s">
        <v>92</v>
      </c>
      <c r="C35" s="36">
        <v>1464.7892000000008</v>
      </c>
      <c r="D35" s="37">
        <v>357.84</v>
      </c>
      <c r="E35" s="37">
        <v>338.52</v>
      </c>
      <c r="F35" s="37">
        <v>40.18</v>
      </c>
      <c r="G35" s="36">
        <v>70.22</v>
      </c>
      <c r="H35" s="68">
        <f t="shared" si="5"/>
        <v>1.0582942097026604</v>
      </c>
      <c r="I35" s="36">
        <v>1464.7892000000008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9"/>
        <v>20.860000000000014</v>
      </c>
      <c r="N35" s="41">
        <f t="shared" si="8"/>
        <v>5.829420970266045E-2</v>
      </c>
      <c r="O35" s="43" t="s">
        <v>83</v>
      </c>
      <c r="P35" s="69" t="s">
        <v>235</v>
      </c>
      <c r="Q35" s="44"/>
      <c r="R35" s="45" t="s">
        <v>93</v>
      </c>
    </row>
    <row r="36" spans="1:18" s="67" customFormat="1" ht="24.95" customHeight="1" x14ac:dyDescent="0.25">
      <c r="A36" s="47">
        <v>9</v>
      </c>
      <c r="B36" s="35" t="s">
        <v>124</v>
      </c>
      <c r="C36" s="36">
        <v>1392.1059000000037</v>
      </c>
      <c r="D36" s="37">
        <v>51.97</v>
      </c>
      <c r="E36" s="37">
        <v>50.38</v>
      </c>
      <c r="F36" s="37">
        <v>3.6</v>
      </c>
      <c r="G36" s="36">
        <v>692.59</v>
      </c>
      <c r="H36" s="68">
        <f t="shared" si="5"/>
        <v>1.0386761593226863</v>
      </c>
      <c r="I36" s="36">
        <v>1392.1059000000037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9"/>
        <v>2.0100000000000051</v>
      </c>
      <c r="N36" s="41">
        <f t="shared" si="8"/>
        <v>3.8676159322686261E-2</v>
      </c>
      <c r="O36" s="43" t="s">
        <v>97</v>
      </c>
      <c r="P36" s="69" t="s">
        <v>235</v>
      </c>
      <c r="Q36" s="44"/>
      <c r="R36" s="45" t="s">
        <v>121</v>
      </c>
    </row>
    <row r="37" spans="1:18" s="67" customFormat="1" ht="24.95" customHeight="1" thickBot="1" x14ac:dyDescent="0.3">
      <c r="A37" s="48">
        <v>10</v>
      </c>
      <c r="B37" s="49" t="s">
        <v>164</v>
      </c>
      <c r="C37" s="50">
        <v>1313.3418000000008</v>
      </c>
      <c r="D37" s="51">
        <v>359.94</v>
      </c>
      <c r="E37" s="51">
        <v>358.8</v>
      </c>
      <c r="F37" s="51">
        <v>21</v>
      </c>
      <c r="G37" s="50">
        <v>66.13</v>
      </c>
      <c r="H37" s="70">
        <f t="shared" si="5"/>
        <v>1.0551758626437739</v>
      </c>
      <c r="I37" s="50">
        <v>1313.3418000000008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9"/>
        <v>19.860000000000014</v>
      </c>
      <c r="N37" s="55">
        <f t="shared" si="8"/>
        <v>5.5175862643773999E-2</v>
      </c>
      <c r="O37" s="57" t="s">
        <v>97</v>
      </c>
      <c r="P37" s="71" t="s">
        <v>235</v>
      </c>
      <c r="Q37" s="72"/>
      <c r="R37" s="58" t="s">
        <v>165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103</v>
      </c>
      <c r="C44" s="36">
        <v>313.05959999999999</v>
      </c>
      <c r="D44" s="78">
        <f t="shared" ref="D44:D53" si="10">C44/$L$5</f>
        <v>0.13350231309492372</v>
      </c>
      <c r="E44" s="79"/>
    </row>
    <row r="45" spans="1:18" s="80" customFormat="1" ht="24.95" customHeight="1" x14ac:dyDescent="0.25">
      <c r="A45" s="81">
        <v>2</v>
      </c>
      <c r="B45" s="35" t="s">
        <v>82</v>
      </c>
      <c r="C45" s="36">
        <v>297.80860000000001</v>
      </c>
      <c r="D45" s="78">
        <f t="shared" si="10"/>
        <v>0.12699861930303655</v>
      </c>
      <c r="E45" s="79"/>
    </row>
    <row r="46" spans="1:18" s="80" customFormat="1" ht="24.95" customHeight="1" x14ac:dyDescent="0.25">
      <c r="A46" s="81">
        <v>3</v>
      </c>
      <c r="B46" s="35" t="s">
        <v>105</v>
      </c>
      <c r="C46" s="36">
        <v>294</v>
      </c>
      <c r="D46" s="78">
        <f t="shared" si="10"/>
        <v>0.12537446559667095</v>
      </c>
      <c r="E46" s="79"/>
    </row>
    <row r="47" spans="1:18" s="80" customFormat="1" ht="24.95" customHeight="1" x14ac:dyDescent="0.25">
      <c r="A47" s="77">
        <v>4</v>
      </c>
      <c r="B47" s="35" t="s">
        <v>106</v>
      </c>
      <c r="C47" s="36">
        <v>259.536</v>
      </c>
      <c r="D47" s="78">
        <f t="shared" si="10"/>
        <v>0.11067750783366528</v>
      </c>
      <c r="E47" s="79"/>
    </row>
    <row r="48" spans="1:18" s="80" customFormat="1" ht="24.95" customHeight="1" x14ac:dyDescent="0.25">
      <c r="A48" s="81">
        <v>5</v>
      </c>
      <c r="B48" s="35" t="s">
        <v>104</v>
      </c>
      <c r="C48" s="36">
        <v>231.66</v>
      </c>
      <c r="D48" s="78">
        <f t="shared" si="10"/>
        <v>9.8789961565050322E-2</v>
      </c>
      <c r="E48" s="79"/>
    </row>
    <row r="49" spans="1:5" s="80" customFormat="1" ht="24.95" customHeight="1" x14ac:dyDescent="0.25">
      <c r="A49" s="77">
        <v>6</v>
      </c>
      <c r="B49" s="35" t="s">
        <v>73</v>
      </c>
      <c r="C49" s="36">
        <v>209.96710000000002</v>
      </c>
      <c r="D49" s="78">
        <f t="shared" si="10"/>
        <v>8.9539159712186303E-2</v>
      </c>
      <c r="E49" s="79"/>
    </row>
    <row r="50" spans="1:5" s="80" customFormat="1" ht="24.95" customHeight="1" x14ac:dyDescent="0.25">
      <c r="A50" s="81">
        <v>7</v>
      </c>
      <c r="B50" s="35" t="s">
        <v>147</v>
      </c>
      <c r="C50" s="36">
        <v>202.33279999999999</v>
      </c>
      <c r="D50" s="78">
        <f t="shared" si="10"/>
        <v>8.6283560111150015E-2</v>
      </c>
      <c r="E50" s="79"/>
    </row>
    <row r="51" spans="1:5" s="80" customFormat="1" ht="24.95" customHeight="1" x14ac:dyDescent="0.25">
      <c r="A51" s="77">
        <v>8</v>
      </c>
      <c r="B51" s="35" t="s">
        <v>110</v>
      </c>
      <c r="C51" s="36">
        <v>185.57</v>
      </c>
      <c r="D51" s="78">
        <f t="shared" si="10"/>
        <v>7.9135168642089221E-2</v>
      </c>
      <c r="E51" s="79"/>
    </row>
    <row r="52" spans="1:5" s="80" customFormat="1" ht="24.95" customHeight="1" x14ac:dyDescent="0.25">
      <c r="A52" s="81">
        <v>9</v>
      </c>
      <c r="B52" s="35" t="s">
        <v>168</v>
      </c>
      <c r="C52" s="36">
        <v>146.03849999999997</v>
      </c>
      <c r="D52" s="78">
        <f t="shared" si="10"/>
        <v>6.2277207122583091E-2</v>
      </c>
      <c r="E52" s="79"/>
    </row>
    <row r="53" spans="1:5" s="80" customFormat="1" ht="24.95" customHeight="1" thickBot="1" x14ac:dyDescent="0.3">
      <c r="A53" s="82">
        <v>10</v>
      </c>
      <c r="B53" s="49" t="s">
        <v>109</v>
      </c>
      <c r="C53" s="50">
        <v>86.88000000000001</v>
      </c>
      <c r="D53" s="83">
        <f t="shared" si="10"/>
        <v>3.7049433915097872E-2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19" priority="34" operator="containsText" text="中華">
      <formula>NOT(ISERROR(SEARCH("中華",A12)))</formula>
    </cfRule>
    <cfRule type="containsText" dxfId="1018" priority="33" operator="containsText" text="湯凍">
      <formula>NOT(ISERROR(SEARCH("湯凍",A12)))</formula>
    </cfRule>
    <cfRule type="containsText" dxfId="1017" priority="32" operator="containsText" text=")川燙小青花菜">
      <formula>NOT(ISERROR(SEARCH(")川燙小青花菜",A12)))</formula>
    </cfRule>
    <cfRule type="containsText" dxfId="1016" priority="31" operator="containsText" text="青蔥">
      <formula>NOT(ISERROR(SEARCH("青蔥",A12)))</formula>
    </cfRule>
    <cfRule type="containsText" dxfId="1015" priority="30" operator="containsText" text="白醬">
      <formula>NOT(ISERROR(SEARCH("白醬",A12)))</formula>
    </cfRule>
    <cfRule type="containsText" dxfId="1014" priority="29" operator="containsText" text="024">
      <formula>NOT(ISERROR(SEARCH("024",A12)))</formula>
    </cfRule>
    <cfRule type="containsText" dxfId="1013" priority="28" operator="containsText" text="煮白細麵生(方#12)">
      <formula>NOT(ISERROR(SEARCH("煮白細麵生(方#12)",A12)))</formula>
    </cfRule>
    <cfRule type="containsText" dxfId="1012" priority="27" operator="containsText" text="綠豆芽">
      <formula>NOT(ISERROR(SEARCH("綠豆芽",A12)))</formula>
    </cfRule>
  </conditionalFormatting>
  <conditionalFormatting sqref="A28:A37">
    <cfRule type="containsText" dxfId="1011" priority="5" operator="containsText" text="綠豆芽">
      <formula>NOT(ISERROR(SEARCH("綠豆芽",A28)))</formula>
    </cfRule>
    <cfRule type="containsText" dxfId="1010" priority="6" operator="containsText" text="煮白細麵生(方#12)">
      <formula>NOT(ISERROR(SEARCH("煮白細麵生(方#12)",A28)))</formula>
    </cfRule>
    <cfRule type="containsText" dxfId="1009" priority="7" operator="containsText" text="024">
      <formula>NOT(ISERROR(SEARCH("024",A28)))</formula>
    </cfRule>
    <cfRule type="containsText" dxfId="1008" priority="8" operator="containsText" text="白醬">
      <formula>NOT(ISERROR(SEARCH("白醬",A28)))</formula>
    </cfRule>
    <cfRule type="containsText" dxfId="1007" priority="9" operator="containsText" text="青蔥">
      <formula>NOT(ISERROR(SEARCH("青蔥",A28)))</formula>
    </cfRule>
    <cfRule type="containsText" dxfId="1006" priority="10" operator="containsText" text=")川燙小青花菜">
      <formula>NOT(ISERROR(SEARCH(")川燙小青花菜",A28)))</formula>
    </cfRule>
    <cfRule type="containsText" dxfId="1005" priority="11" operator="containsText" text="湯凍">
      <formula>NOT(ISERROR(SEARCH("湯凍",A28)))</formula>
    </cfRule>
    <cfRule type="containsText" dxfId="1004" priority="12" operator="containsText" text="中華">
      <formula>NOT(ISERROR(SEARCH("中華",A28)))</formula>
    </cfRule>
  </conditionalFormatting>
  <conditionalFormatting sqref="A44:A53">
    <cfRule type="containsText" dxfId="1003" priority="17" operator="containsText" text="綠豆芽">
      <formula>NOT(ISERROR(SEARCH("綠豆芽",A44)))</formula>
    </cfRule>
    <cfRule type="containsText" dxfId="1002" priority="18" operator="containsText" text="煮白細麵生(方#12)">
      <formula>NOT(ISERROR(SEARCH("煮白細麵生(方#12)",A44)))</formula>
    </cfRule>
    <cfRule type="containsText" dxfId="1001" priority="19" operator="containsText" text="024">
      <formula>NOT(ISERROR(SEARCH("024",A44)))</formula>
    </cfRule>
    <cfRule type="containsText" dxfId="1000" priority="20" operator="containsText" text="白醬">
      <formula>NOT(ISERROR(SEARCH("白醬",A44)))</formula>
    </cfRule>
    <cfRule type="containsText" dxfId="999" priority="21" operator="containsText" text="青蔥">
      <formula>NOT(ISERROR(SEARCH("青蔥",A44)))</formula>
    </cfRule>
    <cfRule type="containsText" dxfId="998" priority="22" operator="containsText" text=")川燙小青花菜">
      <formula>NOT(ISERROR(SEARCH(")川燙小青花菜",A44)))</formula>
    </cfRule>
    <cfRule type="containsText" dxfId="997" priority="23" operator="containsText" text="湯凍">
      <formula>NOT(ISERROR(SEARCH("湯凍",A44)))</formula>
    </cfRule>
    <cfRule type="containsText" dxfId="996" priority="24" operator="containsText" text="中華">
      <formula>NOT(ISERROR(SEARCH("中華",A44)))</formula>
    </cfRule>
  </conditionalFormatting>
  <conditionalFormatting sqref="D44:D53">
    <cfRule type="cellIs" dxfId="995" priority="16" operator="greaterThan">
      <formula>0.146</formula>
    </cfRule>
  </conditionalFormatting>
  <conditionalFormatting sqref="E5">
    <cfRule type="cellIs" dxfId="994" priority="25" operator="greaterThan">
      <formula>0.072</formula>
    </cfRule>
    <cfRule type="cellIs" dxfId="993" priority="26" operator="greaterThan">
      <formula>7.2</formula>
    </cfRule>
    <cfRule type="cellIs" dxfId="992" priority="14" operator="greaterThan">
      <formula>0.0025</formula>
    </cfRule>
  </conditionalFormatting>
  <conditionalFormatting sqref="G5">
    <cfRule type="cellIs" dxfId="991" priority="3" operator="greaterThan">
      <formula>7.2</formula>
    </cfRule>
    <cfRule type="cellIs" dxfId="990" priority="2" operator="greaterThan">
      <formula>0.072</formula>
    </cfRule>
    <cfRule type="cellIs" dxfId="989" priority="1" operator="greaterThan">
      <formula>0.0025</formula>
    </cfRule>
  </conditionalFormatting>
  <conditionalFormatting sqref="H12:H22">
    <cfRule type="cellIs" dxfId="988" priority="15" operator="greaterThan">
      <formula>1.1</formula>
    </cfRule>
  </conditionalFormatting>
  <conditionalFormatting sqref="H28:H37">
    <cfRule type="cellIs" dxfId="987" priority="4" operator="greaterThan">
      <formula>1.1</formula>
    </cfRule>
  </conditionalFormatting>
  <conditionalFormatting sqref="I5">
    <cfRule type="cellIs" dxfId="98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852D-E1C5-46B7-802A-E60375FFBCCF}">
  <sheetPr>
    <tabColor rgb="FFFF0000"/>
    <pageSetUpPr fitToPage="1"/>
  </sheetPr>
  <dimension ref="A1:R56"/>
  <sheetViews>
    <sheetView topLeftCell="E19" zoomScale="70" zoomScaleNormal="70" workbookViewId="0">
      <selection activeCell="Q31" sqref="Q31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45928</v>
      </c>
      <c r="B3" s="149"/>
      <c r="C3" s="150">
        <v>5811925.3600000003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14019.259499999996</v>
      </c>
      <c r="E5" s="24">
        <f>D5/C3</f>
        <v>2.4121540851997445E-3</v>
      </c>
      <c r="F5" s="23">
        <v>41276.034299999985</v>
      </c>
      <c r="G5" s="25">
        <f>F5/C3</f>
        <v>7.1019553320622797E-3</v>
      </c>
      <c r="H5" s="26">
        <f>SUM(C12:C21)</f>
        <v>5539.4813000000004</v>
      </c>
      <c r="I5" s="27">
        <f>H5/D5</f>
        <v>0.39513365880701484</v>
      </c>
      <c r="J5" s="26">
        <f>SUM(C28:C37)</f>
        <v>16378.959800000015</v>
      </c>
      <c r="K5" s="28">
        <f>J5/F5</f>
        <v>0.39681524830984116</v>
      </c>
      <c r="L5" s="29">
        <v>3326.6535000000003</v>
      </c>
      <c r="M5" s="30">
        <f>L5/D5</f>
        <v>0.2372916700771536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194</v>
      </c>
      <c r="C12" s="36">
        <v>868.30100000000004</v>
      </c>
      <c r="D12" s="37">
        <v>146.44999999999999</v>
      </c>
      <c r="E12" s="37">
        <v>154.06</v>
      </c>
      <c r="F12" s="37">
        <v>0</v>
      </c>
      <c r="G12" s="36">
        <v>114.1</v>
      </c>
      <c r="H12" s="38">
        <f>(E12+F12)/D12</f>
        <v>1.0519631273472176</v>
      </c>
      <c r="I12" s="36">
        <v>868.30100000000152</v>
      </c>
      <c r="J12" s="37">
        <v>7.61</v>
      </c>
      <c r="K12" s="39">
        <f>J12/D12</f>
        <v>5.1963127347217489E-2</v>
      </c>
      <c r="L12" s="40">
        <f>((E12+F12)-D12)-J12</f>
        <v>1.3322676295501878E-14</v>
      </c>
      <c r="M12" s="41">
        <f>L12/D12</f>
        <v>9.097081799591587E-17</v>
      </c>
      <c r="N12" s="42">
        <f t="shared" ref="N12:N21" si="0">L12*G12</f>
        <v>1.5201173653167643E-12</v>
      </c>
      <c r="O12" s="43" t="s">
        <v>57</v>
      </c>
      <c r="P12" s="69" t="s">
        <v>67</v>
      </c>
      <c r="Q12" s="44"/>
      <c r="R12" s="45" t="s">
        <v>195</v>
      </c>
    </row>
    <row r="13" spans="1:18" s="46" customFormat="1" ht="24.95" customHeight="1" x14ac:dyDescent="0.25">
      <c r="A13" s="47">
        <v>2</v>
      </c>
      <c r="B13" s="35" t="s">
        <v>147</v>
      </c>
      <c r="C13" s="36">
        <v>774.97279999999989</v>
      </c>
      <c r="D13" s="37">
        <v>272.02999999999997</v>
      </c>
      <c r="E13" s="37">
        <v>280.27</v>
      </c>
      <c r="F13" s="37">
        <v>0</v>
      </c>
      <c r="G13" s="36">
        <v>95.44</v>
      </c>
      <c r="H13" s="38">
        <f t="shared" ref="H13:H21" si="1">(E13+F13)/D13</f>
        <v>1.0302907767525642</v>
      </c>
      <c r="I13" s="36">
        <v>786.42560000000083</v>
      </c>
      <c r="J13" s="37">
        <v>8.1199999999999992</v>
      </c>
      <c r="K13" s="39">
        <f>J13/D13</f>
        <v>2.9849648935779141E-2</v>
      </c>
      <c r="L13" s="40">
        <f t="shared" ref="L13:L21" si="2">((E13+F13)-D13)-J13</f>
        <v>0.12000000000000988</v>
      </c>
      <c r="M13" s="41">
        <f t="shared" ref="M13:M21" si="3">L13/D13</f>
        <v>4.4112781678494977E-4</v>
      </c>
      <c r="N13" s="42">
        <f t="shared" si="0"/>
        <v>11.452800000000943</v>
      </c>
      <c r="O13" s="43" t="s">
        <v>57</v>
      </c>
      <c r="P13" s="69" t="s">
        <v>236</v>
      </c>
      <c r="Q13" s="44"/>
      <c r="R13" s="45" t="s">
        <v>58</v>
      </c>
    </row>
    <row r="14" spans="1:18" s="46" customFormat="1" ht="24.95" customHeight="1" x14ac:dyDescent="0.25">
      <c r="A14" s="47">
        <v>3</v>
      </c>
      <c r="B14" s="35" t="s">
        <v>103</v>
      </c>
      <c r="C14" s="36">
        <v>723.01860000000011</v>
      </c>
      <c r="D14" s="37">
        <v>40.18</v>
      </c>
      <c r="E14" s="37">
        <v>43.089999999999996</v>
      </c>
      <c r="F14" s="37">
        <v>0</v>
      </c>
      <c r="G14" s="36">
        <v>248.46</v>
      </c>
      <c r="H14" s="38">
        <f>(E14+F14)/D14</f>
        <v>1.0724240915878547</v>
      </c>
      <c r="I14" s="36">
        <v>723.0185999999992</v>
      </c>
      <c r="J14" s="37">
        <v>2.91</v>
      </c>
      <c r="K14" s="39">
        <f t="shared" ref="K14:K21" si="4">J14/D14</f>
        <v>7.2424091587854664E-2</v>
      </c>
      <c r="L14" s="40">
        <f t="shared" si="2"/>
        <v>-3.5527136788005009E-15</v>
      </c>
      <c r="M14" s="41">
        <f t="shared" si="3"/>
        <v>-8.8419952185179219E-17</v>
      </c>
      <c r="N14" s="42">
        <f t="shared" si="0"/>
        <v>-8.8270724063477249E-13</v>
      </c>
      <c r="O14" s="43" t="s">
        <v>57</v>
      </c>
      <c r="P14" s="69" t="s">
        <v>67</v>
      </c>
      <c r="Q14" s="44"/>
      <c r="R14" s="45" t="s">
        <v>58</v>
      </c>
    </row>
    <row r="15" spans="1:18" s="46" customFormat="1" ht="24.95" customHeight="1" x14ac:dyDescent="0.25">
      <c r="A15" s="34">
        <v>4</v>
      </c>
      <c r="B15" s="35" t="s">
        <v>59</v>
      </c>
      <c r="C15" s="36">
        <v>710.69999999999993</v>
      </c>
      <c r="D15" s="37">
        <v>2471</v>
      </c>
      <c r="E15" s="37">
        <v>2517</v>
      </c>
      <c r="F15" s="37">
        <v>0</v>
      </c>
      <c r="G15" s="36">
        <v>15.45</v>
      </c>
      <c r="H15" s="38">
        <f>(E15+F15)/D15</f>
        <v>1.0186159449615539</v>
      </c>
      <c r="I15" s="36">
        <v>710.69999999999993</v>
      </c>
      <c r="J15" s="37">
        <v>46</v>
      </c>
      <c r="K15" s="39">
        <f t="shared" si="4"/>
        <v>1.8615944961554026E-2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60</v>
      </c>
      <c r="Q15" s="44" t="s">
        <v>61</v>
      </c>
      <c r="R15" s="45" t="s">
        <v>62</v>
      </c>
    </row>
    <row r="16" spans="1:18" s="46" customFormat="1" ht="24.95" customHeight="1" x14ac:dyDescent="0.25">
      <c r="A16" s="47">
        <v>5</v>
      </c>
      <c r="B16" s="35" t="s">
        <v>117</v>
      </c>
      <c r="C16" s="36">
        <v>580.79999999999995</v>
      </c>
      <c r="D16" s="37">
        <v>91.24</v>
      </c>
      <c r="E16" s="37">
        <v>97.289999999999992</v>
      </c>
      <c r="F16" s="37">
        <v>0</v>
      </c>
      <c r="G16" s="36">
        <v>96</v>
      </c>
      <c r="H16" s="38">
        <f t="shared" si="1"/>
        <v>1.0663086365629111</v>
      </c>
      <c r="I16" s="36">
        <v>580.79999999999973</v>
      </c>
      <c r="J16" s="37">
        <v>6.05</v>
      </c>
      <c r="K16" s="39">
        <f t="shared" si="4"/>
        <v>6.6308636562911E-2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69" t="s">
        <v>84</v>
      </c>
      <c r="Q16" s="44"/>
      <c r="R16" s="45" t="s">
        <v>119</v>
      </c>
    </row>
    <row r="17" spans="1:18" s="46" customFormat="1" ht="24.95" customHeight="1" x14ac:dyDescent="0.25">
      <c r="A17" s="34">
        <v>6</v>
      </c>
      <c r="B17" s="35" t="s">
        <v>124</v>
      </c>
      <c r="C17" s="36">
        <v>464.03530000000006</v>
      </c>
      <c r="D17" s="37">
        <v>39.19</v>
      </c>
      <c r="E17" s="37">
        <v>38.49</v>
      </c>
      <c r="F17" s="37">
        <v>3.6</v>
      </c>
      <c r="G17" s="36">
        <v>692.59</v>
      </c>
      <c r="H17" s="38">
        <f t="shared" si="1"/>
        <v>1.0739984689971933</v>
      </c>
      <c r="I17" s="36">
        <v>2008.5110000000041</v>
      </c>
      <c r="J17" s="37">
        <v>0.67</v>
      </c>
      <c r="K17" s="39">
        <f t="shared" si="4"/>
        <v>1.7096198009696355E-2</v>
      </c>
      <c r="L17" s="40">
        <f t="shared" si="2"/>
        <v>2.2300000000000058</v>
      </c>
      <c r="M17" s="41">
        <f t="shared" si="3"/>
        <v>5.6902270987496964E-2</v>
      </c>
      <c r="N17" s="42">
        <f t="shared" si="0"/>
        <v>1544.4757000000041</v>
      </c>
      <c r="O17" s="43" t="s">
        <v>57</v>
      </c>
      <c r="P17" s="69" t="s">
        <v>67</v>
      </c>
      <c r="Q17" s="44"/>
      <c r="R17" s="45" t="s">
        <v>121</v>
      </c>
    </row>
    <row r="18" spans="1:18" s="46" customFormat="1" ht="24.95" customHeight="1" x14ac:dyDescent="0.25">
      <c r="A18" s="47">
        <v>7</v>
      </c>
      <c r="B18" s="35" t="s">
        <v>237</v>
      </c>
      <c r="C18" s="36">
        <v>446.661</v>
      </c>
      <c r="D18" s="37">
        <v>11</v>
      </c>
      <c r="E18" s="37">
        <v>11.9</v>
      </c>
      <c r="F18" s="37">
        <v>0</v>
      </c>
      <c r="G18" s="36">
        <v>496.29</v>
      </c>
      <c r="H18" s="38">
        <f t="shared" si="1"/>
        <v>1.0818181818181818</v>
      </c>
      <c r="I18" s="36">
        <v>446.66100000000017</v>
      </c>
      <c r="J18" s="37">
        <v>0.9</v>
      </c>
      <c r="K18" s="39">
        <f t="shared" si="4"/>
        <v>8.1818181818181818E-2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69" t="s">
        <v>67</v>
      </c>
      <c r="Q18" s="44"/>
      <c r="R18" s="45" t="s">
        <v>238</v>
      </c>
    </row>
    <row r="19" spans="1:18" s="46" customFormat="1" ht="24.95" customHeight="1" x14ac:dyDescent="0.25">
      <c r="A19" s="34">
        <v>8</v>
      </c>
      <c r="B19" s="35" t="s">
        <v>106</v>
      </c>
      <c r="C19" s="36">
        <v>359.02479999999997</v>
      </c>
      <c r="D19" s="37">
        <v>25.53</v>
      </c>
      <c r="E19" s="37">
        <v>27.19</v>
      </c>
      <c r="F19" s="37">
        <v>0</v>
      </c>
      <c r="G19" s="36">
        <v>216.28</v>
      </c>
      <c r="H19" s="38">
        <f t="shared" si="1"/>
        <v>1.0650215432824128</v>
      </c>
      <c r="I19" s="36">
        <v>359.02480000000003</v>
      </c>
      <c r="J19" s="37">
        <v>1.66</v>
      </c>
      <c r="K19" s="39">
        <f t="shared" si="4"/>
        <v>6.5021543282412844E-2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69" t="s">
        <v>67</v>
      </c>
      <c r="Q19" s="44"/>
      <c r="R19" s="45" t="s">
        <v>58</v>
      </c>
    </row>
    <row r="20" spans="1:18" s="46" customFormat="1" ht="24.95" customHeight="1" x14ac:dyDescent="0.25">
      <c r="A20" s="47">
        <v>9</v>
      </c>
      <c r="B20" s="35" t="s">
        <v>177</v>
      </c>
      <c r="C20" s="36">
        <v>351.55340000000001</v>
      </c>
      <c r="D20" s="37">
        <v>47.65</v>
      </c>
      <c r="E20" s="37">
        <v>49.64</v>
      </c>
      <c r="F20" s="37">
        <v>0</v>
      </c>
      <c r="G20" s="36">
        <v>176.66</v>
      </c>
      <c r="H20" s="38">
        <f t="shared" si="1"/>
        <v>1.0417628541448058</v>
      </c>
      <c r="I20" s="36">
        <v>351.55340000000035</v>
      </c>
      <c r="J20" s="37">
        <v>1.99</v>
      </c>
      <c r="K20" s="39">
        <f t="shared" si="4"/>
        <v>4.1762854144805878E-2</v>
      </c>
      <c r="L20" s="40">
        <f t="shared" si="2"/>
        <v>1.9984014443252818E-15</v>
      </c>
      <c r="M20" s="41">
        <f t="shared" si="3"/>
        <v>4.1939169870415149E-17</v>
      </c>
      <c r="N20" s="42">
        <f t="shared" si="0"/>
        <v>3.5303759915450429E-13</v>
      </c>
      <c r="O20" s="43" t="s">
        <v>57</v>
      </c>
      <c r="P20" s="69" t="s">
        <v>236</v>
      </c>
      <c r="Q20" s="44"/>
      <c r="R20" s="45" t="s">
        <v>178</v>
      </c>
    </row>
    <row r="21" spans="1:18" s="46" customFormat="1" ht="24.95" customHeight="1" thickBot="1" x14ac:dyDescent="0.3">
      <c r="A21" s="48">
        <v>10</v>
      </c>
      <c r="B21" s="49" t="s">
        <v>76</v>
      </c>
      <c r="C21" s="50">
        <v>260.4144</v>
      </c>
      <c r="D21" s="51">
        <v>48.52</v>
      </c>
      <c r="E21" s="51">
        <v>47.530000000000008</v>
      </c>
      <c r="F21" s="51">
        <v>3.38</v>
      </c>
      <c r="G21" s="50">
        <v>108.96</v>
      </c>
      <c r="H21" s="52">
        <f t="shared" si="1"/>
        <v>1.0492580379225063</v>
      </c>
      <c r="I21" s="50">
        <v>260.4144000000008</v>
      </c>
      <c r="J21" s="51">
        <v>2.39</v>
      </c>
      <c r="K21" s="53">
        <f t="shared" si="4"/>
        <v>4.925803792250618E-2</v>
      </c>
      <c r="L21" s="54">
        <f t="shared" si="2"/>
        <v>7.5495165674510645E-15</v>
      </c>
      <c r="M21" s="55">
        <f t="shared" si="3"/>
        <v>1.5559597212388837E-16</v>
      </c>
      <c r="N21" s="56">
        <f t="shared" si="0"/>
        <v>8.2259532518946796E-13</v>
      </c>
      <c r="O21" s="57" t="s">
        <v>57</v>
      </c>
      <c r="P21" s="57" t="s">
        <v>236</v>
      </c>
      <c r="Q21" s="57"/>
      <c r="R21" s="58" t="s">
        <v>77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82</v>
      </c>
      <c r="C28" s="36">
        <v>2394.2632000000012</v>
      </c>
      <c r="D28" s="37">
        <v>531.09</v>
      </c>
      <c r="E28" s="37">
        <v>531.51</v>
      </c>
      <c r="F28" s="37">
        <v>15.82</v>
      </c>
      <c r="G28" s="36">
        <v>147.43</v>
      </c>
      <c r="H28" s="68">
        <f t="shared" ref="H28:H37" si="5">(E28+F28)/D28</f>
        <v>1.0305786213259522</v>
      </c>
      <c r="I28" s="36">
        <v>2394.2632000000012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16.240000000000009</v>
      </c>
      <c r="N28" s="41">
        <f t="shared" ref="N28:N37" si="9">M28/D28</f>
        <v>3.0578621325952304E-2</v>
      </c>
      <c r="O28" s="43" t="s">
        <v>83</v>
      </c>
      <c r="P28" s="69" t="s">
        <v>84</v>
      </c>
      <c r="Q28" s="44" t="s">
        <v>85</v>
      </c>
      <c r="R28" s="45" t="s">
        <v>58</v>
      </c>
    </row>
    <row r="29" spans="1:18" s="67" customFormat="1" ht="24.95" customHeight="1" x14ac:dyDescent="0.25">
      <c r="A29" s="47">
        <v>2</v>
      </c>
      <c r="B29" s="35" t="s">
        <v>94</v>
      </c>
      <c r="C29" s="36">
        <v>1859.7445999999957</v>
      </c>
      <c r="D29" s="37">
        <v>168.34</v>
      </c>
      <c r="E29" s="37">
        <v>164.53</v>
      </c>
      <c r="F29" s="37">
        <v>6.88</v>
      </c>
      <c r="G29" s="36">
        <v>605.78</v>
      </c>
      <c r="H29" s="68">
        <f t="shared" si="5"/>
        <v>1.018236901508851</v>
      </c>
      <c r="I29" s="36">
        <v>1859.7445999999957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3.0699999999999932</v>
      </c>
      <c r="N29" s="41">
        <f t="shared" si="9"/>
        <v>1.8236901508851093E-2</v>
      </c>
      <c r="O29" s="43" t="s">
        <v>83</v>
      </c>
      <c r="P29" s="44" t="s">
        <v>60</v>
      </c>
      <c r="Q29" s="44" t="s">
        <v>87</v>
      </c>
      <c r="R29" s="45" t="s">
        <v>95</v>
      </c>
    </row>
    <row r="30" spans="1:18" s="67" customFormat="1" ht="24.95" customHeight="1" x14ac:dyDescent="0.25">
      <c r="A30" s="47">
        <v>3</v>
      </c>
      <c r="B30" s="35" t="s">
        <v>110</v>
      </c>
      <c r="C30" s="36">
        <v>1811.1631999999981</v>
      </c>
      <c r="D30" s="37">
        <v>120.52</v>
      </c>
      <c r="E30" s="37">
        <v>120.99</v>
      </c>
      <c r="F30" s="37">
        <v>4.41</v>
      </c>
      <c r="G30" s="36">
        <v>371.14</v>
      </c>
      <c r="H30" s="68">
        <f t="shared" si="5"/>
        <v>1.0404912047792898</v>
      </c>
      <c r="I30" s="36">
        <v>1811.1631999999981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4.8799999999999955</v>
      </c>
      <c r="N30" s="41">
        <f t="shared" si="9"/>
        <v>4.0491204779289705E-2</v>
      </c>
      <c r="O30" s="43" t="s">
        <v>83</v>
      </c>
      <c r="P30" s="69" t="s">
        <v>235</v>
      </c>
      <c r="Q30" s="44"/>
      <c r="R30" s="45" t="s">
        <v>58</v>
      </c>
    </row>
    <row r="31" spans="1:18" s="67" customFormat="1" ht="24.95" customHeight="1" x14ac:dyDescent="0.25">
      <c r="A31" s="34">
        <v>4</v>
      </c>
      <c r="B31" s="35" t="s">
        <v>122</v>
      </c>
      <c r="C31" s="36">
        <v>1694.6658000000009</v>
      </c>
      <c r="D31" s="37">
        <v>8.3699999999999992</v>
      </c>
      <c r="E31" s="37">
        <v>7.98</v>
      </c>
      <c r="F31" s="37">
        <v>1.2</v>
      </c>
      <c r="G31" s="36">
        <v>2092.1799999999998</v>
      </c>
      <c r="H31" s="68">
        <f t="shared" si="5"/>
        <v>1.0967741935483872</v>
      </c>
      <c r="I31" s="36">
        <v>1694.6658000000009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0.8100000000000005</v>
      </c>
      <c r="N31" s="41">
        <f t="shared" si="9"/>
        <v>9.6774193548387163E-2</v>
      </c>
      <c r="O31" s="43" t="s">
        <v>83</v>
      </c>
      <c r="P31" s="69" t="s">
        <v>235</v>
      </c>
      <c r="Q31" s="44"/>
      <c r="R31" s="45" t="s">
        <v>123</v>
      </c>
    </row>
    <row r="32" spans="1:18" s="67" customFormat="1" ht="24.95" customHeight="1" x14ac:dyDescent="0.25">
      <c r="A32" s="47">
        <v>5</v>
      </c>
      <c r="B32" s="35" t="s">
        <v>86</v>
      </c>
      <c r="C32" s="36">
        <v>1672.89330000001</v>
      </c>
      <c r="D32" s="37">
        <v>4725.93</v>
      </c>
      <c r="E32" s="37">
        <v>4706.3</v>
      </c>
      <c r="F32" s="37">
        <v>62.1</v>
      </c>
      <c r="G32" s="36">
        <v>39.39</v>
      </c>
      <c r="H32" s="68">
        <f t="shared" si="5"/>
        <v>1.0089865909990203</v>
      </c>
      <c r="I32" s="36">
        <v>1672.89330000001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42.470000000000255</v>
      </c>
      <c r="N32" s="41">
        <f t="shared" si="9"/>
        <v>8.9865909990203517E-3</v>
      </c>
      <c r="O32" s="43" t="s">
        <v>83</v>
      </c>
      <c r="P32" s="69" t="s">
        <v>235</v>
      </c>
      <c r="Q32" s="44"/>
      <c r="R32" s="45" t="s">
        <v>58</v>
      </c>
    </row>
    <row r="33" spans="1:18" s="67" customFormat="1" ht="24.95" customHeight="1" x14ac:dyDescent="0.25">
      <c r="A33" s="34">
        <v>6</v>
      </c>
      <c r="B33" s="35" t="s">
        <v>124</v>
      </c>
      <c r="C33" s="36">
        <v>1544.4757000000041</v>
      </c>
      <c r="D33" s="37">
        <v>39.19</v>
      </c>
      <c r="E33" s="37">
        <v>38.49</v>
      </c>
      <c r="F33" s="37">
        <v>3.6</v>
      </c>
      <c r="G33" s="36">
        <v>692.59</v>
      </c>
      <c r="H33" s="68">
        <f t="shared" si="5"/>
        <v>1.0739984689971933</v>
      </c>
      <c r="I33" s="36">
        <v>2008.5110000000041</v>
      </c>
      <c r="J33" s="37">
        <v>0.67</v>
      </c>
      <c r="K33" s="39">
        <f t="shared" si="6"/>
        <v>1.7096198009696355E-2</v>
      </c>
      <c r="L33" s="42">
        <f t="shared" si="7"/>
        <v>464.03530000000006</v>
      </c>
      <c r="M33" s="40">
        <f t="shared" si="8"/>
        <v>2.2300000000000058</v>
      </c>
      <c r="N33" s="41">
        <f t="shared" si="9"/>
        <v>5.6902270987496964E-2</v>
      </c>
      <c r="O33" s="43" t="s">
        <v>83</v>
      </c>
      <c r="P33" s="69" t="s">
        <v>235</v>
      </c>
      <c r="Q33" s="44"/>
      <c r="R33" s="45" t="s">
        <v>121</v>
      </c>
    </row>
    <row r="34" spans="1:18" s="67" customFormat="1" ht="24.95" customHeight="1" x14ac:dyDescent="0.25">
      <c r="A34" s="47">
        <v>7</v>
      </c>
      <c r="B34" s="35" t="s">
        <v>162</v>
      </c>
      <c r="C34" s="36">
        <v>1490.7402000000043</v>
      </c>
      <c r="D34" s="37">
        <v>256.32</v>
      </c>
      <c r="E34" s="37">
        <v>246.09</v>
      </c>
      <c r="F34" s="37">
        <v>24</v>
      </c>
      <c r="G34" s="36">
        <v>108.26</v>
      </c>
      <c r="H34" s="68">
        <f t="shared" si="5"/>
        <v>1.0537219101123596</v>
      </c>
      <c r="I34" s="36">
        <v>1490.7402000000043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13.770000000000039</v>
      </c>
      <c r="N34" s="41">
        <f t="shared" si="9"/>
        <v>5.3721910112359703E-2</v>
      </c>
      <c r="O34" s="43" t="s">
        <v>83</v>
      </c>
      <c r="P34" s="69" t="s">
        <v>235</v>
      </c>
      <c r="Q34" s="44"/>
      <c r="R34" s="45" t="s">
        <v>163</v>
      </c>
    </row>
    <row r="35" spans="1:18" s="67" customFormat="1" ht="24.95" customHeight="1" x14ac:dyDescent="0.25">
      <c r="A35" s="34">
        <v>8</v>
      </c>
      <c r="B35" s="35" t="s">
        <v>90</v>
      </c>
      <c r="C35" s="36">
        <v>1402.4917999999957</v>
      </c>
      <c r="D35" s="37">
        <v>41.59</v>
      </c>
      <c r="E35" s="37">
        <v>41.93</v>
      </c>
      <c r="F35" s="37">
        <v>1.8</v>
      </c>
      <c r="G35" s="36">
        <v>655.37</v>
      </c>
      <c r="H35" s="68">
        <f t="shared" si="5"/>
        <v>1.0514546766049528</v>
      </c>
      <c r="I35" s="36">
        <v>1402.4917999999957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2.1399999999999935</v>
      </c>
      <c r="N35" s="41">
        <f t="shared" si="9"/>
        <v>5.1454676604952954E-2</v>
      </c>
      <c r="O35" s="43" t="s">
        <v>83</v>
      </c>
      <c r="P35" s="69" t="s">
        <v>235</v>
      </c>
      <c r="Q35" s="44"/>
      <c r="R35" s="45" t="s">
        <v>77</v>
      </c>
    </row>
    <row r="36" spans="1:18" s="67" customFormat="1" ht="24.95" customHeight="1" x14ac:dyDescent="0.25">
      <c r="A36" s="47">
        <v>9</v>
      </c>
      <c r="B36" s="35" t="s">
        <v>192</v>
      </c>
      <c r="C36" s="36">
        <v>1316.13</v>
      </c>
      <c r="D36" s="37">
        <v>14.82</v>
      </c>
      <c r="E36" s="37">
        <v>15.82</v>
      </c>
      <c r="F36" s="37">
        <v>0</v>
      </c>
      <c r="G36" s="36">
        <v>1316.13</v>
      </c>
      <c r="H36" s="68">
        <f t="shared" si="5"/>
        <v>1.0674763832658569</v>
      </c>
      <c r="I36" s="36">
        <v>1316.13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</v>
      </c>
      <c r="N36" s="41">
        <f t="shared" si="9"/>
        <v>6.7476383265856948E-2</v>
      </c>
      <c r="O36" s="43" t="s">
        <v>97</v>
      </c>
      <c r="P36" s="69" t="s">
        <v>235</v>
      </c>
      <c r="Q36" s="44"/>
      <c r="R36" s="45" t="s">
        <v>136</v>
      </c>
    </row>
    <row r="37" spans="1:18" s="67" customFormat="1" ht="24.95" customHeight="1" thickBot="1" x14ac:dyDescent="0.3">
      <c r="A37" s="48">
        <v>10</v>
      </c>
      <c r="B37" s="49" t="s">
        <v>89</v>
      </c>
      <c r="C37" s="50">
        <v>1192.392000000003</v>
      </c>
      <c r="D37" s="51">
        <v>47.98</v>
      </c>
      <c r="E37" s="51">
        <v>48.4</v>
      </c>
      <c r="F37" s="51">
        <v>1.38</v>
      </c>
      <c r="G37" s="50">
        <v>662.44</v>
      </c>
      <c r="H37" s="70">
        <f t="shared" si="5"/>
        <v>1.0375156315131306</v>
      </c>
      <c r="I37" s="50">
        <v>1192.392000000003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1.8000000000000043</v>
      </c>
      <c r="N37" s="55">
        <f t="shared" si="9"/>
        <v>3.751563151313056E-2</v>
      </c>
      <c r="O37" s="57" t="s">
        <v>97</v>
      </c>
      <c r="P37" s="71" t="s">
        <v>235</v>
      </c>
      <c r="Q37" s="72"/>
      <c r="R37" s="58" t="s">
        <v>58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147</v>
      </c>
      <c r="C44" s="36">
        <v>774.97279999999989</v>
      </c>
      <c r="D44" s="78">
        <f t="shared" ref="D44:D53" si="10">C44/$L$5</f>
        <v>0.23295867754185995</v>
      </c>
      <c r="E44" s="79"/>
    </row>
    <row r="45" spans="1:18" s="80" customFormat="1" ht="24.95" customHeight="1" x14ac:dyDescent="0.25">
      <c r="A45" s="81">
        <v>2</v>
      </c>
      <c r="B45" s="35" t="s">
        <v>103</v>
      </c>
      <c r="C45" s="36">
        <v>723.01860000000011</v>
      </c>
      <c r="D45" s="78">
        <f t="shared" si="10"/>
        <v>0.21734112073890474</v>
      </c>
      <c r="E45" s="79"/>
    </row>
    <row r="46" spans="1:18" s="80" customFormat="1" ht="24.95" customHeight="1" x14ac:dyDescent="0.25">
      <c r="A46" s="81">
        <v>3</v>
      </c>
      <c r="B46" s="35" t="s">
        <v>106</v>
      </c>
      <c r="C46" s="36">
        <v>359.02479999999997</v>
      </c>
      <c r="D46" s="78">
        <f t="shared" si="10"/>
        <v>0.10792371372612145</v>
      </c>
      <c r="E46" s="79"/>
    </row>
    <row r="47" spans="1:18" s="80" customFormat="1" ht="24.95" customHeight="1" x14ac:dyDescent="0.25">
      <c r="A47" s="77">
        <v>4</v>
      </c>
      <c r="B47" s="35" t="s">
        <v>126</v>
      </c>
      <c r="C47" s="36">
        <v>243.82999999999998</v>
      </c>
      <c r="D47" s="78">
        <f t="shared" si="10"/>
        <v>7.3295881281293634E-2</v>
      </c>
      <c r="E47" s="79"/>
    </row>
    <row r="48" spans="1:18" s="80" customFormat="1" ht="24.95" customHeight="1" x14ac:dyDescent="0.25">
      <c r="A48" s="81">
        <v>5</v>
      </c>
      <c r="B48" s="35" t="s">
        <v>73</v>
      </c>
      <c r="C48" s="36">
        <v>209.96710000000002</v>
      </c>
      <c r="D48" s="78">
        <f t="shared" si="10"/>
        <v>6.3116612535690897E-2</v>
      </c>
      <c r="E48" s="79"/>
    </row>
    <row r="49" spans="1:5" s="80" customFormat="1" ht="24.95" customHeight="1" x14ac:dyDescent="0.25">
      <c r="A49" s="77">
        <v>6</v>
      </c>
      <c r="B49" s="35" t="s">
        <v>105</v>
      </c>
      <c r="C49" s="36">
        <v>188.65</v>
      </c>
      <c r="D49" s="78">
        <f t="shared" si="10"/>
        <v>5.6708641281696448E-2</v>
      </c>
      <c r="E49" s="79"/>
    </row>
    <row r="50" spans="1:5" s="80" customFormat="1" ht="24.95" customHeight="1" x14ac:dyDescent="0.25">
      <c r="A50" s="81">
        <v>7</v>
      </c>
      <c r="B50" s="35" t="s">
        <v>125</v>
      </c>
      <c r="C50" s="36">
        <v>186</v>
      </c>
      <c r="D50" s="78">
        <f t="shared" si="10"/>
        <v>5.5912044942462442E-2</v>
      </c>
      <c r="E50" s="79"/>
    </row>
    <row r="51" spans="1:5" s="80" customFormat="1" ht="24.95" customHeight="1" x14ac:dyDescent="0.25">
      <c r="A51" s="77">
        <v>8</v>
      </c>
      <c r="B51" s="35" t="s">
        <v>104</v>
      </c>
      <c r="C51" s="36">
        <v>171.98999999999998</v>
      </c>
      <c r="D51" s="78">
        <f t="shared" si="10"/>
        <v>5.1700605428247927E-2</v>
      </c>
      <c r="E51" s="79"/>
    </row>
    <row r="52" spans="1:5" s="80" customFormat="1" ht="24.95" customHeight="1" x14ac:dyDescent="0.25">
      <c r="A52" s="81">
        <v>9</v>
      </c>
      <c r="B52" s="35" t="s">
        <v>56</v>
      </c>
      <c r="C52" s="36">
        <v>163.6352</v>
      </c>
      <c r="D52" s="78">
        <f t="shared" si="10"/>
        <v>4.9189132562198014E-2</v>
      </c>
      <c r="E52" s="79"/>
    </row>
    <row r="53" spans="1:5" s="80" customFormat="1" ht="24.95" customHeight="1" thickBot="1" x14ac:dyDescent="0.3">
      <c r="A53" s="82">
        <v>10</v>
      </c>
      <c r="B53" s="49" t="s">
        <v>168</v>
      </c>
      <c r="C53" s="50">
        <v>146.03849999999997</v>
      </c>
      <c r="D53" s="83">
        <f t="shared" si="10"/>
        <v>4.3899522448009674E-2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85" priority="34" operator="containsText" text="中華">
      <formula>NOT(ISERROR(SEARCH("中華",A12)))</formula>
    </cfRule>
    <cfRule type="containsText" dxfId="984" priority="33" operator="containsText" text="湯凍">
      <formula>NOT(ISERROR(SEARCH("湯凍",A12)))</formula>
    </cfRule>
    <cfRule type="containsText" dxfId="983" priority="32" operator="containsText" text=")川燙小青花菜">
      <formula>NOT(ISERROR(SEARCH(")川燙小青花菜",A12)))</formula>
    </cfRule>
    <cfRule type="containsText" dxfId="982" priority="31" operator="containsText" text="青蔥">
      <formula>NOT(ISERROR(SEARCH("青蔥",A12)))</formula>
    </cfRule>
    <cfRule type="containsText" dxfId="981" priority="30" operator="containsText" text="白醬">
      <formula>NOT(ISERROR(SEARCH("白醬",A12)))</formula>
    </cfRule>
    <cfRule type="containsText" dxfId="980" priority="29" operator="containsText" text="024">
      <formula>NOT(ISERROR(SEARCH("024",A12)))</formula>
    </cfRule>
    <cfRule type="containsText" dxfId="979" priority="28" operator="containsText" text="煮白細麵生(方#12)">
      <formula>NOT(ISERROR(SEARCH("煮白細麵生(方#12)",A12)))</formula>
    </cfRule>
    <cfRule type="containsText" dxfId="978" priority="27" operator="containsText" text="綠豆芽">
      <formula>NOT(ISERROR(SEARCH("綠豆芽",A12)))</formula>
    </cfRule>
  </conditionalFormatting>
  <conditionalFormatting sqref="A28:A37">
    <cfRule type="containsText" dxfId="977" priority="5" operator="containsText" text="綠豆芽">
      <formula>NOT(ISERROR(SEARCH("綠豆芽",A28)))</formula>
    </cfRule>
    <cfRule type="containsText" dxfId="976" priority="6" operator="containsText" text="煮白細麵生(方#12)">
      <formula>NOT(ISERROR(SEARCH("煮白細麵生(方#12)",A28)))</formula>
    </cfRule>
    <cfRule type="containsText" dxfId="975" priority="7" operator="containsText" text="024">
      <formula>NOT(ISERROR(SEARCH("024",A28)))</formula>
    </cfRule>
    <cfRule type="containsText" dxfId="974" priority="8" operator="containsText" text="白醬">
      <formula>NOT(ISERROR(SEARCH("白醬",A28)))</formula>
    </cfRule>
    <cfRule type="containsText" dxfId="973" priority="9" operator="containsText" text="青蔥">
      <formula>NOT(ISERROR(SEARCH("青蔥",A28)))</formula>
    </cfRule>
    <cfRule type="containsText" dxfId="972" priority="10" operator="containsText" text=")川燙小青花菜">
      <formula>NOT(ISERROR(SEARCH(")川燙小青花菜",A28)))</formula>
    </cfRule>
    <cfRule type="containsText" dxfId="971" priority="11" operator="containsText" text="湯凍">
      <formula>NOT(ISERROR(SEARCH("湯凍",A28)))</formula>
    </cfRule>
    <cfRule type="containsText" dxfId="970" priority="12" operator="containsText" text="中華">
      <formula>NOT(ISERROR(SEARCH("中華",A28)))</formula>
    </cfRule>
  </conditionalFormatting>
  <conditionalFormatting sqref="A44:A53">
    <cfRule type="containsText" dxfId="969" priority="17" operator="containsText" text="綠豆芽">
      <formula>NOT(ISERROR(SEARCH("綠豆芽",A44)))</formula>
    </cfRule>
    <cfRule type="containsText" dxfId="968" priority="18" operator="containsText" text="煮白細麵生(方#12)">
      <formula>NOT(ISERROR(SEARCH("煮白細麵生(方#12)",A44)))</formula>
    </cfRule>
    <cfRule type="containsText" dxfId="967" priority="19" operator="containsText" text="024">
      <formula>NOT(ISERROR(SEARCH("024",A44)))</formula>
    </cfRule>
    <cfRule type="containsText" dxfId="966" priority="20" operator="containsText" text="白醬">
      <formula>NOT(ISERROR(SEARCH("白醬",A44)))</formula>
    </cfRule>
    <cfRule type="containsText" dxfId="965" priority="21" operator="containsText" text="青蔥">
      <formula>NOT(ISERROR(SEARCH("青蔥",A44)))</formula>
    </cfRule>
    <cfRule type="containsText" dxfId="964" priority="22" operator="containsText" text=")川燙小青花菜">
      <formula>NOT(ISERROR(SEARCH(")川燙小青花菜",A44)))</formula>
    </cfRule>
    <cfRule type="containsText" dxfId="963" priority="23" operator="containsText" text="湯凍">
      <formula>NOT(ISERROR(SEARCH("湯凍",A44)))</formula>
    </cfRule>
    <cfRule type="containsText" dxfId="962" priority="24" operator="containsText" text="中華">
      <formula>NOT(ISERROR(SEARCH("中華",A44)))</formula>
    </cfRule>
  </conditionalFormatting>
  <conditionalFormatting sqref="D44:D53">
    <cfRule type="cellIs" dxfId="961" priority="16" operator="greaterThan">
      <formula>0.146</formula>
    </cfRule>
  </conditionalFormatting>
  <conditionalFormatting sqref="E5">
    <cfRule type="cellIs" dxfId="960" priority="25" operator="greaterThan">
      <formula>0.072</formula>
    </cfRule>
    <cfRule type="cellIs" dxfId="959" priority="26" operator="greaterThan">
      <formula>7.2</formula>
    </cfRule>
    <cfRule type="cellIs" dxfId="958" priority="14" operator="greaterThan">
      <formula>0.0025</formula>
    </cfRule>
  </conditionalFormatting>
  <conditionalFormatting sqref="G5">
    <cfRule type="cellIs" dxfId="957" priority="3" operator="greaterThan">
      <formula>7.2</formula>
    </cfRule>
    <cfRule type="cellIs" dxfId="956" priority="2" operator="greaterThan">
      <formula>0.072</formula>
    </cfRule>
    <cfRule type="cellIs" dxfId="955" priority="1" operator="greaterThan">
      <formula>0.0025</formula>
    </cfRule>
  </conditionalFormatting>
  <conditionalFormatting sqref="H12:H22">
    <cfRule type="cellIs" dxfId="954" priority="15" operator="greaterThan">
      <formula>1.1</formula>
    </cfRule>
  </conditionalFormatting>
  <conditionalFormatting sqref="H28:H37">
    <cfRule type="cellIs" dxfId="953" priority="4" operator="greaterThan">
      <formula>1.1</formula>
    </cfRule>
  </conditionalFormatting>
  <conditionalFormatting sqref="I5">
    <cfRule type="cellIs" dxfId="95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22E4-A87B-42AE-8BDC-6CBECC30B8F5}">
  <sheetPr>
    <tabColor rgb="FFFF0000"/>
    <pageSetUpPr fitToPage="1"/>
  </sheetPr>
  <dimension ref="A1:R56"/>
  <sheetViews>
    <sheetView topLeftCell="G16" zoomScale="70" zoomScaleNormal="70" workbookViewId="0">
      <selection activeCell="I28" sqref="I28:R37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45927</v>
      </c>
      <c r="B3" s="149"/>
      <c r="C3" s="150">
        <v>5183430.2300000004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12493.8374</v>
      </c>
      <c r="E5" s="24">
        <f>D5/C3</f>
        <v>2.4103415779939993E-3</v>
      </c>
      <c r="F5" s="23">
        <v>36775.807199999996</v>
      </c>
      <c r="G5" s="25">
        <f>F5/C3</f>
        <v>7.0948784044885258E-3</v>
      </c>
      <c r="H5" s="26">
        <f>SUM(C12:C21)</f>
        <v>3846.5122000000001</v>
      </c>
      <c r="I5" s="27">
        <f>H5/D5</f>
        <v>0.30787275973353073</v>
      </c>
      <c r="J5" s="26">
        <f>SUM(C28:C37)</f>
        <v>17045.616599999976</v>
      </c>
      <c r="K5" s="28">
        <f>J5/F5</f>
        <v>0.46350081474214322</v>
      </c>
      <c r="L5" s="29">
        <v>2265.2746000000006</v>
      </c>
      <c r="M5" s="30">
        <f>L5/D5</f>
        <v>0.18131135594897374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131</v>
      </c>
      <c r="C12" s="36">
        <v>839.49999999999989</v>
      </c>
      <c r="D12" s="37">
        <v>7.97</v>
      </c>
      <c r="E12" s="37">
        <v>9.120000000000001</v>
      </c>
      <c r="F12" s="37">
        <v>0</v>
      </c>
      <c r="G12" s="36">
        <v>730</v>
      </c>
      <c r="H12" s="38">
        <f>(E12+F12)/D12</f>
        <v>1.1442910915934756</v>
      </c>
      <c r="I12" s="36">
        <v>839.50000000000091</v>
      </c>
      <c r="J12" s="37">
        <v>1.1499999999999999</v>
      </c>
      <c r="K12" s="39">
        <f>J12/D12</f>
        <v>0.14429109159347553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69" t="s">
        <v>67</v>
      </c>
      <c r="Q12" s="44"/>
      <c r="R12" s="45" t="s">
        <v>123</v>
      </c>
    </row>
    <row r="13" spans="1:18" s="46" customFormat="1" ht="24.95" customHeight="1" x14ac:dyDescent="0.25">
      <c r="A13" s="47">
        <v>2</v>
      </c>
      <c r="B13" s="35" t="s">
        <v>59</v>
      </c>
      <c r="C13" s="36">
        <v>463.5</v>
      </c>
      <c r="D13" s="37">
        <v>2361</v>
      </c>
      <c r="E13" s="37">
        <v>2391</v>
      </c>
      <c r="F13" s="37">
        <v>0</v>
      </c>
      <c r="G13" s="36">
        <v>15.45</v>
      </c>
      <c r="H13" s="38">
        <f t="shared" ref="H13:H21" si="1">(E13+F13)/D13</f>
        <v>1.0127064803049555</v>
      </c>
      <c r="I13" s="36">
        <v>463.5</v>
      </c>
      <c r="J13" s="37">
        <v>30</v>
      </c>
      <c r="K13" s="39">
        <f>J13/D13</f>
        <v>1.2706480304955527E-2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60</v>
      </c>
      <c r="Q13" s="44" t="s">
        <v>61</v>
      </c>
      <c r="R13" s="45" t="s">
        <v>62</v>
      </c>
    </row>
    <row r="14" spans="1:18" s="46" customFormat="1" ht="24.95" customHeight="1" x14ac:dyDescent="0.25">
      <c r="A14" s="47">
        <v>3</v>
      </c>
      <c r="B14" s="35" t="s">
        <v>114</v>
      </c>
      <c r="C14" s="36">
        <v>355.59169999999995</v>
      </c>
      <c r="D14" s="37">
        <v>83.54</v>
      </c>
      <c r="E14" s="37">
        <v>87.02</v>
      </c>
      <c r="F14" s="37">
        <v>0</v>
      </c>
      <c r="G14" s="36">
        <v>141.66999999999999</v>
      </c>
      <c r="H14" s="38">
        <f>(E14+F14)/D14</f>
        <v>1.0416566914053147</v>
      </c>
      <c r="I14" s="36">
        <v>493.01159999999851</v>
      </c>
      <c r="J14" s="37">
        <v>2.5099999999999998</v>
      </c>
      <c r="K14" s="39">
        <f t="shared" ref="K14:K21" si="4">J14/D14</f>
        <v>3.004548719176442E-2</v>
      </c>
      <c r="L14" s="40">
        <f t="shared" si="2"/>
        <v>0.96999999999998998</v>
      </c>
      <c r="M14" s="41">
        <f t="shared" si="3"/>
        <v>1.1611204213550275E-2</v>
      </c>
      <c r="N14" s="42">
        <f t="shared" si="0"/>
        <v>137.41989999999856</v>
      </c>
      <c r="O14" s="43" t="s">
        <v>57</v>
      </c>
      <c r="P14" s="69" t="s">
        <v>235</v>
      </c>
      <c r="Q14" s="44"/>
      <c r="R14" s="45" t="s">
        <v>95</v>
      </c>
    </row>
    <row r="15" spans="1:18" s="46" customFormat="1" ht="24.95" customHeight="1" x14ac:dyDescent="0.25">
      <c r="A15" s="34">
        <v>4</v>
      </c>
      <c r="B15" s="35" t="s">
        <v>71</v>
      </c>
      <c r="C15" s="36">
        <v>337.755</v>
      </c>
      <c r="D15" s="37">
        <v>115.11</v>
      </c>
      <c r="E15" s="37">
        <v>121.57</v>
      </c>
      <c r="F15" s="37">
        <v>0</v>
      </c>
      <c r="G15" s="36">
        <v>122.82</v>
      </c>
      <c r="H15" s="38">
        <f>(E15+F15)/D15</f>
        <v>1.0561202328207802</v>
      </c>
      <c r="I15" s="36">
        <v>793.41719999999918</v>
      </c>
      <c r="J15" s="37">
        <v>2.75</v>
      </c>
      <c r="K15" s="39">
        <f t="shared" si="4"/>
        <v>2.3890191990270176E-2</v>
      </c>
      <c r="L15" s="40">
        <f t="shared" si="2"/>
        <v>3.7099999999999937</v>
      </c>
      <c r="M15" s="41">
        <f t="shared" si="3"/>
        <v>3.2230040830509891E-2</v>
      </c>
      <c r="N15" s="42">
        <f t="shared" si="0"/>
        <v>455.66219999999919</v>
      </c>
      <c r="O15" s="43" t="s">
        <v>57</v>
      </c>
      <c r="P15" s="69" t="s">
        <v>67</v>
      </c>
      <c r="Q15" s="44"/>
      <c r="R15" s="45" t="s">
        <v>72</v>
      </c>
    </row>
    <row r="16" spans="1:18" s="46" customFormat="1" ht="24.95" customHeight="1" x14ac:dyDescent="0.25">
      <c r="A16" s="47">
        <v>5</v>
      </c>
      <c r="B16" s="35" t="s">
        <v>82</v>
      </c>
      <c r="C16" s="36">
        <v>324.34600000000006</v>
      </c>
      <c r="D16" s="37">
        <v>449.78</v>
      </c>
      <c r="E16" s="37">
        <v>450.23</v>
      </c>
      <c r="F16" s="37">
        <v>5.92</v>
      </c>
      <c r="G16" s="36">
        <v>147.43</v>
      </c>
      <c r="H16" s="38">
        <f t="shared" si="1"/>
        <v>1.0141624794343902</v>
      </c>
      <c r="I16" s="36">
        <v>939.12910000000909</v>
      </c>
      <c r="J16" s="37">
        <v>2.2000000000000002</v>
      </c>
      <c r="K16" s="39">
        <f t="shared" si="4"/>
        <v>4.8912801814220289E-3</v>
      </c>
      <c r="L16" s="40">
        <f t="shared" si="2"/>
        <v>4.1700000000000612</v>
      </c>
      <c r="M16" s="41">
        <f t="shared" si="3"/>
        <v>9.2711992529682548E-3</v>
      </c>
      <c r="N16" s="42">
        <f t="shared" si="0"/>
        <v>614.78310000000909</v>
      </c>
      <c r="O16" s="43" t="s">
        <v>57</v>
      </c>
      <c r="P16" s="69" t="s">
        <v>84</v>
      </c>
      <c r="Q16" s="44" t="s">
        <v>85</v>
      </c>
      <c r="R16" s="45" t="s">
        <v>58</v>
      </c>
    </row>
    <row r="17" spans="1:18" s="46" customFormat="1" ht="24.95" customHeight="1" x14ac:dyDescent="0.25">
      <c r="A17" s="34">
        <v>6</v>
      </c>
      <c r="B17" s="35" t="s">
        <v>200</v>
      </c>
      <c r="C17" s="36">
        <v>318.90000000000003</v>
      </c>
      <c r="D17" s="37">
        <v>2854</v>
      </c>
      <c r="E17" s="37">
        <v>2844</v>
      </c>
      <c r="F17" s="37">
        <v>40</v>
      </c>
      <c r="G17" s="36">
        <v>10.63</v>
      </c>
      <c r="H17" s="38">
        <f t="shared" si="1"/>
        <v>1.0105115627189909</v>
      </c>
      <c r="I17" s="36">
        <v>318.90000000000003</v>
      </c>
      <c r="J17" s="37">
        <v>30</v>
      </c>
      <c r="K17" s="39">
        <f t="shared" si="4"/>
        <v>1.051156271899089E-2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69" t="s">
        <v>235</v>
      </c>
      <c r="Q17" s="44"/>
      <c r="R17" s="45" t="s">
        <v>178</v>
      </c>
    </row>
    <row r="18" spans="1:18" s="46" customFormat="1" ht="24.95" customHeight="1" x14ac:dyDescent="0.25">
      <c r="A18" s="47">
        <v>7</v>
      </c>
      <c r="B18" s="35" t="s">
        <v>158</v>
      </c>
      <c r="C18" s="36">
        <v>310.98270000000002</v>
      </c>
      <c r="D18" s="37">
        <v>73.209999999999994</v>
      </c>
      <c r="E18" s="37">
        <v>76.02</v>
      </c>
      <c r="F18" s="37">
        <v>0</v>
      </c>
      <c r="G18" s="36">
        <v>110.67</v>
      </c>
      <c r="H18" s="38">
        <f t="shared" si="1"/>
        <v>1.0383827345990986</v>
      </c>
      <c r="I18" s="36">
        <v>310.98270000000025</v>
      </c>
      <c r="J18" s="37">
        <v>2.81</v>
      </c>
      <c r="K18" s="39">
        <f t="shared" si="4"/>
        <v>3.8382734599098488E-2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69" t="s">
        <v>235</v>
      </c>
      <c r="Q18" s="44"/>
      <c r="R18" s="45" t="s">
        <v>144</v>
      </c>
    </row>
    <row r="19" spans="1:18" s="46" customFormat="1" ht="24.95" customHeight="1" x14ac:dyDescent="0.25">
      <c r="A19" s="34">
        <v>8</v>
      </c>
      <c r="B19" s="35" t="s">
        <v>56</v>
      </c>
      <c r="C19" s="36">
        <v>304.25920000000002</v>
      </c>
      <c r="D19" s="37">
        <v>339.26</v>
      </c>
      <c r="E19" s="37">
        <v>332.84</v>
      </c>
      <c r="F19" s="37">
        <v>13.5</v>
      </c>
      <c r="G19" s="36">
        <v>127.84</v>
      </c>
      <c r="H19" s="38">
        <f t="shared" si="1"/>
        <v>1.0208689500677945</v>
      </c>
      <c r="I19" s="36">
        <v>905.10719999999799</v>
      </c>
      <c r="J19" s="37">
        <v>2.38</v>
      </c>
      <c r="K19" s="39">
        <f t="shared" si="4"/>
        <v>7.0152685256145726E-3</v>
      </c>
      <c r="L19" s="40">
        <f t="shared" si="2"/>
        <v>4.6999999999999842</v>
      </c>
      <c r="M19" s="41">
        <f t="shared" si="3"/>
        <v>1.3853681542179993E-2</v>
      </c>
      <c r="N19" s="42">
        <f t="shared" si="0"/>
        <v>600.84799999999802</v>
      </c>
      <c r="O19" s="43" t="s">
        <v>57</v>
      </c>
      <c r="P19" s="69" t="s">
        <v>235</v>
      </c>
      <c r="Q19" s="44"/>
      <c r="R19" s="45" t="s">
        <v>58</v>
      </c>
    </row>
    <row r="20" spans="1:18" s="46" customFormat="1" ht="24.95" customHeight="1" x14ac:dyDescent="0.25">
      <c r="A20" s="47">
        <v>9</v>
      </c>
      <c r="B20" s="35" t="s">
        <v>73</v>
      </c>
      <c r="C20" s="36">
        <v>296.79559999999998</v>
      </c>
      <c r="D20" s="37">
        <v>186.62</v>
      </c>
      <c r="E20" s="37">
        <v>186.04</v>
      </c>
      <c r="F20" s="37">
        <v>3.36</v>
      </c>
      <c r="G20" s="36">
        <v>157.87</v>
      </c>
      <c r="H20" s="38">
        <f t="shared" si="1"/>
        <v>1.0148965812881792</v>
      </c>
      <c r="I20" s="36">
        <v>438.87860000000018</v>
      </c>
      <c r="J20" s="37">
        <v>1.88</v>
      </c>
      <c r="K20" s="39">
        <f t="shared" si="4"/>
        <v>1.0073947058193118E-2</v>
      </c>
      <c r="L20" s="40">
        <f t="shared" si="2"/>
        <v>0.90000000000000124</v>
      </c>
      <c r="M20" s="41">
        <f t="shared" si="3"/>
        <v>4.8226342299860746E-3</v>
      </c>
      <c r="N20" s="42">
        <f t="shared" si="0"/>
        <v>142.0830000000002</v>
      </c>
      <c r="O20" s="43" t="s">
        <v>57</v>
      </c>
      <c r="P20" s="69" t="s">
        <v>235</v>
      </c>
      <c r="Q20" s="44"/>
      <c r="R20" s="45" t="s">
        <v>58</v>
      </c>
    </row>
    <row r="21" spans="1:18" s="46" customFormat="1" ht="24.95" customHeight="1" thickBot="1" x14ac:dyDescent="0.3">
      <c r="A21" s="48">
        <v>10</v>
      </c>
      <c r="B21" s="49" t="s">
        <v>181</v>
      </c>
      <c r="C21" s="50">
        <v>294.88200000000001</v>
      </c>
      <c r="D21" s="51">
        <v>24.49</v>
      </c>
      <c r="E21" s="51">
        <v>21.54</v>
      </c>
      <c r="F21" s="51">
        <v>5.4</v>
      </c>
      <c r="G21" s="50">
        <v>120.36</v>
      </c>
      <c r="H21" s="52">
        <f t="shared" si="1"/>
        <v>1.1000408329930584</v>
      </c>
      <c r="I21" s="50">
        <v>294.88199999999989</v>
      </c>
      <c r="J21" s="51">
        <v>2.4500000000000002</v>
      </c>
      <c r="K21" s="53">
        <f t="shared" si="4"/>
        <v>0.10004083299305841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7" t="s">
        <v>67</v>
      </c>
      <c r="Q21" s="57"/>
      <c r="R21" s="58" t="s">
        <v>182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127</v>
      </c>
      <c r="C28" s="36">
        <v>3823.1423999999911</v>
      </c>
      <c r="D28" s="37">
        <v>152.06</v>
      </c>
      <c r="E28" s="37">
        <v>158.41999999999999</v>
      </c>
      <c r="F28" s="37">
        <v>2.6</v>
      </c>
      <c r="G28" s="36">
        <v>426.69</v>
      </c>
      <c r="H28" s="68">
        <f t="shared" ref="H28:H37" si="5">(E28+F28)/D28</f>
        <v>1.0589241089043797</v>
      </c>
      <c r="I28" s="36">
        <v>3823.1423999999911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8.9599999999999795</v>
      </c>
      <c r="N28" s="41">
        <f t="shared" ref="N28:N37" si="9">M28/D28</f>
        <v>5.8924108904379713E-2</v>
      </c>
      <c r="O28" s="43" t="s">
        <v>83</v>
      </c>
      <c r="P28" s="69" t="s">
        <v>235</v>
      </c>
      <c r="Q28" s="44"/>
      <c r="R28" s="45" t="s">
        <v>128</v>
      </c>
    </row>
    <row r="29" spans="1:18" s="67" customFormat="1" ht="24.95" customHeight="1" x14ac:dyDescent="0.25">
      <c r="A29" s="47">
        <v>2</v>
      </c>
      <c r="B29" s="35" t="s">
        <v>94</v>
      </c>
      <c r="C29" s="36">
        <v>2980.4375999999925</v>
      </c>
      <c r="D29" s="37">
        <v>149.68</v>
      </c>
      <c r="E29" s="37">
        <v>151.16</v>
      </c>
      <c r="F29" s="37">
        <v>3.44</v>
      </c>
      <c r="G29" s="36">
        <v>605.78</v>
      </c>
      <c r="H29" s="68">
        <f t="shared" si="5"/>
        <v>1.032870122928915</v>
      </c>
      <c r="I29" s="36">
        <v>2980.4375999999925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4.9199999999999875</v>
      </c>
      <c r="N29" s="41">
        <f t="shared" si="9"/>
        <v>3.2870122928914933E-2</v>
      </c>
      <c r="O29" s="43" t="s">
        <v>83</v>
      </c>
      <c r="P29" s="44" t="s">
        <v>60</v>
      </c>
      <c r="Q29" s="44" t="s">
        <v>87</v>
      </c>
      <c r="R29" s="45" t="s">
        <v>95</v>
      </c>
    </row>
    <row r="30" spans="1:18" s="67" customFormat="1" ht="24.95" customHeight="1" x14ac:dyDescent="0.25">
      <c r="A30" s="47">
        <v>3</v>
      </c>
      <c r="B30" s="35" t="s">
        <v>132</v>
      </c>
      <c r="C30" s="36">
        <v>2126.0200000000018</v>
      </c>
      <c r="D30" s="37">
        <v>36.840000000000003</v>
      </c>
      <c r="E30" s="37">
        <v>38.090000000000003</v>
      </c>
      <c r="F30" s="37">
        <v>2.56</v>
      </c>
      <c r="G30" s="36">
        <v>629</v>
      </c>
      <c r="H30" s="68">
        <f t="shared" si="5"/>
        <v>1.1034201954397396</v>
      </c>
      <c r="I30" s="36">
        <v>2396.4900000000016</v>
      </c>
      <c r="J30" s="37">
        <v>0.43</v>
      </c>
      <c r="K30" s="39">
        <f t="shared" si="6"/>
        <v>1.1672095548317045E-2</v>
      </c>
      <c r="L30" s="42">
        <f t="shared" si="7"/>
        <v>270.46999999999997</v>
      </c>
      <c r="M30" s="40">
        <f t="shared" si="8"/>
        <v>3.3800000000000021</v>
      </c>
      <c r="N30" s="41">
        <f t="shared" si="9"/>
        <v>9.1748099891422422E-2</v>
      </c>
      <c r="O30" s="43" t="s">
        <v>83</v>
      </c>
      <c r="P30" s="69" t="s">
        <v>235</v>
      </c>
      <c r="Q30" s="44"/>
      <c r="R30" s="45" t="s">
        <v>70</v>
      </c>
    </row>
    <row r="31" spans="1:18" s="67" customFormat="1" ht="24.95" customHeight="1" x14ac:dyDescent="0.25">
      <c r="A31" s="34">
        <v>4</v>
      </c>
      <c r="B31" s="35" t="s">
        <v>137</v>
      </c>
      <c r="C31" s="36">
        <v>1729.64</v>
      </c>
      <c r="D31" s="37">
        <v>52.78</v>
      </c>
      <c r="E31" s="37">
        <v>52.87</v>
      </c>
      <c r="F31" s="37">
        <v>2.66</v>
      </c>
      <c r="G31" s="36">
        <v>628.96</v>
      </c>
      <c r="H31" s="68">
        <f t="shared" si="5"/>
        <v>1.0521030693444486</v>
      </c>
      <c r="I31" s="36">
        <v>1729.64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2.75</v>
      </c>
      <c r="N31" s="41">
        <f t="shared" si="9"/>
        <v>5.2103069344448652E-2</v>
      </c>
      <c r="O31" s="43" t="s">
        <v>83</v>
      </c>
      <c r="P31" s="44" t="s">
        <v>60</v>
      </c>
      <c r="Q31" s="44" t="s">
        <v>87</v>
      </c>
      <c r="R31" s="45" t="s">
        <v>138</v>
      </c>
    </row>
    <row r="32" spans="1:18" s="67" customFormat="1" ht="24.95" customHeight="1" x14ac:dyDescent="0.25">
      <c r="A32" s="47">
        <v>5</v>
      </c>
      <c r="B32" s="35" t="s">
        <v>86</v>
      </c>
      <c r="C32" s="36">
        <v>1204.1522999999886</v>
      </c>
      <c r="D32" s="37">
        <v>3409.53</v>
      </c>
      <c r="E32" s="37">
        <v>3393</v>
      </c>
      <c r="F32" s="37">
        <v>47.1</v>
      </c>
      <c r="G32" s="36">
        <v>39.39</v>
      </c>
      <c r="H32" s="68">
        <f t="shared" si="5"/>
        <v>1.0089660451733815</v>
      </c>
      <c r="I32" s="36">
        <v>1204.1522999999886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30.569999999999709</v>
      </c>
      <c r="N32" s="41">
        <f t="shared" si="9"/>
        <v>8.9660451733815823E-3</v>
      </c>
      <c r="O32" s="43" t="s">
        <v>83</v>
      </c>
      <c r="P32" s="69" t="s">
        <v>235</v>
      </c>
      <c r="Q32" s="44"/>
      <c r="R32" s="45" t="s">
        <v>58</v>
      </c>
    </row>
    <row r="33" spans="1:18" s="67" customFormat="1" ht="24.95" customHeight="1" x14ac:dyDescent="0.25">
      <c r="A33" s="34">
        <v>6</v>
      </c>
      <c r="B33" s="35" t="s">
        <v>239</v>
      </c>
      <c r="C33" s="36">
        <v>1186.6360000000004</v>
      </c>
      <c r="D33" s="37">
        <v>1113</v>
      </c>
      <c r="E33" s="37">
        <v>982.69</v>
      </c>
      <c r="F33" s="37">
        <v>400</v>
      </c>
      <c r="G33" s="36">
        <v>4.4000000000000004</v>
      </c>
      <c r="H33" s="68">
        <f t="shared" si="5"/>
        <v>1.2423090745732255</v>
      </c>
      <c r="I33" s="36">
        <v>1186.6360000000004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269.69000000000005</v>
      </c>
      <c r="N33" s="41">
        <f t="shared" si="9"/>
        <v>0.24230907457322556</v>
      </c>
      <c r="O33" s="43" t="s">
        <v>83</v>
      </c>
      <c r="P33" s="69" t="s">
        <v>235</v>
      </c>
      <c r="Q33" s="44"/>
      <c r="R33" s="45" t="s">
        <v>182</v>
      </c>
    </row>
    <row r="34" spans="1:18" s="67" customFormat="1" ht="24.95" customHeight="1" x14ac:dyDescent="0.25">
      <c r="A34" s="47">
        <v>7</v>
      </c>
      <c r="B34" s="35" t="s">
        <v>125</v>
      </c>
      <c r="C34" s="36">
        <v>1052.0000000000009</v>
      </c>
      <c r="D34" s="37">
        <v>108.52</v>
      </c>
      <c r="E34" s="37">
        <v>108.65</v>
      </c>
      <c r="F34" s="37">
        <v>5.35</v>
      </c>
      <c r="G34" s="36">
        <v>200</v>
      </c>
      <c r="H34" s="68">
        <f t="shared" si="5"/>
        <v>1.0504976041282714</v>
      </c>
      <c r="I34" s="36">
        <v>1096.0000000000009</v>
      </c>
      <c r="J34" s="37">
        <v>0.22</v>
      </c>
      <c r="K34" s="39">
        <f t="shared" si="6"/>
        <v>2.027276078142278E-3</v>
      </c>
      <c r="L34" s="42">
        <f t="shared" si="7"/>
        <v>44</v>
      </c>
      <c r="M34" s="40">
        <f t="shared" si="8"/>
        <v>5.2600000000000042</v>
      </c>
      <c r="N34" s="41">
        <f t="shared" si="9"/>
        <v>4.8470328050129047E-2</v>
      </c>
      <c r="O34" s="43" t="s">
        <v>83</v>
      </c>
      <c r="P34" s="69" t="s">
        <v>235</v>
      </c>
      <c r="Q34" s="44"/>
      <c r="R34" s="45" t="s">
        <v>58</v>
      </c>
    </row>
    <row r="35" spans="1:18" s="67" customFormat="1" ht="24.95" customHeight="1" x14ac:dyDescent="0.25">
      <c r="A35" s="34">
        <v>8</v>
      </c>
      <c r="B35" s="35" t="s">
        <v>164</v>
      </c>
      <c r="C35" s="36">
        <v>1004.5146999999998</v>
      </c>
      <c r="D35" s="37">
        <v>283.5</v>
      </c>
      <c r="E35" s="37">
        <v>277.69</v>
      </c>
      <c r="F35" s="37">
        <v>21</v>
      </c>
      <c r="G35" s="36">
        <v>66.13</v>
      </c>
      <c r="H35" s="68">
        <f t="shared" si="5"/>
        <v>1.0535802469135802</v>
      </c>
      <c r="I35" s="36">
        <v>1004.5146999999998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15.189999999999998</v>
      </c>
      <c r="N35" s="41">
        <f t="shared" si="9"/>
        <v>5.3580246913580237E-2</v>
      </c>
      <c r="O35" s="43" t="s">
        <v>83</v>
      </c>
      <c r="P35" s="69" t="s">
        <v>235</v>
      </c>
      <c r="Q35" s="44"/>
      <c r="R35" s="45" t="s">
        <v>165</v>
      </c>
    </row>
    <row r="36" spans="1:18" s="67" customFormat="1" ht="24.95" customHeight="1" x14ac:dyDescent="0.25">
      <c r="A36" s="47">
        <v>9</v>
      </c>
      <c r="B36" s="35" t="s">
        <v>90</v>
      </c>
      <c r="C36" s="36">
        <v>1002.7161000000008</v>
      </c>
      <c r="D36" s="37">
        <v>41.69</v>
      </c>
      <c r="E36" s="37">
        <v>40.22</v>
      </c>
      <c r="F36" s="37">
        <v>3</v>
      </c>
      <c r="G36" s="36">
        <v>655.37</v>
      </c>
      <c r="H36" s="68">
        <f t="shared" si="5"/>
        <v>1.0366994483089471</v>
      </c>
      <c r="I36" s="36">
        <v>1002.7161000000008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1.5300000000000011</v>
      </c>
      <c r="N36" s="41">
        <f t="shared" si="9"/>
        <v>3.6699448308947016E-2</v>
      </c>
      <c r="O36" s="43" t="s">
        <v>97</v>
      </c>
      <c r="P36" s="69" t="s">
        <v>235</v>
      </c>
      <c r="Q36" s="44"/>
      <c r="R36" s="45" t="s">
        <v>77</v>
      </c>
    </row>
    <row r="37" spans="1:18" s="67" customFormat="1" ht="24.95" customHeight="1" thickBot="1" x14ac:dyDescent="0.3">
      <c r="A37" s="48">
        <v>10</v>
      </c>
      <c r="B37" s="49" t="s">
        <v>133</v>
      </c>
      <c r="C37" s="50">
        <v>936.35749999999928</v>
      </c>
      <c r="D37" s="51">
        <v>123.56</v>
      </c>
      <c r="E37" s="51">
        <v>129.04</v>
      </c>
      <c r="F37" s="51">
        <v>0.65</v>
      </c>
      <c r="G37" s="50">
        <v>152.75</v>
      </c>
      <c r="H37" s="70">
        <f t="shared" si="5"/>
        <v>1.0496115247652962</v>
      </c>
      <c r="I37" s="50">
        <v>936.35749999999928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6.1299999999999955</v>
      </c>
      <c r="N37" s="55">
        <f t="shared" si="9"/>
        <v>4.9611524765296178E-2</v>
      </c>
      <c r="O37" s="57" t="s">
        <v>97</v>
      </c>
      <c r="P37" s="71" t="s">
        <v>235</v>
      </c>
      <c r="Q37" s="72"/>
      <c r="R37" s="58" t="s">
        <v>128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82</v>
      </c>
      <c r="C44" s="36">
        <v>324.34600000000006</v>
      </c>
      <c r="D44" s="78">
        <f t="shared" ref="D44:D53" si="10">C44/$L$5</f>
        <v>0.14318175818507831</v>
      </c>
      <c r="E44" s="79"/>
    </row>
    <row r="45" spans="1:18" s="80" customFormat="1" ht="24.95" customHeight="1" x14ac:dyDescent="0.25">
      <c r="A45" s="81">
        <v>2</v>
      </c>
      <c r="B45" s="35" t="s">
        <v>56</v>
      </c>
      <c r="C45" s="36">
        <v>304.25920000000002</v>
      </c>
      <c r="D45" s="78">
        <f t="shared" si="10"/>
        <v>0.13431448884828354</v>
      </c>
      <c r="E45" s="79"/>
    </row>
    <row r="46" spans="1:18" s="80" customFormat="1" ht="24.95" customHeight="1" x14ac:dyDescent="0.25">
      <c r="A46" s="81">
        <v>3</v>
      </c>
      <c r="B46" s="35" t="s">
        <v>73</v>
      </c>
      <c r="C46" s="36">
        <v>296.79559999999998</v>
      </c>
      <c r="D46" s="78">
        <f t="shared" si="10"/>
        <v>0.13101970065792459</v>
      </c>
      <c r="E46" s="79"/>
    </row>
    <row r="47" spans="1:18" s="80" customFormat="1" ht="24.95" customHeight="1" x14ac:dyDescent="0.25">
      <c r="A47" s="77">
        <v>4</v>
      </c>
      <c r="B47" s="35" t="s">
        <v>105</v>
      </c>
      <c r="C47" s="36">
        <v>269.5</v>
      </c>
      <c r="D47" s="78">
        <f t="shared" si="10"/>
        <v>0.11897012397525665</v>
      </c>
      <c r="E47" s="79"/>
    </row>
    <row r="48" spans="1:18" s="80" customFormat="1" ht="24.95" customHeight="1" x14ac:dyDescent="0.25">
      <c r="A48" s="81">
        <v>5</v>
      </c>
      <c r="B48" s="35" t="s">
        <v>104</v>
      </c>
      <c r="C48" s="36">
        <v>259.74</v>
      </c>
      <c r="D48" s="78">
        <f t="shared" si="10"/>
        <v>0.11466159555225663</v>
      </c>
      <c r="E48" s="79"/>
    </row>
    <row r="49" spans="1:5" s="80" customFormat="1" ht="24.95" customHeight="1" x14ac:dyDescent="0.25">
      <c r="A49" s="77">
        <v>6</v>
      </c>
      <c r="B49" s="35" t="s">
        <v>126</v>
      </c>
      <c r="C49" s="36">
        <v>230.65</v>
      </c>
      <c r="D49" s="78">
        <f t="shared" si="10"/>
        <v>0.1018198853242781</v>
      </c>
      <c r="E49" s="79"/>
    </row>
    <row r="50" spans="1:5" s="80" customFormat="1" ht="24.95" customHeight="1" x14ac:dyDescent="0.25">
      <c r="A50" s="81">
        <v>7</v>
      </c>
      <c r="B50" s="35" t="s">
        <v>168</v>
      </c>
      <c r="C50" s="36">
        <v>146.03849999999997</v>
      </c>
      <c r="D50" s="78">
        <f t="shared" si="10"/>
        <v>6.4468343043267221E-2</v>
      </c>
      <c r="E50" s="79"/>
    </row>
    <row r="51" spans="1:5" s="80" customFormat="1" ht="24.95" customHeight="1" x14ac:dyDescent="0.25">
      <c r="A51" s="77">
        <v>8</v>
      </c>
      <c r="B51" s="35" t="s">
        <v>147</v>
      </c>
      <c r="C51" s="36">
        <v>102.1208</v>
      </c>
      <c r="D51" s="78">
        <f t="shared" si="10"/>
        <v>4.5080980469211093E-2</v>
      </c>
      <c r="E51" s="79"/>
    </row>
    <row r="52" spans="1:5" s="80" customFormat="1" ht="24.95" customHeight="1" x14ac:dyDescent="0.25">
      <c r="A52" s="81">
        <v>9</v>
      </c>
      <c r="B52" s="35" t="s">
        <v>109</v>
      </c>
      <c r="C52" s="36">
        <v>86.88000000000001</v>
      </c>
      <c r="D52" s="78">
        <f t="shared" si="10"/>
        <v>3.8352966126049347E-2</v>
      </c>
      <c r="E52" s="79"/>
    </row>
    <row r="53" spans="1:5" s="80" customFormat="1" ht="24.95" customHeight="1" thickBot="1" x14ac:dyDescent="0.3">
      <c r="A53" s="82">
        <v>10</v>
      </c>
      <c r="B53" s="49" t="s">
        <v>110</v>
      </c>
      <c r="C53" s="50">
        <v>74.227999999999994</v>
      </c>
      <c r="D53" s="83">
        <f t="shared" si="10"/>
        <v>3.2767771289184976E-2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51" priority="34" operator="containsText" text="中華">
      <formula>NOT(ISERROR(SEARCH("中華",A12)))</formula>
    </cfRule>
    <cfRule type="containsText" dxfId="950" priority="33" operator="containsText" text="湯凍">
      <formula>NOT(ISERROR(SEARCH("湯凍",A12)))</formula>
    </cfRule>
    <cfRule type="containsText" dxfId="949" priority="32" operator="containsText" text=")川燙小青花菜">
      <formula>NOT(ISERROR(SEARCH(")川燙小青花菜",A12)))</formula>
    </cfRule>
    <cfRule type="containsText" dxfId="948" priority="31" operator="containsText" text="青蔥">
      <formula>NOT(ISERROR(SEARCH("青蔥",A12)))</formula>
    </cfRule>
    <cfRule type="containsText" dxfId="947" priority="30" operator="containsText" text="白醬">
      <formula>NOT(ISERROR(SEARCH("白醬",A12)))</formula>
    </cfRule>
    <cfRule type="containsText" dxfId="946" priority="29" operator="containsText" text="024">
      <formula>NOT(ISERROR(SEARCH("024",A12)))</formula>
    </cfRule>
    <cfRule type="containsText" dxfId="945" priority="28" operator="containsText" text="煮白細麵生(方#12)">
      <formula>NOT(ISERROR(SEARCH("煮白細麵生(方#12)",A12)))</formula>
    </cfRule>
    <cfRule type="containsText" dxfId="944" priority="27" operator="containsText" text="綠豆芽">
      <formula>NOT(ISERROR(SEARCH("綠豆芽",A12)))</formula>
    </cfRule>
  </conditionalFormatting>
  <conditionalFormatting sqref="A28:A37">
    <cfRule type="containsText" dxfId="943" priority="5" operator="containsText" text="綠豆芽">
      <formula>NOT(ISERROR(SEARCH("綠豆芽",A28)))</formula>
    </cfRule>
    <cfRule type="containsText" dxfId="942" priority="6" operator="containsText" text="煮白細麵生(方#12)">
      <formula>NOT(ISERROR(SEARCH("煮白細麵生(方#12)",A28)))</formula>
    </cfRule>
    <cfRule type="containsText" dxfId="941" priority="7" operator="containsText" text="024">
      <formula>NOT(ISERROR(SEARCH("024",A28)))</formula>
    </cfRule>
    <cfRule type="containsText" dxfId="940" priority="8" operator="containsText" text="白醬">
      <formula>NOT(ISERROR(SEARCH("白醬",A28)))</formula>
    </cfRule>
    <cfRule type="containsText" dxfId="939" priority="9" operator="containsText" text="青蔥">
      <formula>NOT(ISERROR(SEARCH("青蔥",A28)))</formula>
    </cfRule>
    <cfRule type="containsText" dxfId="938" priority="10" operator="containsText" text=")川燙小青花菜">
      <formula>NOT(ISERROR(SEARCH(")川燙小青花菜",A28)))</formula>
    </cfRule>
    <cfRule type="containsText" dxfId="937" priority="11" operator="containsText" text="湯凍">
      <formula>NOT(ISERROR(SEARCH("湯凍",A28)))</formula>
    </cfRule>
    <cfRule type="containsText" dxfId="936" priority="12" operator="containsText" text="中華">
      <formula>NOT(ISERROR(SEARCH("中華",A28)))</formula>
    </cfRule>
  </conditionalFormatting>
  <conditionalFormatting sqref="A44:A53">
    <cfRule type="containsText" dxfId="935" priority="17" operator="containsText" text="綠豆芽">
      <formula>NOT(ISERROR(SEARCH("綠豆芽",A44)))</formula>
    </cfRule>
    <cfRule type="containsText" dxfId="934" priority="18" operator="containsText" text="煮白細麵生(方#12)">
      <formula>NOT(ISERROR(SEARCH("煮白細麵生(方#12)",A44)))</formula>
    </cfRule>
    <cfRule type="containsText" dxfId="933" priority="19" operator="containsText" text="024">
      <formula>NOT(ISERROR(SEARCH("024",A44)))</formula>
    </cfRule>
    <cfRule type="containsText" dxfId="932" priority="20" operator="containsText" text="白醬">
      <formula>NOT(ISERROR(SEARCH("白醬",A44)))</formula>
    </cfRule>
    <cfRule type="containsText" dxfId="931" priority="21" operator="containsText" text="青蔥">
      <formula>NOT(ISERROR(SEARCH("青蔥",A44)))</formula>
    </cfRule>
    <cfRule type="containsText" dxfId="930" priority="22" operator="containsText" text=")川燙小青花菜">
      <formula>NOT(ISERROR(SEARCH(")川燙小青花菜",A44)))</formula>
    </cfRule>
    <cfRule type="containsText" dxfId="929" priority="23" operator="containsText" text="湯凍">
      <formula>NOT(ISERROR(SEARCH("湯凍",A44)))</formula>
    </cfRule>
    <cfRule type="containsText" dxfId="928" priority="24" operator="containsText" text="中華">
      <formula>NOT(ISERROR(SEARCH("中華",A44)))</formula>
    </cfRule>
  </conditionalFormatting>
  <conditionalFormatting sqref="D44:D53">
    <cfRule type="cellIs" dxfId="927" priority="16" operator="greaterThan">
      <formula>0.146</formula>
    </cfRule>
  </conditionalFormatting>
  <conditionalFormatting sqref="E5">
    <cfRule type="cellIs" dxfId="926" priority="25" operator="greaterThan">
      <formula>0.072</formula>
    </cfRule>
    <cfRule type="cellIs" dxfId="925" priority="26" operator="greaterThan">
      <formula>7.2</formula>
    </cfRule>
    <cfRule type="cellIs" dxfId="924" priority="14" operator="greaterThan">
      <formula>0.0025</formula>
    </cfRule>
  </conditionalFormatting>
  <conditionalFormatting sqref="G5">
    <cfRule type="cellIs" dxfId="923" priority="3" operator="greaterThan">
      <formula>7.2</formula>
    </cfRule>
    <cfRule type="cellIs" dxfId="922" priority="2" operator="greaterThan">
      <formula>0.072</formula>
    </cfRule>
    <cfRule type="cellIs" dxfId="921" priority="1" operator="greaterThan">
      <formula>0.0025</formula>
    </cfRule>
  </conditionalFormatting>
  <conditionalFormatting sqref="H12:H22">
    <cfRule type="cellIs" dxfId="920" priority="15" operator="greaterThan">
      <formula>1.1</formula>
    </cfRule>
  </conditionalFormatting>
  <conditionalFormatting sqref="H28:H37">
    <cfRule type="cellIs" dxfId="919" priority="4" operator="greaterThan">
      <formula>1.1</formula>
    </cfRule>
  </conditionalFormatting>
  <conditionalFormatting sqref="I5">
    <cfRule type="cellIs" dxfId="91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A2F6-1A4B-4FA4-8FE4-DA21E9912E84}">
  <sheetPr>
    <tabColor rgb="FFFF0000"/>
    <pageSetUpPr fitToPage="1"/>
  </sheetPr>
  <dimension ref="A1:R56"/>
  <sheetViews>
    <sheetView topLeftCell="A22" zoomScale="70" zoomScaleNormal="70" workbookViewId="0">
      <selection activeCell="G28" sqref="G28:G37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45926</v>
      </c>
      <c r="B3" s="149"/>
      <c r="C3" s="150">
        <v>5226513.2699999996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12595.985800000004</v>
      </c>
      <c r="E5" s="24">
        <f>D5/C3</f>
        <v>2.4100169939872754E-3</v>
      </c>
      <c r="F5" s="23">
        <v>37138.000099999968</v>
      </c>
      <c r="G5" s="25">
        <f>F5/C3</f>
        <v>7.1056932569502447E-3</v>
      </c>
      <c r="H5" s="26">
        <f>SUM(C12:C21)</f>
        <v>3258.0119999999993</v>
      </c>
      <c r="I5" s="27">
        <f>H5/D5</f>
        <v>0.25865478508240286</v>
      </c>
      <c r="J5" s="26">
        <f>SUM(C28:C37)</f>
        <v>18684.235699999997</v>
      </c>
      <c r="K5" s="28">
        <f>J5/F5</f>
        <v>0.50310290402524971</v>
      </c>
      <c r="L5" s="29">
        <v>2389.5565999999999</v>
      </c>
      <c r="M5" s="30">
        <f>L5/D5</f>
        <v>0.18970778769852212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59</v>
      </c>
      <c r="C12" s="36">
        <v>556.19999999999993</v>
      </c>
      <c r="D12" s="37">
        <v>2503</v>
      </c>
      <c r="E12" s="37">
        <v>2539</v>
      </c>
      <c r="F12" s="37">
        <v>0</v>
      </c>
      <c r="G12" s="36">
        <v>15.45</v>
      </c>
      <c r="H12" s="38">
        <f>(E12+F12)/D12</f>
        <v>1.0143827407111465</v>
      </c>
      <c r="I12" s="36">
        <v>556.19999999999993</v>
      </c>
      <c r="J12" s="37">
        <v>36</v>
      </c>
      <c r="K12" s="39">
        <f>J12/D12</f>
        <v>1.4382740711146624E-2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109</v>
      </c>
      <c r="C13" s="36">
        <v>330.14400000000001</v>
      </c>
      <c r="D13" s="37">
        <v>185.72</v>
      </c>
      <c r="E13" s="37">
        <v>188</v>
      </c>
      <c r="F13" s="37">
        <v>0</v>
      </c>
      <c r="G13" s="36">
        <v>144.80000000000001</v>
      </c>
      <c r="H13" s="38">
        <f t="shared" ref="H13:H21" si="1">(E13+F13)/D13</f>
        <v>1.0122765453370666</v>
      </c>
      <c r="I13" s="36">
        <v>330.14400000000018</v>
      </c>
      <c r="J13" s="37">
        <v>2.2799999999999998</v>
      </c>
      <c r="K13" s="39">
        <f>J13/D13</f>
        <v>1.2276545337066552E-2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69" t="s">
        <v>235</v>
      </c>
      <c r="Q13" s="44"/>
      <c r="R13" s="45" t="s">
        <v>58</v>
      </c>
    </row>
    <row r="14" spans="1:18" s="46" customFormat="1" ht="24.95" customHeight="1" x14ac:dyDescent="0.25">
      <c r="A14" s="47">
        <v>3</v>
      </c>
      <c r="B14" s="35" t="s">
        <v>212</v>
      </c>
      <c r="C14" s="36">
        <v>306.91539999999998</v>
      </c>
      <c r="D14" s="37">
        <v>22.56</v>
      </c>
      <c r="E14" s="37">
        <v>23.78</v>
      </c>
      <c r="F14" s="37">
        <v>0</v>
      </c>
      <c r="G14" s="36">
        <v>251.57</v>
      </c>
      <c r="H14" s="38">
        <f>(E14+F14)/D14</f>
        <v>1.0540780141843973</v>
      </c>
      <c r="I14" s="36">
        <v>306.9154000000006</v>
      </c>
      <c r="J14" s="37">
        <v>1.22</v>
      </c>
      <c r="K14" s="39">
        <f t="shared" ref="K14:K21" si="4">J14/D14</f>
        <v>5.4078014184397165E-2</v>
      </c>
      <c r="L14" s="40">
        <f t="shared" si="2"/>
        <v>2.4424906541753444E-15</v>
      </c>
      <c r="M14" s="41">
        <f t="shared" si="3"/>
        <v>1.0826642970635392E-16</v>
      </c>
      <c r="N14" s="42">
        <f t="shared" si="0"/>
        <v>6.1445737387089138E-13</v>
      </c>
      <c r="O14" s="43" t="s">
        <v>57</v>
      </c>
      <c r="P14" s="69" t="s">
        <v>67</v>
      </c>
      <c r="Q14" s="44"/>
      <c r="R14" s="45" t="s">
        <v>163</v>
      </c>
    </row>
    <row r="15" spans="1:18" s="46" customFormat="1" ht="24.95" customHeight="1" x14ac:dyDescent="0.25">
      <c r="A15" s="34">
        <v>4</v>
      </c>
      <c r="B15" s="35" t="s">
        <v>76</v>
      </c>
      <c r="C15" s="36">
        <v>305.08799999999997</v>
      </c>
      <c r="D15" s="37">
        <v>45.39</v>
      </c>
      <c r="E15" s="37">
        <v>48.19</v>
      </c>
      <c r="F15" s="37">
        <v>0</v>
      </c>
      <c r="G15" s="36">
        <v>108.96</v>
      </c>
      <c r="H15" s="38">
        <f>(E15+F15)/D15</f>
        <v>1.0616875963868693</v>
      </c>
      <c r="I15" s="36">
        <v>305.08799999999968</v>
      </c>
      <c r="J15" s="37">
        <v>2.8</v>
      </c>
      <c r="K15" s="39">
        <f t="shared" si="4"/>
        <v>6.1687596386869346E-2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69" t="s">
        <v>67</v>
      </c>
      <c r="Q15" s="44"/>
      <c r="R15" s="45" t="s">
        <v>77</v>
      </c>
    </row>
    <row r="16" spans="1:18" s="46" customFormat="1" ht="24.95" customHeight="1" x14ac:dyDescent="0.25">
      <c r="A16" s="47">
        <v>5</v>
      </c>
      <c r="B16" s="35" t="s">
        <v>71</v>
      </c>
      <c r="C16" s="36">
        <v>299.68079999999998</v>
      </c>
      <c r="D16" s="37">
        <v>120.11</v>
      </c>
      <c r="E16" s="37">
        <v>122.55</v>
      </c>
      <c r="F16" s="37">
        <v>0</v>
      </c>
      <c r="G16" s="36">
        <v>122.82</v>
      </c>
      <c r="H16" s="38">
        <f t="shared" si="1"/>
        <v>1.0203147115144451</v>
      </c>
      <c r="I16" s="36">
        <v>299.68079999999969</v>
      </c>
      <c r="J16" s="37">
        <v>2.44</v>
      </c>
      <c r="K16" s="39">
        <f t="shared" si="4"/>
        <v>2.0314711514445093E-2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69" t="s">
        <v>235</v>
      </c>
      <c r="Q16" s="44"/>
      <c r="R16" s="45" t="s">
        <v>72</v>
      </c>
    </row>
    <row r="17" spans="1:18" s="46" customFormat="1" ht="24.95" customHeight="1" x14ac:dyDescent="0.25">
      <c r="A17" s="34">
        <v>6</v>
      </c>
      <c r="B17" s="35" t="s">
        <v>110</v>
      </c>
      <c r="C17" s="36">
        <v>296.91199999999998</v>
      </c>
      <c r="D17" s="37">
        <v>81.78</v>
      </c>
      <c r="E17" s="37">
        <v>81.83</v>
      </c>
      <c r="F17" s="37">
        <v>2.1</v>
      </c>
      <c r="G17" s="36">
        <v>371.14</v>
      </c>
      <c r="H17" s="38">
        <f t="shared" si="1"/>
        <v>1.0262900464661284</v>
      </c>
      <c r="I17" s="36">
        <v>797.95099999999684</v>
      </c>
      <c r="J17" s="37">
        <v>0.8</v>
      </c>
      <c r="K17" s="39">
        <f t="shared" si="4"/>
        <v>9.7823428711176323E-3</v>
      </c>
      <c r="L17" s="40">
        <f t="shared" si="2"/>
        <v>1.3499999999999914</v>
      </c>
      <c r="M17" s="41">
        <f t="shared" si="3"/>
        <v>1.65077035950109E-2</v>
      </c>
      <c r="N17" s="42">
        <f t="shared" si="0"/>
        <v>501.0389999999968</v>
      </c>
      <c r="O17" s="43" t="s">
        <v>57</v>
      </c>
      <c r="P17" s="69" t="s">
        <v>235</v>
      </c>
      <c r="Q17" s="44"/>
      <c r="R17" s="45" t="s">
        <v>58</v>
      </c>
    </row>
    <row r="18" spans="1:18" s="46" customFormat="1" ht="24.95" customHeight="1" x14ac:dyDescent="0.25">
      <c r="A18" s="47">
        <v>7</v>
      </c>
      <c r="B18" s="35" t="s">
        <v>194</v>
      </c>
      <c r="C18" s="36">
        <v>296.65999999999997</v>
      </c>
      <c r="D18" s="37">
        <v>122.72</v>
      </c>
      <c r="E18" s="37">
        <v>125.32</v>
      </c>
      <c r="F18" s="37">
        <v>0</v>
      </c>
      <c r="G18" s="36">
        <v>114.1</v>
      </c>
      <c r="H18" s="38">
        <f t="shared" si="1"/>
        <v>1.021186440677966</v>
      </c>
      <c r="I18" s="36">
        <v>296.65999999999934</v>
      </c>
      <c r="J18" s="37">
        <v>2.6</v>
      </c>
      <c r="K18" s="39">
        <f t="shared" si="4"/>
        <v>2.1186440677966104E-2</v>
      </c>
      <c r="L18" s="40">
        <f>((E18+F18)-D18)-J18</f>
        <v>-5.773159728050814E-15</v>
      </c>
      <c r="M18" s="41">
        <f t="shared" si="3"/>
        <v>-4.7043348501065953E-17</v>
      </c>
      <c r="N18" s="42">
        <f t="shared" si="0"/>
        <v>-6.5871752497059786E-13</v>
      </c>
      <c r="O18" s="43" t="s">
        <v>57</v>
      </c>
      <c r="P18" s="69" t="s">
        <v>235</v>
      </c>
      <c r="Q18" s="44"/>
      <c r="R18" s="45" t="s">
        <v>195</v>
      </c>
    </row>
    <row r="19" spans="1:18" s="46" customFormat="1" ht="24.95" customHeight="1" x14ac:dyDescent="0.25">
      <c r="A19" s="34">
        <v>8</v>
      </c>
      <c r="B19" s="35" t="s">
        <v>154</v>
      </c>
      <c r="C19" s="36">
        <v>296.58299999999997</v>
      </c>
      <c r="D19" s="37">
        <v>31.2</v>
      </c>
      <c r="E19" s="37">
        <v>34.099999999999994</v>
      </c>
      <c r="F19" s="37">
        <v>0</v>
      </c>
      <c r="G19" s="36">
        <v>102.27</v>
      </c>
      <c r="H19" s="38">
        <f t="shared" si="1"/>
        <v>1.0929487179487178</v>
      </c>
      <c r="I19" s="36">
        <v>296.58299999999946</v>
      </c>
      <c r="J19" s="37">
        <v>2.9</v>
      </c>
      <c r="K19" s="39">
        <f t="shared" si="4"/>
        <v>9.2948717948717952E-2</v>
      </c>
      <c r="L19" s="40">
        <f t="shared" si="2"/>
        <v>-4.8849813083506888E-15</v>
      </c>
      <c r="M19" s="41">
        <f t="shared" si="3"/>
        <v>-1.5656991372918875E-16</v>
      </c>
      <c r="N19" s="42">
        <f t="shared" si="0"/>
        <v>-4.9958703840502495E-13</v>
      </c>
      <c r="O19" s="43" t="s">
        <v>57</v>
      </c>
      <c r="P19" s="69" t="s">
        <v>67</v>
      </c>
      <c r="Q19" s="44"/>
      <c r="R19" s="45" t="s">
        <v>155</v>
      </c>
    </row>
    <row r="20" spans="1:18" s="46" customFormat="1" ht="24.95" customHeight="1" x14ac:dyDescent="0.25">
      <c r="A20" s="47">
        <v>9</v>
      </c>
      <c r="B20" s="35" t="s">
        <v>147</v>
      </c>
      <c r="C20" s="36">
        <v>293.00079999999997</v>
      </c>
      <c r="D20" s="37">
        <v>189.15</v>
      </c>
      <c r="E20" s="37">
        <v>188.41</v>
      </c>
      <c r="F20" s="37">
        <v>11.2</v>
      </c>
      <c r="G20" s="36">
        <v>95.44</v>
      </c>
      <c r="H20" s="38">
        <f t="shared" si="1"/>
        <v>1.0553000264340469</v>
      </c>
      <c r="I20" s="36">
        <v>998.30239999999799</v>
      </c>
      <c r="J20" s="37">
        <v>3.07</v>
      </c>
      <c r="K20" s="39">
        <f t="shared" si="4"/>
        <v>1.6230504890298703E-2</v>
      </c>
      <c r="L20" s="40">
        <f t="shared" si="2"/>
        <v>7.3899999999999793</v>
      </c>
      <c r="M20" s="41">
        <f t="shared" si="3"/>
        <v>3.9069521543748237E-2</v>
      </c>
      <c r="N20" s="42">
        <f t="shared" si="0"/>
        <v>705.30159999999796</v>
      </c>
      <c r="O20" s="43" t="s">
        <v>57</v>
      </c>
      <c r="P20" s="69" t="s">
        <v>67</v>
      </c>
      <c r="Q20" s="44"/>
      <c r="R20" s="45" t="s">
        <v>58</v>
      </c>
    </row>
    <row r="21" spans="1:18" s="46" customFormat="1" ht="24.95" customHeight="1" thickBot="1" x14ac:dyDescent="0.3">
      <c r="A21" s="48">
        <v>10</v>
      </c>
      <c r="B21" s="49" t="s">
        <v>181</v>
      </c>
      <c r="C21" s="50">
        <v>276.82799999999997</v>
      </c>
      <c r="D21" s="51">
        <v>23.94</v>
      </c>
      <c r="E21" s="51">
        <v>23.92</v>
      </c>
      <c r="F21" s="51">
        <v>2.3199999999999998</v>
      </c>
      <c r="G21" s="50">
        <v>120.36</v>
      </c>
      <c r="H21" s="52">
        <f t="shared" si="1"/>
        <v>1.0960735171261486</v>
      </c>
      <c r="I21" s="50">
        <v>276.82800000000009</v>
      </c>
      <c r="J21" s="51">
        <v>2.2999999999999998</v>
      </c>
      <c r="K21" s="53">
        <f t="shared" si="4"/>
        <v>9.6073517126148686E-2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7" t="s">
        <v>67</v>
      </c>
      <c r="Q21" s="57"/>
      <c r="R21" s="58" t="s">
        <v>182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127</v>
      </c>
      <c r="C28" s="36">
        <v>3515.9256000000037</v>
      </c>
      <c r="D28" s="37">
        <v>159.24</v>
      </c>
      <c r="E28" s="37">
        <v>165.4</v>
      </c>
      <c r="F28" s="37">
        <v>2.08</v>
      </c>
      <c r="G28" s="36">
        <v>426.69</v>
      </c>
      <c r="H28" s="68">
        <f t="shared" ref="H28:H37" si="5">(E28+F28)/D28</f>
        <v>1.0517457925144436</v>
      </c>
      <c r="I28" s="36">
        <v>3515.9256000000037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8.2400000000000091</v>
      </c>
      <c r="N28" s="41">
        <f t="shared" ref="N28:N37" si="9">M28/D28</f>
        <v>5.174579251444366E-2</v>
      </c>
      <c r="O28" s="43" t="s">
        <v>83</v>
      </c>
      <c r="P28" s="69" t="s">
        <v>235</v>
      </c>
      <c r="Q28" s="44"/>
      <c r="R28" s="45" t="s">
        <v>128</v>
      </c>
    </row>
    <row r="29" spans="1:18" s="67" customFormat="1" ht="24.95" customHeight="1" x14ac:dyDescent="0.25">
      <c r="A29" s="47">
        <v>2</v>
      </c>
      <c r="B29" s="35" t="s">
        <v>94</v>
      </c>
      <c r="C29" s="36">
        <v>3053.1311999999953</v>
      </c>
      <c r="D29" s="37">
        <v>150.54</v>
      </c>
      <c r="E29" s="37">
        <v>151.47999999999999</v>
      </c>
      <c r="F29" s="37">
        <v>4.0999999999999996</v>
      </c>
      <c r="G29" s="36">
        <v>605.78</v>
      </c>
      <c r="H29" s="68">
        <f t="shared" si="5"/>
        <v>1.0334794738939816</v>
      </c>
      <c r="I29" s="36">
        <v>3053.1311999999953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5.039999999999992</v>
      </c>
      <c r="N29" s="41">
        <f t="shared" si="9"/>
        <v>3.3479473893981614E-2</v>
      </c>
      <c r="O29" s="43" t="s">
        <v>83</v>
      </c>
      <c r="P29" s="44" t="s">
        <v>60</v>
      </c>
      <c r="Q29" s="44" t="s">
        <v>87</v>
      </c>
      <c r="R29" s="45" t="s">
        <v>95</v>
      </c>
    </row>
    <row r="30" spans="1:18" s="67" customFormat="1" ht="24.95" customHeight="1" x14ac:dyDescent="0.25">
      <c r="A30" s="47">
        <v>3</v>
      </c>
      <c r="B30" s="35" t="s">
        <v>132</v>
      </c>
      <c r="C30" s="36">
        <v>2490.8400000000006</v>
      </c>
      <c r="D30" s="37">
        <v>37.200000000000003</v>
      </c>
      <c r="E30" s="37">
        <v>39.96</v>
      </c>
      <c r="F30" s="37">
        <v>1.2</v>
      </c>
      <c r="G30" s="36">
        <v>629</v>
      </c>
      <c r="H30" s="68">
        <f t="shared" si="5"/>
        <v>1.1064516129032258</v>
      </c>
      <c r="I30" s="36">
        <v>2490.8400000000006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3.9600000000000009</v>
      </c>
      <c r="N30" s="41">
        <f t="shared" si="9"/>
        <v>0.10645161290322581</v>
      </c>
      <c r="O30" s="43" t="s">
        <v>83</v>
      </c>
      <c r="P30" s="69" t="s">
        <v>235</v>
      </c>
      <c r="Q30" s="44"/>
      <c r="R30" s="45" t="s">
        <v>70</v>
      </c>
    </row>
    <row r="31" spans="1:18" s="67" customFormat="1" ht="24.95" customHeight="1" x14ac:dyDescent="0.25">
      <c r="A31" s="34">
        <v>4</v>
      </c>
      <c r="B31" s="35" t="s">
        <v>162</v>
      </c>
      <c r="C31" s="36">
        <v>2043.9487999999997</v>
      </c>
      <c r="D31" s="37">
        <v>240.64</v>
      </c>
      <c r="E31" s="37">
        <v>236.32</v>
      </c>
      <c r="F31" s="37">
        <v>23.2</v>
      </c>
      <c r="G31" s="36">
        <v>108.26</v>
      </c>
      <c r="H31" s="68">
        <f t="shared" si="5"/>
        <v>1.0784574468085106</v>
      </c>
      <c r="I31" s="36">
        <v>2043.9487999999997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18.879999999999995</v>
      </c>
      <c r="N31" s="41">
        <f t="shared" si="9"/>
        <v>7.845744680851062E-2</v>
      </c>
      <c r="O31" s="43" t="s">
        <v>83</v>
      </c>
      <c r="P31" s="44" t="s">
        <v>60</v>
      </c>
      <c r="Q31" s="44" t="s">
        <v>87</v>
      </c>
      <c r="R31" s="45" t="s">
        <v>163</v>
      </c>
    </row>
    <row r="32" spans="1:18" s="67" customFormat="1" ht="24.95" customHeight="1" x14ac:dyDescent="0.25">
      <c r="A32" s="47">
        <v>5</v>
      </c>
      <c r="B32" s="35" t="s">
        <v>213</v>
      </c>
      <c r="C32" s="36">
        <v>1706.5374999999999</v>
      </c>
      <c r="D32" s="37">
        <v>6.55</v>
      </c>
      <c r="E32" s="37">
        <v>6.6</v>
      </c>
      <c r="F32" s="37">
        <v>1.2</v>
      </c>
      <c r="G32" s="36">
        <v>1365.23</v>
      </c>
      <c r="H32" s="68">
        <f t="shared" si="5"/>
        <v>1.1908396946564885</v>
      </c>
      <c r="I32" s="36">
        <v>1706.5374999999999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1.25</v>
      </c>
      <c r="N32" s="41">
        <f t="shared" si="9"/>
        <v>0.19083969465648856</v>
      </c>
      <c r="O32" s="43" t="s">
        <v>83</v>
      </c>
      <c r="P32" s="69" t="s">
        <v>235</v>
      </c>
      <c r="Q32" s="44"/>
      <c r="R32" s="45" t="s">
        <v>214</v>
      </c>
    </row>
    <row r="33" spans="1:18" s="67" customFormat="1" ht="24.95" customHeight="1" x14ac:dyDescent="0.25">
      <c r="A33" s="34">
        <v>6</v>
      </c>
      <c r="B33" s="35" t="s">
        <v>82</v>
      </c>
      <c r="C33" s="36">
        <v>1379.9447999999936</v>
      </c>
      <c r="D33" s="37">
        <v>481.13</v>
      </c>
      <c r="E33" s="37">
        <v>478.71</v>
      </c>
      <c r="F33" s="37">
        <v>11.78</v>
      </c>
      <c r="G33" s="36">
        <v>147.43</v>
      </c>
      <c r="H33" s="68">
        <f t="shared" si="5"/>
        <v>1.0194542015671439</v>
      </c>
      <c r="I33" s="36">
        <v>1379.9447999999936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9.3599999999999568</v>
      </c>
      <c r="N33" s="41">
        <f t="shared" si="9"/>
        <v>1.9454201567143926E-2</v>
      </c>
      <c r="O33" s="43" t="s">
        <v>83</v>
      </c>
      <c r="P33" s="69" t="s">
        <v>84</v>
      </c>
      <c r="Q33" s="44" t="s">
        <v>85</v>
      </c>
      <c r="R33" s="45" t="s">
        <v>58</v>
      </c>
    </row>
    <row r="34" spans="1:18" s="67" customFormat="1" ht="24.95" customHeight="1" x14ac:dyDescent="0.25">
      <c r="A34" s="47">
        <v>7</v>
      </c>
      <c r="B34" s="35" t="s">
        <v>89</v>
      </c>
      <c r="C34" s="36">
        <v>1172.5188000000021</v>
      </c>
      <c r="D34" s="37">
        <v>45.22</v>
      </c>
      <c r="E34" s="37">
        <v>45.84</v>
      </c>
      <c r="F34" s="37">
        <v>1.1499999999999999</v>
      </c>
      <c r="G34" s="36">
        <v>662.44</v>
      </c>
      <c r="H34" s="68">
        <f t="shared" si="5"/>
        <v>1.0391419725785052</v>
      </c>
      <c r="I34" s="36">
        <v>1172.5188000000021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1.7700000000000031</v>
      </c>
      <c r="N34" s="41">
        <f t="shared" si="9"/>
        <v>3.9141972578505158E-2</v>
      </c>
      <c r="O34" s="43" t="s">
        <v>83</v>
      </c>
      <c r="P34" s="69" t="s">
        <v>235</v>
      </c>
      <c r="Q34" s="44"/>
      <c r="R34" s="45" t="s">
        <v>58</v>
      </c>
    </row>
    <row r="35" spans="1:18" s="67" customFormat="1" ht="24.95" customHeight="1" x14ac:dyDescent="0.25">
      <c r="A35" s="34">
        <v>8</v>
      </c>
      <c r="B35" s="35" t="s">
        <v>150</v>
      </c>
      <c r="C35" s="36">
        <v>1139.6784000000002</v>
      </c>
      <c r="D35" s="37">
        <v>246.08</v>
      </c>
      <c r="E35" s="37">
        <v>248.84</v>
      </c>
      <c r="F35" s="37">
        <v>1.52</v>
      </c>
      <c r="G35" s="36">
        <v>266.27999999999997</v>
      </c>
      <c r="H35" s="68">
        <f t="shared" si="5"/>
        <v>1.0173927178153446</v>
      </c>
      <c r="I35" s="36">
        <v>1139.6784000000002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4.2800000000000011</v>
      </c>
      <c r="N35" s="41">
        <f t="shared" si="9"/>
        <v>1.7392717815344606E-2</v>
      </c>
      <c r="O35" s="43" t="s">
        <v>83</v>
      </c>
      <c r="P35" s="69" t="s">
        <v>235</v>
      </c>
      <c r="Q35" s="44"/>
      <c r="R35" s="45" t="s">
        <v>151</v>
      </c>
    </row>
    <row r="36" spans="1:18" s="67" customFormat="1" ht="24.95" customHeight="1" x14ac:dyDescent="0.25">
      <c r="A36" s="47">
        <v>9</v>
      </c>
      <c r="B36" s="35" t="s">
        <v>124</v>
      </c>
      <c r="C36" s="36">
        <v>1135.8476000000005</v>
      </c>
      <c r="D36" s="37">
        <v>35.93</v>
      </c>
      <c r="E36" s="37">
        <v>35.770000000000003</v>
      </c>
      <c r="F36" s="37">
        <v>1.8</v>
      </c>
      <c r="G36" s="36">
        <v>692.59</v>
      </c>
      <c r="H36" s="68">
        <f t="shared" si="5"/>
        <v>1.0456443083774005</v>
      </c>
      <c r="I36" s="36">
        <v>1135.8476000000005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1.6400000000000006</v>
      </c>
      <c r="N36" s="41">
        <f t="shared" si="9"/>
        <v>4.5644308377400515E-2</v>
      </c>
      <c r="O36" s="43" t="s">
        <v>97</v>
      </c>
      <c r="P36" s="69" t="s">
        <v>235</v>
      </c>
      <c r="Q36" s="44"/>
      <c r="R36" s="45" t="s">
        <v>121</v>
      </c>
    </row>
    <row r="37" spans="1:18" s="67" customFormat="1" ht="24.95" customHeight="1" thickBot="1" x14ac:dyDescent="0.3">
      <c r="A37" s="48">
        <v>10</v>
      </c>
      <c r="B37" s="49" t="s">
        <v>185</v>
      </c>
      <c r="C37" s="50">
        <v>1045.8630000000016</v>
      </c>
      <c r="D37" s="51">
        <v>18.329999999999998</v>
      </c>
      <c r="E37" s="51">
        <v>18.93</v>
      </c>
      <c r="F37" s="51">
        <v>1.35</v>
      </c>
      <c r="G37" s="50">
        <v>536.34</v>
      </c>
      <c r="H37" s="70">
        <f t="shared" si="5"/>
        <v>1.1063829787234045</v>
      </c>
      <c r="I37" s="50">
        <v>1045.8630000000016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1.9500000000000028</v>
      </c>
      <c r="N37" s="55">
        <f t="shared" si="9"/>
        <v>0.10638297872340442</v>
      </c>
      <c r="O37" s="57" t="s">
        <v>97</v>
      </c>
      <c r="P37" s="71" t="s">
        <v>235</v>
      </c>
      <c r="Q37" s="72"/>
      <c r="R37" s="58" t="s">
        <v>93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109</v>
      </c>
      <c r="C44" s="36">
        <v>330.14400000000001</v>
      </c>
      <c r="D44" s="78">
        <f t="shared" ref="D44:D53" si="10">C44/$L$5</f>
        <v>0.13816119693502971</v>
      </c>
      <c r="E44" s="79"/>
    </row>
    <row r="45" spans="1:18" s="80" customFormat="1" ht="24.95" customHeight="1" x14ac:dyDescent="0.25">
      <c r="A45" s="81">
        <v>2</v>
      </c>
      <c r="B45" s="35" t="s">
        <v>110</v>
      </c>
      <c r="C45" s="36">
        <v>296.91199999999998</v>
      </c>
      <c r="D45" s="78">
        <f t="shared" si="10"/>
        <v>0.12425401432215499</v>
      </c>
      <c r="E45" s="79"/>
    </row>
    <row r="46" spans="1:18" s="80" customFormat="1" ht="24.95" customHeight="1" x14ac:dyDescent="0.25">
      <c r="A46" s="81">
        <v>3</v>
      </c>
      <c r="B46" s="35" t="s">
        <v>147</v>
      </c>
      <c r="C46" s="36">
        <v>293.00079999999997</v>
      </c>
      <c r="D46" s="78">
        <f t="shared" si="10"/>
        <v>0.12261722530447698</v>
      </c>
      <c r="E46" s="79"/>
    </row>
    <row r="47" spans="1:18" s="80" customFormat="1" ht="24.95" customHeight="1" x14ac:dyDescent="0.25">
      <c r="A47" s="77">
        <v>4</v>
      </c>
      <c r="B47" s="35" t="s">
        <v>125</v>
      </c>
      <c r="C47" s="36">
        <v>272</v>
      </c>
      <c r="D47" s="78">
        <f t="shared" si="10"/>
        <v>0.1138286492146702</v>
      </c>
      <c r="E47" s="79"/>
    </row>
    <row r="48" spans="1:18" s="80" customFormat="1" ht="24.95" customHeight="1" x14ac:dyDescent="0.25">
      <c r="A48" s="81">
        <v>5</v>
      </c>
      <c r="B48" s="35" t="s">
        <v>105</v>
      </c>
      <c r="C48" s="36">
        <v>249.9</v>
      </c>
      <c r="D48" s="78">
        <f t="shared" si="10"/>
        <v>0.10458007146597825</v>
      </c>
      <c r="E48" s="79"/>
    </row>
    <row r="49" spans="1:5" s="80" customFormat="1" ht="24.95" customHeight="1" x14ac:dyDescent="0.25">
      <c r="A49" s="77">
        <v>6</v>
      </c>
      <c r="B49" s="35" t="s">
        <v>104</v>
      </c>
      <c r="C49" s="36">
        <v>228.14999999999998</v>
      </c>
      <c r="D49" s="78">
        <f t="shared" si="10"/>
        <v>9.5477964405613985E-2</v>
      </c>
      <c r="E49" s="79"/>
    </row>
    <row r="50" spans="1:5" s="80" customFormat="1" ht="24.95" customHeight="1" x14ac:dyDescent="0.25">
      <c r="A50" s="81">
        <v>7</v>
      </c>
      <c r="B50" s="35" t="s">
        <v>73</v>
      </c>
      <c r="C50" s="36">
        <v>200.4949</v>
      </c>
      <c r="D50" s="78">
        <f t="shared" si="10"/>
        <v>8.3904645740552869E-2</v>
      </c>
      <c r="E50" s="79"/>
    </row>
    <row r="51" spans="1:5" s="80" customFormat="1" ht="24.95" customHeight="1" x14ac:dyDescent="0.25">
      <c r="A51" s="77">
        <v>8</v>
      </c>
      <c r="B51" s="35" t="s">
        <v>56</v>
      </c>
      <c r="C51" s="36">
        <v>191.76</v>
      </c>
      <c r="D51" s="78">
        <f t="shared" si="10"/>
        <v>8.0249197696342492E-2</v>
      </c>
      <c r="E51" s="79"/>
    </row>
    <row r="52" spans="1:5" s="80" customFormat="1" ht="24.95" customHeight="1" x14ac:dyDescent="0.25">
      <c r="A52" s="81">
        <v>9</v>
      </c>
      <c r="B52" s="35" t="s">
        <v>168</v>
      </c>
      <c r="C52" s="36">
        <v>146.03849999999997</v>
      </c>
      <c r="D52" s="78">
        <f t="shared" si="10"/>
        <v>6.1115313192414013E-2</v>
      </c>
      <c r="E52" s="79"/>
    </row>
    <row r="53" spans="1:5" s="80" customFormat="1" ht="24.95" customHeight="1" thickBot="1" x14ac:dyDescent="0.3">
      <c r="A53" s="82">
        <v>10</v>
      </c>
      <c r="B53" s="49" t="s">
        <v>108</v>
      </c>
      <c r="C53" s="50">
        <v>72.646499999999989</v>
      </c>
      <c r="D53" s="83">
        <f t="shared" si="10"/>
        <v>3.0401665313138006E-2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917" priority="34" operator="containsText" text="中華">
      <formula>NOT(ISERROR(SEARCH("中華",A12)))</formula>
    </cfRule>
    <cfRule type="containsText" dxfId="916" priority="33" operator="containsText" text="湯凍">
      <formula>NOT(ISERROR(SEARCH("湯凍",A12)))</formula>
    </cfRule>
    <cfRule type="containsText" dxfId="915" priority="32" operator="containsText" text=")川燙小青花菜">
      <formula>NOT(ISERROR(SEARCH(")川燙小青花菜",A12)))</formula>
    </cfRule>
    <cfRule type="containsText" dxfId="914" priority="31" operator="containsText" text="青蔥">
      <formula>NOT(ISERROR(SEARCH("青蔥",A12)))</formula>
    </cfRule>
    <cfRule type="containsText" dxfId="913" priority="30" operator="containsText" text="白醬">
      <formula>NOT(ISERROR(SEARCH("白醬",A12)))</formula>
    </cfRule>
    <cfRule type="containsText" dxfId="912" priority="29" operator="containsText" text="024">
      <formula>NOT(ISERROR(SEARCH("024",A12)))</formula>
    </cfRule>
    <cfRule type="containsText" dxfId="911" priority="28" operator="containsText" text="煮白細麵生(方#12)">
      <formula>NOT(ISERROR(SEARCH("煮白細麵生(方#12)",A12)))</formula>
    </cfRule>
    <cfRule type="containsText" dxfId="910" priority="27" operator="containsText" text="綠豆芽">
      <formula>NOT(ISERROR(SEARCH("綠豆芽",A12)))</formula>
    </cfRule>
  </conditionalFormatting>
  <conditionalFormatting sqref="A28:A37">
    <cfRule type="containsText" dxfId="909" priority="5" operator="containsText" text="綠豆芽">
      <formula>NOT(ISERROR(SEARCH("綠豆芽",A28)))</formula>
    </cfRule>
    <cfRule type="containsText" dxfId="908" priority="6" operator="containsText" text="煮白細麵生(方#12)">
      <formula>NOT(ISERROR(SEARCH("煮白細麵生(方#12)",A28)))</formula>
    </cfRule>
    <cfRule type="containsText" dxfId="907" priority="7" operator="containsText" text="024">
      <formula>NOT(ISERROR(SEARCH("024",A28)))</formula>
    </cfRule>
    <cfRule type="containsText" dxfId="906" priority="8" operator="containsText" text="白醬">
      <formula>NOT(ISERROR(SEARCH("白醬",A28)))</formula>
    </cfRule>
    <cfRule type="containsText" dxfId="905" priority="9" operator="containsText" text="青蔥">
      <formula>NOT(ISERROR(SEARCH("青蔥",A28)))</formula>
    </cfRule>
    <cfRule type="containsText" dxfId="904" priority="10" operator="containsText" text=")川燙小青花菜">
      <formula>NOT(ISERROR(SEARCH(")川燙小青花菜",A28)))</formula>
    </cfRule>
    <cfRule type="containsText" dxfId="903" priority="11" operator="containsText" text="湯凍">
      <formula>NOT(ISERROR(SEARCH("湯凍",A28)))</formula>
    </cfRule>
    <cfRule type="containsText" dxfId="902" priority="12" operator="containsText" text="中華">
      <formula>NOT(ISERROR(SEARCH("中華",A28)))</formula>
    </cfRule>
  </conditionalFormatting>
  <conditionalFormatting sqref="A44:A53">
    <cfRule type="containsText" dxfId="901" priority="17" operator="containsText" text="綠豆芽">
      <formula>NOT(ISERROR(SEARCH("綠豆芽",A44)))</formula>
    </cfRule>
    <cfRule type="containsText" dxfId="900" priority="18" operator="containsText" text="煮白細麵生(方#12)">
      <formula>NOT(ISERROR(SEARCH("煮白細麵生(方#12)",A44)))</formula>
    </cfRule>
    <cfRule type="containsText" dxfId="899" priority="19" operator="containsText" text="024">
      <formula>NOT(ISERROR(SEARCH("024",A44)))</formula>
    </cfRule>
    <cfRule type="containsText" dxfId="898" priority="20" operator="containsText" text="白醬">
      <formula>NOT(ISERROR(SEARCH("白醬",A44)))</formula>
    </cfRule>
    <cfRule type="containsText" dxfId="897" priority="21" operator="containsText" text="青蔥">
      <formula>NOT(ISERROR(SEARCH("青蔥",A44)))</formula>
    </cfRule>
    <cfRule type="containsText" dxfId="896" priority="22" operator="containsText" text=")川燙小青花菜">
      <formula>NOT(ISERROR(SEARCH(")川燙小青花菜",A44)))</formula>
    </cfRule>
    <cfRule type="containsText" dxfId="895" priority="23" operator="containsText" text="湯凍">
      <formula>NOT(ISERROR(SEARCH("湯凍",A44)))</formula>
    </cfRule>
    <cfRule type="containsText" dxfId="894" priority="24" operator="containsText" text="中華">
      <formula>NOT(ISERROR(SEARCH("中華",A44)))</formula>
    </cfRule>
  </conditionalFormatting>
  <conditionalFormatting sqref="D44:D53">
    <cfRule type="cellIs" dxfId="893" priority="16" operator="greaterThan">
      <formula>0.146</formula>
    </cfRule>
  </conditionalFormatting>
  <conditionalFormatting sqref="E5">
    <cfRule type="cellIs" dxfId="892" priority="25" operator="greaterThan">
      <formula>0.072</formula>
    </cfRule>
    <cfRule type="cellIs" dxfId="891" priority="26" operator="greaterThan">
      <formula>7.2</formula>
    </cfRule>
    <cfRule type="cellIs" dxfId="890" priority="14" operator="greaterThan">
      <formula>0.0025</formula>
    </cfRule>
  </conditionalFormatting>
  <conditionalFormatting sqref="G5">
    <cfRule type="cellIs" dxfId="889" priority="3" operator="greaterThan">
      <formula>7.2</formula>
    </cfRule>
    <cfRule type="cellIs" dxfId="888" priority="2" operator="greaterThan">
      <formula>0.072</formula>
    </cfRule>
    <cfRule type="cellIs" dxfId="887" priority="1" operator="greaterThan">
      <formula>0.0025</formula>
    </cfRule>
  </conditionalFormatting>
  <conditionalFormatting sqref="H12:H22">
    <cfRule type="cellIs" dxfId="886" priority="15" operator="greaterThan">
      <formula>1.1</formula>
    </cfRule>
  </conditionalFormatting>
  <conditionalFormatting sqref="H28:H37">
    <cfRule type="cellIs" dxfId="885" priority="4" operator="greaterThan">
      <formula>1.1</formula>
    </cfRule>
  </conditionalFormatting>
  <conditionalFormatting sqref="I5">
    <cfRule type="cellIs" dxfId="88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9890-CF7F-4A2E-ADAE-55496A21707E}">
  <sheetPr>
    <tabColor rgb="FFFF0000"/>
    <pageSetUpPr fitToPage="1"/>
  </sheetPr>
  <dimension ref="A1:R56"/>
  <sheetViews>
    <sheetView zoomScale="70" zoomScaleNormal="70" workbookViewId="0">
      <selection activeCell="G28" sqref="G28:G37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45925</v>
      </c>
      <c r="B3" s="149"/>
      <c r="C3" s="150">
        <v>6557727.0999999996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15819.225099999998</v>
      </c>
      <c r="E5" s="24">
        <f>D5/C3</f>
        <v>2.4123030523792305E-3</v>
      </c>
      <c r="F5" s="23">
        <v>46633.562299999983</v>
      </c>
      <c r="G5" s="25">
        <f>F5/C3</f>
        <v>7.1112386332758473E-3</v>
      </c>
      <c r="H5" s="26">
        <f>SUM(C12:C21)</f>
        <v>4625.5322000000006</v>
      </c>
      <c r="I5" s="27">
        <f>H5/D5</f>
        <v>0.29239941721292034</v>
      </c>
      <c r="J5" s="26">
        <f>SUM(C28:C37)</f>
        <v>16899.603900000006</v>
      </c>
      <c r="K5" s="28">
        <f>J5/F5</f>
        <v>0.36239144226817971</v>
      </c>
      <c r="L5" s="29">
        <v>4091.5539000000008</v>
      </c>
      <c r="M5" s="30">
        <f>L5/D5</f>
        <v>0.25864439466127842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82</v>
      </c>
      <c r="C12" s="36">
        <v>1480.1971999999998</v>
      </c>
      <c r="D12" s="37">
        <v>716.94</v>
      </c>
      <c r="E12" s="37">
        <v>726.98</v>
      </c>
      <c r="F12" s="37">
        <v>0</v>
      </c>
      <c r="G12" s="36">
        <v>147.43</v>
      </c>
      <c r="H12" s="38">
        <f>(E12+F12)/D12</f>
        <v>1.0140039612798839</v>
      </c>
      <c r="I12" s="36">
        <v>1480.1971999999946</v>
      </c>
      <c r="J12" s="37">
        <v>10.039999999999999</v>
      </c>
      <c r="K12" s="39">
        <f>J12/D12</f>
        <v>1.4003961279883948E-2</v>
      </c>
      <c r="L12" s="40">
        <f>((E12+F12)-D12)-J12</f>
        <v>-3.5527136788005009E-14</v>
      </c>
      <c r="M12" s="41">
        <f>L12/D12</f>
        <v>-4.9553849398840914E-17</v>
      </c>
      <c r="N12" s="42">
        <f t="shared" ref="N12:N21" si="0">L12*G12</f>
        <v>-5.2377657766555792E-12</v>
      </c>
      <c r="O12" s="43" t="s">
        <v>57</v>
      </c>
      <c r="P12" s="69" t="s">
        <v>84</v>
      </c>
      <c r="Q12" s="44" t="s">
        <v>85</v>
      </c>
      <c r="R12" s="45" t="s">
        <v>58</v>
      </c>
    </row>
    <row r="13" spans="1:18" s="46" customFormat="1" ht="24.95" customHeight="1" x14ac:dyDescent="0.25">
      <c r="A13" s="47">
        <v>2</v>
      </c>
      <c r="B13" s="35" t="s">
        <v>59</v>
      </c>
      <c r="C13" s="36">
        <v>849.75</v>
      </c>
      <c r="D13" s="37">
        <v>3759</v>
      </c>
      <c r="E13" s="37">
        <v>3814</v>
      </c>
      <c r="F13" s="37">
        <v>0</v>
      </c>
      <c r="G13" s="36">
        <v>15.45</v>
      </c>
      <c r="H13" s="38">
        <f t="shared" ref="H13:H21" si="1">(E13+F13)/D13</f>
        <v>1.0146315509444002</v>
      </c>
      <c r="I13" s="36">
        <v>849.75</v>
      </c>
      <c r="J13" s="37">
        <v>55</v>
      </c>
      <c r="K13" s="39">
        <f>J13/D13</f>
        <v>1.4631550944400107E-2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60</v>
      </c>
      <c r="Q13" s="44" t="s">
        <v>61</v>
      </c>
      <c r="R13" s="45" t="s">
        <v>62</v>
      </c>
    </row>
    <row r="14" spans="1:18" s="46" customFormat="1" ht="24.95" customHeight="1" x14ac:dyDescent="0.25">
      <c r="A14" s="47">
        <v>3</v>
      </c>
      <c r="B14" s="35" t="s">
        <v>147</v>
      </c>
      <c r="C14" s="36">
        <v>386.53199999999998</v>
      </c>
      <c r="D14" s="37">
        <v>182.38</v>
      </c>
      <c r="E14" s="37">
        <v>186.43</v>
      </c>
      <c r="F14" s="37">
        <v>0</v>
      </c>
      <c r="G14" s="36">
        <v>95.44</v>
      </c>
      <c r="H14" s="38">
        <f>(E14+F14)/D14</f>
        <v>1.0222063822787586</v>
      </c>
      <c r="I14" s="36">
        <v>386.53200000000106</v>
      </c>
      <c r="J14" s="37">
        <v>4.05</v>
      </c>
      <c r="K14" s="39">
        <f t="shared" ref="K14:K21" si="4">J14/D14</f>
        <v>2.2206382278758634E-2</v>
      </c>
      <c r="L14" s="40">
        <f t="shared" si="2"/>
        <v>1.1546319456101628E-14</v>
      </c>
      <c r="M14" s="41">
        <f t="shared" si="3"/>
        <v>6.3309131791323769E-17</v>
      </c>
      <c r="N14" s="42">
        <f t="shared" si="0"/>
        <v>1.1019807288903394E-12</v>
      </c>
      <c r="O14" s="43" t="s">
        <v>57</v>
      </c>
      <c r="P14" s="69" t="s">
        <v>235</v>
      </c>
      <c r="Q14" s="44"/>
      <c r="R14" s="45" t="s">
        <v>58</v>
      </c>
    </row>
    <row r="15" spans="1:18" s="46" customFormat="1" ht="24.95" customHeight="1" x14ac:dyDescent="0.25">
      <c r="A15" s="34">
        <v>4</v>
      </c>
      <c r="B15" s="35" t="s">
        <v>76</v>
      </c>
      <c r="C15" s="36">
        <v>276.75839999999999</v>
      </c>
      <c r="D15" s="37">
        <v>51.66</v>
      </c>
      <c r="E15" s="37">
        <v>54.2</v>
      </c>
      <c r="F15" s="37">
        <v>0</v>
      </c>
      <c r="G15" s="36">
        <v>108.96</v>
      </c>
      <c r="H15" s="38">
        <f>(E15+F15)/D15</f>
        <v>1.0491676345334884</v>
      </c>
      <c r="I15" s="36">
        <v>276.75840000000068</v>
      </c>
      <c r="J15" s="37">
        <v>2.54</v>
      </c>
      <c r="K15" s="39">
        <f t="shared" si="4"/>
        <v>4.9167634533488193E-2</v>
      </c>
      <c r="L15" s="40">
        <f t="shared" si="2"/>
        <v>6.2172489379008766E-15</v>
      </c>
      <c r="M15" s="41">
        <f t="shared" si="3"/>
        <v>1.2034937936316061E-16</v>
      </c>
      <c r="N15" s="42">
        <f t="shared" si="0"/>
        <v>6.7743144427367944E-13</v>
      </c>
      <c r="O15" s="43" t="s">
        <v>57</v>
      </c>
      <c r="P15" s="69" t="s">
        <v>235</v>
      </c>
      <c r="Q15" s="44"/>
      <c r="R15" s="45" t="s">
        <v>77</v>
      </c>
    </row>
    <row r="16" spans="1:18" s="46" customFormat="1" ht="24.95" customHeight="1" x14ac:dyDescent="0.25">
      <c r="A16" s="47">
        <v>5</v>
      </c>
      <c r="B16" s="35" t="s">
        <v>177</v>
      </c>
      <c r="C16" s="36">
        <v>273.82299999999998</v>
      </c>
      <c r="D16" s="37">
        <v>65.209999999999994</v>
      </c>
      <c r="E16" s="37">
        <v>66.760000000000005</v>
      </c>
      <c r="F16" s="37">
        <v>0</v>
      </c>
      <c r="G16" s="36">
        <v>176.66</v>
      </c>
      <c r="H16" s="38">
        <f t="shared" si="1"/>
        <v>1.0237693605275267</v>
      </c>
      <c r="I16" s="36">
        <v>273.82300000000203</v>
      </c>
      <c r="J16" s="37">
        <v>1.55</v>
      </c>
      <c r="K16" s="39">
        <f t="shared" si="4"/>
        <v>2.3769360527526456E-2</v>
      </c>
      <c r="L16" s="40">
        <f t="shared" si="2"/>
        <v>1.1324274851176597E-14</v>
      </c>
      <c r="M16" s="41">
        <f t="shared" si="3"/>
        <v>1.7365856235510808E-16</v>
      </c>
      <c r="N16" s="42">
        <f t="shared" si="0"/>
        <v>2.0005463952088575E-12</v>
      </c>
      <c r="O16" s="43" t="s">
        <v>57</v>
      </c>
      <c r="P16" s="69" t="s">
        <v>235</v>
      </c>
      <c r="Q16" s="44"/>
      <c r="R16" s="45" t="s">
        <v>178</v>
      </c>
    </row>
    <row r="17" spans="1:18" s="46" customFormat="1" ht="24.95" customHeight="1" x14ac:dyDescent="0.25">
      <c r="A17" s="34">
        <v>6</v>
      </c>
      <c r="B17" s="35" t="s">
        <v>103</v>
      </c>
      <c r="C17" s="36">
        <v>273.30600000000004</v>
      </c>
      <c r="D17" s="37">
        <v>29.9</v>
      </c>
      <c r="E17" s="37">
        <v>31</v>
      </c>
      <c r="F17" s="37">
        <v>0</v>
      </c>
      <c r="G17" s="36">
        <v>248.46</v>
      </c>
      <c r="H17" s="38">
        <f t="shared" si="1"/>
        <v>1.0367892976588629</v>
      </c>
      <c r="I17" s="36">
        <v>273.30600000000038</v>
      </c>
      <c r="J17" s="37">
        <v>1.1000000000000001</v>
      </c>
      <c r="K17" s="39">
        <f t="shared" si="4"/>
        <v>3.678929765886288E-2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69" t="s">
        <v>235</v>
      </c>
      <c r="Q17" s="44"/>
      <c r="R17" s="45" t="s">
        <v>58</v>
      </c>
    </row>
    <row r="18" spans="1:18" s="46" customFormat="1" ht="24.95" customHeight="1" x14ac:dyDescent="0.25">
      <c r="A18" s="47">
        <v>7</v>
      </c>
      <c r="B18" s="35" t="s">
        <v>109</v>
      </c>
      <c r="C18" s="36">
        <v>272.22399999999999</v>
      </c>
      <c r="D18" s="37">
        <v>180.11</v>
      </c>
      <c r="E18" s="37">
        <v>181.99</v>
      </c>
      <c r="F18" s="37">
        <v>0</v>
      </c>
      <c r="G18" s="36">
        <v>144.80000000000001</v>
      </c>
      <c r="H18" s="38">
        <f t="shared" si="1"/>
        <v>1.0104380656265615</v>
      </c>
      <c r="I18" s="36">
        <v>272.22399999999936</v>
      </c>
      <c r="J18" s="37">
        <v>1.88</v>
      </c>
      <c r="K18" s="39">
        <f t="shared" si="4"/>
        <v>1.0438065626561544E-2</v>
      </c>
      <c r="L18" s="40">
        <f>((E18+F18)-D18)-J18</f>
        <v>-4.4408920985006262E-15</v>
      </c>
      <c r="M18" s="41">
        <f t="shared" si="3"/>
        <v>-2.465655487480221E-17</v>
      </c>
      <c r="N18" s="42">
        <f t="shared" si="0"/>
        <v>-6.4304117586289067E-13</v>
      </c>
      <c r="O18" s="43" t="s">
        <v>57</v>
      </c>
      <c r="P18" s="69" t="s">
        <v>235</v>
      </c>
      <c r="Q18" s="44"/>
      <c r="R18" s="45" t="s">
        <v>58</v>
      </c>
    </row>
    <row r="19" spans="1:18" s="46" customFormat="1" ht="24.95" customHeight="1" x14ac:dyDescent="0.25">
      <c r="A19" s="34">
        <v>8</v>
      </c>
      <c r="B19" s="35" t="s">
        <v>209</v>
      </c>
      <c r="C19" s="36">
        <v>271.82979999999998</v>
      </c>
      <c r="D19" s="37">
        <v>25.63</v>
      </c>
      <c r="E19" s="37">
        <v>27.2</v>
      </c>
      <c r="F19" s="37">
        <v>0</v>
      </c>
      <c r="G19" s="36">
        <v>173.14</v>
      </c>
      <c r="H19" s="38">
        <f t="shared" si="1"/>
        <v>1.0612563402262973</v>
      </c>
      <c r="I19" s="36">
        <v>271.82980000000003</v>
      </c>
      <c r="J19" s="37">
        <v>1.57</v>
      </c>
      <c r="K19" s="39">
        <f t="shared" si="4"/>
        <v>6.1256340226297314E-2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69" t="s">
        <v>67</v>
      </c>
      <c r="Q19" s="44"/>
      <c r="R19" s="45" t="s">
        <v>210</v>
      </c>
    </row>
    <row r="20" spans="1:18" s="46" customFormat="1" ht="24.95" customHeight="1" x14ac:dyDescent="0.25">
      <c r="A20" s="47">
        <v>9</v>
      </c>
      <c r="B20" s="35" t="s">
        <v>69</v>
      </c>
      <c r="C20" s="36">
        <v>271.1463</v>
      </c>
      <c r="D20" s="37">
        <v>42.52</v>
      </c>
      <c r="E20" s="37">
        <v>44.55</v>
      </c>
      <c r="F20" s="37">
        <v>0</v>
      </c>
      <c r="G20" s="36">
        <v>153.19</v>
      </c>
      <c r="H20" s="38">
        <f t="shared" si="1"/>
        <v>1.047742238946378</v>
      </c>
      <c r="I20" s="36">
        <v>310.97569999999911</v>
      </c>
      <c r="J20" s="37">
        <v>1.77</v>
      </c>
      <c r="K20" s="39">
        <f t="shared" si="4"/>
        <v>4.1627469426152398E-2</v>
      </c>
      <c r="L20" s="40">
        <f t="shared" si="2"/>
        <v>0.25999999999999401</v>
      </c>
      <c r="M20" s="41">
        <f t="shared" si="3"/>
        <v>6.1147695202256351E-3</v>
      </c>
      <c r="N20" s="42">
        <f t="shared" si="0"/>
        <v>39.829399999999083</v>
      </c>
      <c r="O20" s="43" t="s">
        <v>57</v>
      </c>
      <c r="P20" s="69" t="s">
        <v>235</v>
      </c>
      <c r="Q20" s="44"/>
      <c r="R20" s="45" t="s">
        <v>70</v>
      </c>
    </row>
    <row r="21" spans="1:18" s="46" customFormat="1" ht="24.95" customHeight="1" thickBot="1" x14ac:dyDescent="0.3">
      <c r="A21" s="48">
        <v>10</v>
      </c>
      <c r="B21" s="49" t="s">
        <v>66</v>
      </c>
      <c r="C21" s="50">
        <v>269.96550000000002</v>
      </c>
      <c r="D21" s="51">
        <v>44.95</v>
      </c>
      <c r="E21" s="51">
        <v>44.3</v>
      </c>
      <c r="F21" s="51">
        <v>2.6</v>
      </c>
      <c r="G21" s="50">
        <v>183.65</v>
      </c>
      <c r="H21" s="52">
        <f t="shared" si="1"/>
        <v>1.0433815350389319</v>
      </c>
      <c r="I21" s="50">
        <v>358.11749999999921</v>
      </c>
      <c r="J21" s="51">
        <v>1.47</v>
      </c>
      <c r="K21" s="53">
        <f t="shared" si="4"/>
        <v>3.2703003337041153E-2</v>
      </c>
      <c r="L21" s="54">
        <f t="shared" si="2"/>
        <v>0.47999999999999576</v>
      </c>
      <c r="M21" s="55">
        <f t="shared" si="3"/>
        <v>1.0678531701890896E-2</v>
      </c>
      <c r="N21" s="56">
        <f t="shared" si="0"/>
        <v>88.151999999999219</v>
      </c>
      <c r="O21" s="57" t="s">
        <v>57</v>
      </c>
      <c r="P21" s="57" t="s">
        <v>235</v>
      </c>
      <c r="Q21" s="57"/>
      <c r="R21" s="58" t="s">
        <v>68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196</v>
      </c>
      <c r="C28" s="36">
        <v>3586.4644999999973</v>
      </c>
      <c r="D28" s="37">
        <v>63.59</v>
      </c>
      <c r="E28" s="37">
        <v>63.18</v>
      </c>
      <c r="F28" s="37">
        <v>11.2</v>
      </c>
      <c r="G28" s="36">
        <v>345.85</v>
      </c>
      <c r="H28" s="68">
        <f t="shared" ref="H28:H37" si="5">(E28+F28)/D28</f>
        <v>1.1696807674162604</v>
      </c>
      <c r="I28" s="36">
        <v>3731.7214999999974</v>
      </c>
      <c r="J28" s="37">
        <v>0.42</v>
      </c>
      <c r="K28" s="39">
        <f t="shared" ref="K28:K37" si="6">J28/D28</f>
        <v>6.6048120773706549E-3</v>
      </c>
      <c r="L28" s="42">
        <f t="shared" ref="L28:L37" si="7">J28*G28</f>
        <v>145.25700000000001</v>
      </c>
      <c r="M28" s="40">
        <f t="shared" ref="M28:M37" si="8">((E28+F28)-D28)-J28</f>
        <v>10.369999999999992</v>
      </c>
      <c r="N28" s="41">
        <f t="shared" ref="N28:N37" si="9">M28/D28</f>
        <v>0.16307595533888963</v>
      </c>
      <c r="O28" s="43" t="s">
        <v>83</v>
      </c>
      <c r="P28" s="69" t="s">
        <v>235</v>
      </c>
      <c r="Q28" s="44"/>
      <c r="R28" s="45" t="s">
        <v>197</v>
      </c>
    </row>
    <row r="29" spans="1:18" s="67" customFormat="1" ht="24.95" customHeight="1" x14ac:dyDescent="0.25">
      <c r="A29" s="47">
        <v>2</v>
      </c>
      <c r="B29" s="35" t="s">
        <v>143</v>
      </c>
      <c r="C29" s="36">
        <v>2413.8208000000063</v>
      </c>
      <c r="D29" s="37">
        <v>214.66</v>
      </c>
      <c r="E29" s="37">
        <v>213.58</v>
      </c>
      <c r="F29" s="37">
        <v>7</v>
      </c>
      <c r="G29" s="36">
        <v>407.74</v>
      </c>
      <c r="H29" s="68">
        <f t="shared" si="5"/>
        <v>1.027578496226591</v>
      </c>
      <c r="I29" s="36">
        <v>2413.8208000000063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5.9200000000000159</v>
      </c>
      <c r="N29" s="41">
        <f t="shared" si="9"/>
        <v>2.7578496226590962E-2</v>
      </c>
      <c r="O29" s="43" t="s">
        <v>83</v>
      </c>
      <c r="P29" s="44" t="s">
        <v>60</v>
      </c>
      <c r="Q29" s="44" t="s">
        <v>87</v>
      </c>
      <c r="R29" s="45" t="s">
        <v>144</v>
      </c>
    </row>
    <row r="30" spans="1:18" s="67" customFormat="1" ht="24.95" customHeight="1" x14ac:dyDescent="0.25">
      <c r="A30" s="47">
        <v>3</v>
      </c>
      <c r="B30" s="35" t="s">
        <v>110</v>
      </c>
      <c r="C30" s="36">
        <v>1981.8876000000012</v>
      </c>
      <c r="D30" s="37">
        <v>89.69</v>
      </c>
      <c r="E30" s="37">
        <v>89.78</v>
      </c>
      <c r="F30" s="37">
        <v>5.25</v>
      </c>
      <c r="G30" s="36">
        <v>371.14</v>
      </c>
      <c r="H30" s="68">
        <f t="shared" si="5"/>
        <v>1.0595384100791616</v>
      </c>
      <c r="I30" s="36">
        <v>1981.8876000000012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5.3400000000000034</v>
      </c>
      <c r="N30" s="41">
        <f t="shared" si="9"/>
        <v>5.9538410079161594E-2</v>
      </c>
      <c r="O30" s="43" t="s">
        <v>83</v>
      </c>
      <c r="P30" s="69" t="s">
        <v>235</v>
      </c>
      <c r="Q30" s="44"/>
      <c r="R30" s="45" t="s">
        <v>58</v>
      </c>
    </row>
    <row r="31" spans="1:18" s="67" customFormat="1" ht="24.95" customHeight="1" x14ac:dyDescent="0.25">
      <c r="A31" s="34">
        <v>4</v>
      </c>
      <c r="B31" s="35" t="s">
        <v>94</v>
      </c>
      <c r="C31" s="36">
        <v>1678.0106000000062</v>
      </c>
      <c r="D31" s="37">
        <v>175.53</v>
      </c>
      <c r="E31" s="37">
        <v>172.28</v>
      </c>
      <c r="F31" s="37">
        <v>6.02</v>
      </c>
      <c r="G31" s="36">
        <v>605.78</v>
      </c>
      <c r="H31" s="68">
        <f t="shared" si="5"/>
        <v>1.0157807782145503</v>
      </c>
      <c r="I31" s="36">
        <v>1678.0106000000062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2.7700000000000102</v>
      </c>
      <c r="N31" s="41">
        <f t="shared" si="9"/>
        <v>1.5780778214550279E-2</v>
      </c>
      <c r="O31" s="43" t="s">
        <v>83</v>
      </c>
      <c r="P31" s="44" t="s">
        <v>60</v>
      </c>
      <c r="Q31" s="44" t="s">
        <v>87</v>
      </c>
      <c r="R31" s="45" t="s">
        <v>95</v>
      </c>
    </row>
    <row r="32" spans="1:18" s="67" customFormat="1" ht="24.95" customHeight="1" x14ac:dyDescent="0.25">
      <c r="A32" s="47">
        <v>5</v>
      </c>
      <c r="B32" s="35" t="s">
        <v>124</v>
      </c>
      <c r="C32" s="36">
        <v>1378.2541000000015</v>
      </c>
      <c r="D32" s="37">
        <v>44.3</v>
      </c>
      <c r="E32" s="37">
        <v>44.49</v>
      </c>
      <c r="F32" s="37">
        <v>1.8</v>
      </c>
      <c r="G32" s="36">
        <v>692.59</v>
      </c>
      <c r="H32" s="68">
        <f t="shared" si="5"/>
        <v>1.044920993227991</v>
      </c>
      <c r="I32" s="36">
        <v>1378.2541000000015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1.990000000000002</v>
      </c>
      <c r="N32" s="41">
        <f t="shared" si="9"/>
        <v>4.4920993227991021E-2</v>
      </c>
      <c r="O32" s="43" t="s">
        <v>83</v>
      </c>
      <c r="P32" s="69" t="s">
        <v>235</v>
      </c>
      <c r="Q32" s="44"/>
      <c r="R32" s="45" t="s">
        <v>121</v>
      </c>
    </row>
    <row r="33" spans="1:18" s="67" customFormat="1" ht="24.95" customHeight="1" x14ac:dyDescent="0.25">
      <c r="A33" s="34">
        <v>6</v>
      </c>
      <c r="B33" s="35" t="s">
        <v>207</v>
      </c>
      <c r="C33" s="36">
        <v>1277.7084000000004</v>
      </c>
      <c r="D33" s="37">
        <v>210.72</v>
      </c>
      <c r="E33" s="37">
        <v>207.96</v>
      </c>
      <c r="F33" s="37">
        <v>15.6</v>
      </c>
      <c r="G33" s="36">
        <v>99.51</v>
      </c>
      <c r="H33" s="68">
        <f t="shared" si="5"/>
        <v>1.0609339407744875</v>
      </c>
      <c r="I33" s="36">
        <v>1277.7084000000004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12.840000000000003</v>
      </c>
      <c r="N33" s="41">
        <f t="shared" si="9"/>
        <v>6.0933940774487487E-2</v>
      </c>
      <c r="O33" s="43" t="s">
        <v>83</v>
      </c>
      <c r="P33" s="69" t="s">
        <v>235</v>
      </c>
      <c r="Q33" s="44"/>
      <c r="R33" s="45" t="s">
        <v>208</v>
      </c>
    </row>
    <row r="34" spans="1:18" s="67" customFormat="1" ht="24.95" customHeight="1" x14ac:dyDescent="0.25">
      <c r="A34" s="47">
        <v>7</v>
      </c>
      <c r="B34" s="35" t="s">
        <v>90</v>
      </c>
      <c r="C34" s="36">
        <v>1218.9881999999996</v>
      </c>
      <c r="D34" s="37">
        <v>44.28</v>
      </c>
      <c r="E34" s="37">
        <v>43.02</v>
      </c>
      <c r="F34" s="37">
        <v>3.12</v>
      </c>
      <c r="G34" s="36">
        <v>655.37</v>
      </c>
      <c r="H34" s="68">
        <f t="shared" si="5"/>
        <v>1.0420054200542006</v>
      </c>
      <c r="I34" s="36">
        <v>1218.9881999999996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1.8599999999999994</v>
      </c>
      <c r="N34" s="41">
        <f t="shared" si="9"/>
        <v>4.2005420054200528E-2</v>
      </c>
      <c r="O34" s="43" t="s">
        <v>83</v>
      </c>
      <c r="P34" s="69" t="s">
        <v>235</v>
      </c>
      <c r="Q34" s="44"/>
      <c r="R34" s="45" t="s">
        <v>77</v>
      </c>
    </row>
    <row r="35" spans="1:18" s="67" customFormat="1" ht="24.95" customHeight="1" x14ac:dyDescent="0.25">
      <c r="A35" s="34">
        <v>8</v>
      </c>
      <c r="B35" s="35" t="s">
        <v>86</v>
      </c>
      <c r="C35" s="36">
        <v>1192.3352999999993</v>
      </c>
      <c r="D35" s="37">
        <v>3145.53</v>
      </c>
      <c r="E35" s="37">
        <v>3132.3</v>
      </c>
      <c r="F35" s="37">
        <v>43.5</v>
      </c>
      <c r="G35" s="36">
        <v>39.39</v>
      </c>
      <c r="H35" s="68">
        <f t="shared" si="5"/>
        <v>1.0096231795595654</v>
      </c>
      <c r="I35" s="36">
        <v>1192.3352999999993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30.269999999999982</v>
      </c>
      <c r="N35" s="41">
        <f t="shared" si="9"/>
        <v>9.6231795595654729E-3</v>
      </c>
      <c r="O35" s="43" t="s">
        <v>83</v>
      </c>
      <c r="P35" s="44" t="s">
        <v>60</v>
      </c>
      <c r="Q35" s="44" t="s">
        <v>87</v>
      </c>
      <c r="R35" s="45" t="s">
        <v>58</v>
      </c>
    </row>
    <row r="36" spans="1:18" s="67" customFormat="1" ht="24.95" customHeight="1" x14ac:dyDescent="0.25">
      <c r="A36" s="47">
        <v>9</v>
      </c>
      <c r="B36" s="35" t="s">
        <v>156</v>
      </c>
      <c r="C36" s="36">
        <v>1110.1343999999956</v>
      </c>
      <c r="D36" s="37">
        <v>236.11</v>
      </c>
      <c r="E36" s="37">
        <v>236.88</v>
      </c>
      <c r="F36" s="37">
        <v>5.0999999999999996</v>
      </c>
      <c r="G36" s="36">
        <v>189.12</v>
      </c>
      <c r="H36" s="68">
        <f t="shared" si="5"/>
        <v>1.0248612934649104</v>
      </c>
      <c r="I36" s="36">
        <v>1110.1343999999956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5.8699999999999761</v>
      </c>
      <c r="N36" s="41">
        <f t="shared" si="9"/>
        <v>2.4861293464910322E-2</v>
      </c>
      <c r="O36" s="43" t="s">
        <v>97</v>
      </c>
      <c r="P36" s="69" t="s">
        <v>235</v>
      </c>
      <c r="Q36" s="44"/>
      <c r="R36" s="45" t="s">
        <v>157</v>
      </c>
    </row>
    <row r="37" spans="1:18" s="67" customFormat="1" ht="24.95" customHeight="1" thickBot="1" x14ac:dyDescent="0.3">
      <c r="A37" s="48">
        <v>10</v>
      </c>
      <c r="B37" s="49" t="s">
        <v>125</v>
      </c>
      <c r="C37" s="50">
        <v>1062</v>
      </c>
      <c r="D37" s="51">
        <v>114.89</v>
      </c>
      <c r="E37" s="51">
        <v>116.14</v>
      </c>
      <c r="F37" s="51">
        <v>4.8600000000000003</v>
      </c>
      <c r="G37" s="50">
        <v>200</v>
      </c>
      <c r="H37" s="70">
        <f t="shared" si="5"/>
        <v>1.0531813038558622</v>
      </c>
      <c r="I37" s="50">
        <v>1222</v>
      </c>
      <c r="J37" s="51">
        <v>0.8</v>
      </c>
      <c r="K37" s="53">
        <f t="shared" si="6"/>
        <v>6.9631821742536341E-3</v>
      </c>
      <c r="L37" s="56">
        <f t="shared" si="7"/>
        <v>160</v>
      </c>
      <c r="M37" s="54">
        <f t="shared" si="8"/>
        <v>5.31</v>
      </c>
      <c r="N37" s="55">
        <f t="shared" si="9"/>
        <v>4.6218121681608493E-2</v>
      </c>
      <c r="O37" s="57" t="s">
        <v>97</v>
      </c>
      <c r="P37" s="71" t="s">
        <v>235</v>
      </c>
      <c r="Q37" s="72"/>
      <c r="R37" s="58" t="s">
        <v>58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82</v>
      </c>
      <c r="C44" s="36">
        <v>1480.1971999999998</v>
      </c>
      <c r="D44" s="78">
        <f t="shared" ref="D44:D53" si="10">C44/$L$5</f>
        <v>0.36176896019871557</v>
      </c>
      <c r="E44" s="79"/>
    </row>
    <row r="45" spans="1:18" s="80" customFormat="1" ht="24.95" customHeight="1" x14ac:dyDescent="0.25">
      <c r="A45" s="81">
        <v>2</v>
      </c>
      <c r="B45" s="35" t="s">
        <v>147</v>
      </c>
      <c r="C45" s="36">
        <v>386.53199999999998</v>
      </c>
      <c r="D45" s="78">
        <f t="shared" si="10"/>
        <v>9.4470709526764368E-2</v>
      </c>
      <c r="E45" s="79"/>
    </row>
    <row r="46" spans="1:18" s="80" customFormat="1" ht="24.95" customHeight="1" x14ac:dyDescent="0.25">
      <c r="A46" s="81">
        <v>3</v>
      </c>
      <c r="B46" s="35" t="s">
        <v>103</v>
      </c>
      <c r="C46" s="36">
        <v>273.30600000000004</v>
      </c>
      <c r="D46" s="78">
        <f t="shared" si="10"/>
        <v>6.679760469488133E-2</v>
      </c>
      <c r="E46" s="79"/>
    </row>
    <row r="47" spans="1:18" s="80" customFormat="1" ht="24.95" customHeight="1" x14ac:dyDescent="0.25">
      <c r="A47" s="77">
        <v>4</v>
      </c>
      <c r="B47" s="35" t="s">
        <v>109</v>
      </c>
      <c r="C47" s="36">
        <v>272.22399999999999</v>
      </c>
      <c r="D47" s="78">
        <f t="shared" si="10"/>
        <v>6.6533157488161146E-2</v>
      </c>
      <c r="E47" s="79"/>
    </row>
    <row r="48" spans="1:18" s="80" customFormat="1" ht="24.95" customHeight="1" x14ac:dyDescent="0.25">
      <c r="A48" s="81">
        <v>5</v>
      </c>
      <c r="B48" s="35" t="s">
        <v>198</v>
      </c>
      <c r="C48" s="36">
        <v>260.11</v>
      </c>
      <c r="D48" s="78">
        <f t="shared" si="10"/>
        <v>6.3572424158948496E-2</v>
      </c>
      <c r="E48" s="79"/>
    </row>
    <row r="49" spans="1:5" s="80" customFormat="1" ht="24.95" customHeight="1" x14ac:dyDescent="0.25">
      <c r="A49" s="77">
        <v>6</v>
      </c>
      <c r="B49" s="35" t="s">
        <v>104</v>
      </c>
      <c r="C49" s="36">
        <v>221.13</v>
      </c>
      <c r="D49" s="78">
        <f t="shared" si="10"/>
        <v>5.4045481351229406E-2</v>
      </c>
      <c r="E49" s="79"/>
    </row>
    <row r="50" spans="1:5" s="80" customFormat="1" ht="24.95" customHeight="1" x14ac:dyDescent="0.25">
      <c r="A50" s="81">
        <v>7</v>
      </c>
      <c r="B50" s="35" t="s">
        <v>73</v>
      </c>
      <c r="C50" s="36">
        <v>200.4949</v>
      </c>
      <c r="D50" s="78">
        <f t="shared" si="10"/>
        <v>4.9002140727023039E-2</v>
      </c>
      <c r="E50" s="79"/>
    </row>
    <row r="51" spans="1:5" s="80" customFormat="1" ht="24.95" customHeight="1" x14ac:dyDescent="0.25">
      <c r="A51" s="77">
        <v>8</v>
      </c>
      <c r="B51" s="35" t="s">
        <v>105</v>
      </c>
      <c r="C51" s="36">
        <v>198.45000000000002</v>
      </c>
      <c r="D51" s="78">
        <f t="shared" si="10"/>
        <v>4.8502355058795625E-2</v>
      </c>
      <c r="E51" s="79"/>
    </row>
    <row r="52" spans="1:5" s="80" customFormat="1" ht="24.95" customHeight="1" x14ac:dyDescent="0.25">
      <c r="A52" s="81">
        <v>9</v>
      </c>
      <c r="B52" s="35" t="s">
        <v>56</v>
      </c>
      <c r="C52" s="36">
        <v>191.76</v>
      </c>
      <c r="D52" s="78">
        <f t="shared" si="10"/>
        <v>4.6867279446080365E-2</v>
      </c>
      <c r="E52" s="79"/>
    </row>
    <row r="53" spans="1:5" s="80" customFormat="1" ht="24.95" customHeight="1" thickBot="1" x14ac:dyDescent="0.3">
      <c r="A53" s="82">
        <v>10</v>
      </c>
      <c r="B53" s="49" t="s">
        <v>125</v>
      </c>
      <c r="C53" s="50">
        <v>160</v>
      </c>
      <c r="D53" s="83">
        <f t="shared" si="10"/>
        <v>3.9104947389303604E-2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83" priority="34" operator="containsText" text="中華">
      <formula>NOT(ISERROR(SEARCH("中華",A12)))</formula>
    </cfRule>
    <cfRule type="containsText" dxfId="882" priority="33" operator="containsText" text="湯凍">
      <formula>NOT(ISERROR(SEARCH("湯凍",A12)))</formula>
    </cfRule>
    <cfRule type="containsText" dxfId="881" priority="32" operator="containsText" text=")川燙小青花菜">
      <formula>NOT(ISERROR(SEARCH(")川燙小青花菜",A12)))</formula>
    </cfRule>
    <cfRule type="containsText" dxfId="880" priority="31" operator="containsText" text="青蔥">
      <formula>NOT(ISERROR(SEARCH("青蔥",A12)))</formula>
    </cfRule>
    <cfRule type="containsText" dxfId="879" priority="30" operator="containsText" text="白醬">
      <formula>NOT(ISERROR(SEARCH("白醬",A12)))</formula>
    </cfRule>
    <cfRule type="containsText" dxfId="878" priority="29" operator="containsText" text="024">
      <formula>NOT(ISERROR(SEARCH("024",A12)))</formula>
    </cfRule>
    <cfRule type="containsText" dxfId="877" priority="28" operator="containsText" text="煮白細麵生(方#12)">
      <formula>NOT(ISERROR(SEARCH("煮白細麵生(方#12)",A12)))</formula>
    </cfRule>
    <cfRule type="containsText" dxfId="876" priority="27" operator="containsText" text="綠豆芽">
      <formula>NOT(ISERROR(SEARCH("綠豆芽",A12)))</formula>
    </cfRule>
  </conditionalFormatting>
  <conditionalFormatting sqref="A28:A37">
    <cfRule type="containsText" dxfId="875" priority="5" operator="containsText" text="綠豆芽">
      <formula>NOT(ISERROR(SEARCH("綠豆芽",A28)))</formula>
    </cfRule>
    <cfRule type="containsText" dxfId="874" priority="6" operator="containsText" text="煮白細麵生(方#12)">
      <formula>NOT(ISERROR(SEARCH("煮白細麵生(方#12)",A28)))</formula>
    </cfRule>
    <cfRule type="containsText" dxfId="873" priority="7" operator="containsText" text="024">
      <formula>NOT(ISERROR(SEARCH("024",A28)))</formula>
    </cfRule>
    <cfRule type="containsText" dxfId="872" priority="8" operator="containsText" text="白醬">
      <formula>NOT(ISERROR(SEARCH("白醬",A28)))</formula>
    </cfRule>
    <cfRule type="containsText" dxfId="871" priority="9" operator="containsText" text="青蔥">
      <formula>NOT(ISERROR(SEARCH("青蔥",A28)))</formula>
    </cfRule>
    <cfRule type="containsText" dxfId="870" priority="10" operator="containsText" text=")川燙小青花菜">
      <formula>NOT(ISERROR(SEARCH(")川燙小青花菜",A28)))</formula>
    </cfRule>
    <cfRule type="containsText" dxfId="869" priority="11" operator="containsText" text="湯凍">
      <formula>NOT(ISERROR(SEARCH("湯凍",A28)))</formula>
    </cfRule>
    <cfRule type="containsText" dxfId="868" priority="12" operator="containsText" text="中華">
      <formula>NOT(ISERROR(SEARCH("中華",A28)))</formula>
    </cfRule>
  </conditionalFormatting>
  <conditionalFormatting sqref="A44:A53">
    <cfRule type="containsText" dxfId="867" priority="17" operator="containsText" text="綠豆芽">
      <formula>NOT(ISERROR(SEARCH("綠豆芽",A44)))</formula>
    </cfRule>
    <cfRule type="containsText" dxfId="866" priority="18" operator="containsText" text="煮白細麵生(方#12)">
      <formula>NOT(ISERROR(SEARCH("煮白細麵生(方#12)",A44)))</formula>
    </cfRule>
    <cfRule type="containsText" dxfId="865" priority="19" operator="containsText" text="024">
      <formula>NOT(ISERROR(SEARCH("024",A44)))</formula>
    </cfRule>
    <cfRule type="containsText" dxfId="864" priority="20" operator="containsText" text="白醬">
      <formula>NOT(ISERROR(SEARCH("白醬",A44)))</formula>
    </cfRule>
    <cfRule type="containsText" dxfId="863" priority="21" operator="containsText" text="青蔥">
      <formula>NOT(ISERROR(SEARCH("青蔥",A44)))</formula>
    </cfRule>
    <cfRule type="containsText" dxfId="862" priority="22" operator="containsText" text=")川燙小青花菜">
      <formula>NOT(ISERROR(SEARCH(")川燙小青花菜",A44)))</formula>
    </cfRule>
    <cfRule type="containsText" dxfId="861" priority="23" operator="containsText" text="湯凍">
      <formula>NOT(ISERROR(SEARCH("湯凍",A44)))</formula>
    </cfRule>
    <cfRule type="containsText" dxfId="860" priority="24" operator="containsText" text="中華">
      <formula>NOT(ISERROR(SEARCH("中華",A44)))</formula>
    </cfRule>
  </conditionalFormatting>
  <conditionalFormatting sqref="D44:D53">
    <cfRule type="cellIs" dxfId="859" priority="16" operator="greaterThan">
      <formula>0.146</formula>
    </cfRule>
  </conditionalFormatting>
  <conditionalFormatting sqref="E5">
    <cfRule type="cellIs" dxfId="858" priority="25" operator="greaterThan">
      <formula>0.072</formula>
    </cfRule>
    <cfRule type="cellIs" dxfId="857" priority="26" operator="greaterThan">
      <formula>7.2</formula>
    </cfRule>
    <cfRule type="cellIs" dxfId="856" priority="14" operator="greaterThan">
      <formula>0.0025</formula>
    </cfRule>
  </conditionalFormatting>
  <conditionalFormatting sqref="G5">
    <cfRule type="cellIs" dxfId="855" priority="3" operator="greaterThan">
      <formula>7.2</formula>
    </cfRule>
    <cfRule type="cellIs" dxfId="854" priority="2" operator="greaterThan">
      <formula>0.072</formula>
    </cfRule>
    <cfRule type="cellIs" dxfId="853" priority="1" operator="greaterThan">
      <formula>0.0025</formula>
    </cfRule>
  </conditionalFormatting>
  <conditionalFormatting sqref="H12:H22">
    <cfRule type="cellIs" dxfId="852" priority="15" operator="greaterThan">
      <formula>1.1</formula>
    </cfRule>
  </conditionalFormatting>
  <conditionalFormatting sqref="H28:H37">
    <cfRule type="cellIs" dxfId="851" priority="4" operator="greaterThan">
      <formula>1.1</formula>
    </cfRule>
  </conditionalFormatting>
  <conditionalFormatting sqref="I5">
    <cfRule type="cellIs" dxfId="85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A504-34D4-40EC-9BB7-AD570A47475F}">
  <sheetPr>
    <tabColor rgb="FFFF0000"/>
    <pageSetUpPr fitToPage="1"/>
  </sheetPr>
  <dimension ref="A1:R56"/>
  <sheetViews>
    <sheetView topLeftCell="G19" zoomScale="70" zoomScaleNormal="70" workbookViewId="0">
      <selection activeCell="I28" sqref="I28:R37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45924</v>
      </c>
      <c r="B3" s="149"/>
      <c r="C3" s="150">
        <v>7098839.0300000003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17168.150099999992</v>
      </c>
      <c r="E5" s="24">
        <f>D5/C3</f>
        <v>2.4184447664535916E-3</v>
      </c>
      <c r="F5" s="23">
        <v>50583.8848</v>
      </c>
      <c r="G5" s="25">
        <f>F5/C3</f>
        <v>7.1256559820881017E-3</v>
      </c>
      <c r="H5" s="26">
        <f>SUM(C12:C21)</f>
        <v>3368.6970000000001</v>
      </c>
      <c r="I5" s="27">
        <f>H5/D5</f>
        <v>0.19621782081227271</v>
      </c>
      <c r="J5" s="26">
        <f>SUM(C28:C37)</f>
        <v>21401.144499999999</v>
      </c>
      <c r="K5" s="28">
        <f>J5/F5</f>
        <v>0.42308226393873172</v>
      </c>
      <c r="L5" s="29">
        <v>2233.6143999999995</v>
      </c>
      <c r="M5" s="30">
        <f>L5/D5</f>
        <v>0.13010221759419499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59</v>
      </c>
      <c r="C12" s="36">
        <v>695.25</v>
      </c>
      <c r="D12" s="37">
        <v>4033</v>
      </c>
      <c r="E12" s="37">
        <v>4003</v>
      </c>
      <c r="F12" s="37">
        <v>75</v>
      </c>
      <c r="G12" s="36">
        <v>15.45</v>
      </c>
      <c r="H12" s="38">
        <f>(E12+F12)/D12</f>
        <v>1.0111579469377634</v>
      </c>
      <c r="I12" s="36">
        <v>695.25</v>
      </c>
      <c r="J12" s="37">
        <v>45</v>
      </c>
      <c r="K12" s="39">
        <f>J12/D12</f>
        <v>1.1157946937763452E-2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209</v>
      </c>
      <c r="C13" s="36">
        <v>360.13119999999998</v>
      </c>
      <c r="D13" s="37">
        <v>27.83</v>
      </c>
      <c r="E13" s="37">
        <v>29.91</v>
      </c>
      <c r="F13" s="37">
        <v>0</v>
      </c>
      <c r="G13" s="36">
        <v>173.14</v>
      </c>
      <c r="H13" s="38">
        <f t="shared" ref="H13:H21" si="1">(E13+F13)/D13</f>
        <v>1.0747394897592526</v>
      </c>
      <c r="I13" s="36">
        <v>360.13120000000032</v>
      </c>
      <c r="J13" s="37">
        <v>2.08</v>
      </c>
      <c r="K13" s="39">
        <f>J13/D13</f>
        <v>7.4739489759252611E-2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69" t="s">
        <v>67</v>
      </c>
      <c r="Q13" s="44"/>
      <c r="R13" s="45" t="s">
        <v>210</v>
      </c>
    </row>
    <row r="14" spans="1:18" s="46" customFormat="1" ht="24.95" customHeight="1" x14ac:dyDescent="0.25">
      <c r="A14" s="47">
        <v>3</v>
      </c>
      <c r="B14" s="35" t="s">
        <v>167</v>
      </c>
      <c r="C14" s="36">
        <v>330.4119</v>
      </c>
      <c r="D14" s="37">
        <v>28.78</v>
      </c>
      <c r="E14" s="37">
        <v>29.69</v>
      </c>
      <c r="F14" s="37">
        <v>0</v>
      </c>
      <c r="G14" s="36">
        <v>363.09</v>
      </c>
      <c r="H14" s="38">
        <f>(E14+F14)/D14</f>
        <v>1.0316191799861014</v>
      </c>
      <c r="I14" s="36">
        <v>330.4119</v>
      </c>
      <c r="J14" s="37">
        <v>0.91</v>
      </c>
      <c r="K14" s="39">
        <f t="shared" ref="K14:K21" si="4">J14/D14</f>
        <v>3.1619179986101462E-2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69" t="s">
        <v>235</v>
      </c>
      <c r="Q14" s="44"/>
      <c r="R14" s="45" t="s">
        <v>155</v>
      </c>
    </row>
    <row r="15" spans="1:18" s="46" customFormat="1" ht="24.95" customHeight="1" x14ac:dyDescent="0.25">
      <c r="A15" s="34">
        <v>4</v>
      </c>
      <c r="B15" s="35" t="s">
        <v>194</v>
      </c>
      <c r="C15" s="36">
        <v>300.08299999999997</v>
      </c>
      <c r="D15" s="37">
        <v>148.12</v>
      </c>
      <c r="E15" s="37">
        <v>150.75</v>
      </c>
      <c r="F15" s="37">
        <v>0</v>
      </c>
      <c r="G15" s="36">
        <v>114.1</v>
      </c>
      <c r="H15" s="38">
        <f>(E15+F15)/D15</f>
        <v>1.0177558736159871</v>
      </c>
      <c r="I15" s="36">
        <v>300.08299999999946</v>
      </c>
      <c r="J15" s="37">
        <v>2.63</v>
      </c>
      <c r="K15" s="39">
        <f t="shared" si="4"/>
        <v>1.7755873615987038E-2</v>
      </c>
      <c r="L15" s="40">
        <f t="shared" si="2"/>
        <v>-4.4408920985006262E-15</v>
      </c>
      <c r="M15" s="41">
        <f t="shared" si="3"/>
        <v>-2.998171819133558E-17</v>
      </c>
      <c r="N15" s="42">
        <f t="shared" si="0"/>
        <v>-5.0670578843892145E-13</v>
      </c>
      <c r="O15" s="43" t="s">
        <v>57</v>
      </c>
      <c r="P15" s="69" t="s">
        <v>235</v>
      </c>
      <c r="Q15" s="44"/>
      <c r="R15" s="45" t="s">
        <v>195</v>
      </c>
    </row>
    <row r="16" spans="1:18" s="46" customFormat="1" ht="24.95" customHeight="1" x14ac:dyDescent="0.25">
      <c r="A16" s="47">
        <v>5</v>
      </c>
      <c r="B16" s="35" t="s">
        <v>71</v>
      </c>
      <c r="C16" s="36">
        <v>299.68079999999998</v>
      </c>
      <c r="D16" s="37">
        <v>165.55</v>
      </c>
      <c r="E16" s="37">
        <v>168.05</v>
      </c>
      <c r="F16" s="37">
        <v>3.05</v>
      </c>
      <c r="G16" s="36">
        <v>122.82</v>
      </c>
      <c r="H16" s="38">
        <f t="shared" si="1"/>
        <v>1.0335246149199637</v>
      </c>
      <c r="I16" s="36">
        <v>681.65100000000132</v>
      </c>
      <c r="J16" s="37">
        <v>2.44</v>
      </c>
      <c r="K16" s="39">
        <f t="shared" si="4"/>
        <v>1.4738749622470551E-2</v>
      </c>
      <c r="L16" s="40">
        <f t="shared" si="2"/>
        <v>3.1100000000000114</v>
      </c>
      <c r="M16" s="41">
        <f t="shared" si="3"/>
        <v>1.8785865297493272E-2</v>
      </c>
      <c r="N16" s="42">
        <f t="shared" si="0"/>
        <v>381.9702000000014</v>
      </c>
      <c r="O16" s="43" t="s">
        <v>57</v>
      </c>
      <c r="P16" s="69" t="s">
        <v>235</v>
      </c>
      <c r="Q16" s="44"/>
      <c r="R16" s="45" t="s">
        <v>72</v>
      </c>
    </row>
    <row r="17" spans="1:18" s="46" customFormat="1" ht="24.95" customHeight="1" x14ac:dyDescent="0.25">
      <c r="A17" s="34">
        <v>6</v>
      </c>
      <c r="B17" s="35" t="s">
        <v>103</v>
      </c>
      <c r="C17" s="36">
        <v>290.69819999999999</v>
      </c>
      <c r="D17" s="37">
        <v>29.05</v>
      </c>
      <c r="E17" s="37">
        <v>30.52</v>
      </c>
      <c r="F17" s="37">
        <v>0</v>
      </c>
      <c r="G17" s="36">
        <v>248.46</v>
      </c>
      <c r="H17" s="38">
        <f t="shared" si="1"/>
        <v>1.0506024096385542</v>
      </c>
      <c r="I17" s="36">
        <v>365.23619999999971</v>
      </c>
      <c r="J17" s="37">
        <v>1.17</v>
      </c>
      <c r="K17" s="39">
        <f t="shared" si="4"/>
        <v>4.0275387263339069E-2</v>
      </c>
      <c r="L17" s="40">
        <f t="shared" si="2"/>
        <v>0.29999999999999893</v>
      </c>
      <c r="M17" s="41">
        <f t="shared" si="3"/>
        <v>1.0327022375215109E-2</v>
      </c>
      <c r="N17" s="42">
        <f t="shared" si="0"/>
        <v>74.537999999999741</v>
      </c>
      <c r="O17" s="43" t="s">
        <v>57</v>
      </c>
      <c r="P17" s="69" t="s">
        <v>67</v>
      </c>
      <c r="Q17" s="44"/>
      <c r="R17" s="45" t="s">
        <v>58</v>
      </c>
    </row>
    <row r="18" spans="1:18" s="46" customFormat="1" ht="24.95" customHeight="1" x14ac:dyDescent="0.25">
      <c r="A18" s="47">
        <v>7</v>
      </c>
      <c r="B18" s="35" t="s">
        <v>135</v>
      </c>
      <c r="C18" s="36">
        <v>287.81279999999998</v>
      </c>
      <c r="D18" s="37">
        <v>28.74</v>
      </c>
      <c r="E18" s="37">
        <v>30.58</v>
      </c>
      <c r="F18" s="37">
        <v>0</v>
      </c>
      <c r="G18" s="36">
        <v>208.56</v>
      </c>
      <c r="H18" s="38">
        <f t="shared" si="1"/>
        <v>1.0640222686151706</v>
      </c>
      <c r="I18" s="36">
        <v>383.75039999999996</v>
      </c>
      <c r="J18" s="37">
        <v>1.38</v>
      </c>
      <c r="K18" s="39">
        <f t="shared" si="4"/>
        <v>4.8016701461377868E-2</v>
      </c>
      <c r="L18" s="40">
        <f>((E18+F18)-D18)-J18</f>
        <v>0.45999999999999996</v>
      </c>
      <c r="M18" s="41">
        <f t="shared" si="3"/>
        <v>1.6005567153792623E-2</v>
      </c>
      <c r="N18" s="42">
        <f t="shared" si="0"/>
        <v>95.937599999999989</v>
      </c>
      <c r="O18" s="43" t="s">
        <v>57</v>
      </c>
      <c r="P18" s="69" t="s">
        <v>67</v>
      </c>
      <c r="Q18" s="44"/>
      <c r="R18" s="45" t="s">
        <v>136</v>
      </c>
    </row>
    <row r="19" spans="1:18" s="46" customFormat="1" ht="24.95" customHeight="1" x14ac:dyDescent="0.25">
      <c r="A19" s="34">
        <v>8</v>
      </c>
      <c r="B19" s="35" t="s">
        <v>146</v>
      </c>
      <c r="C19" s="36">
        <v>279.31200000000001</v>
      </c>
      <c r="D19" s="37">
        <v>42.34</v>
      </c>
      <c r="E19" s="37">
        <v>43.59</v>
      </c>
      <c r="F19" s="37">
        <v>0</v>
      </c>
      <c r="G19" s="36">
        <v>253.92</v>
      </c>
      <c r="H19" s="38">
        <f t="shared" si="1"/>
        <v>1.0295229097779877</v>
      </c>
      <c r="I19" s="36">
        <v>317.39999999999998</v>
      </c>
      <c r="J19" s="37">
        <v>1.1000000000000001</v>
      </c>
      <c r="K19" s="39">
        <f t="shared" si="4"/>
        <v>2.5980160604629193E-2</v>
      </c>
      <c r="L19" s="40">
        <f t="shared" si="2"/>
        <v>0.14999999999999991</v>
      </c>
      <c r="M19" s="41">
        <f t="shared" si="3"/>
        <v>3.5427491733585237E-3</v>
      </c>
      <c r="N19" s="42">
        <f t="shared" si="0"/>
        <v>38.087999999999973</v>
      </c>
      <c r="O19" s="43" t="s">
        <v>57</v>
      </c>
      <c r="P19" s="69" t="s">
        <v>235</v>
      </c>
      <c r="Q19" s="44"/>
      <c r="R19" s="45" t="s">
        <v>68</v>
      </c>
    </row>
    <row r="20" spans="1:18" s="46" customFormat="1" ht="24.95" customHeight="1" x14ac:dyDescent="0.25">
      <c r="A20" s="47">
        <v>9</v>
      </c>
      <c r="B20" s="35" t="s">
        <v>76</v>
      </c>
      <c r="C20" s="36">
        <v>272.39999999999998</v>
      </c>
      <c r="D20" s="37">
        <v>57.88</v>
      </c>
      <c r="E20" s="37">
        <v>60.38</v>
      </c>
      <c r="F20" s="37">
        <v>0</v>
      </c>
      <c r="G20" s="36">
        <v>108.96</v>
      </c>
      <c r="H20" s="38">
        <f t="shared" si="1"/>
        <v>1.043192812715964</v>
      </c>
      <c r="I20" s="36">
        <v>272.39999999999998</v>
      </c>
      <c r="J20" s="37">
        <v>2.5</v>
      </c>
      <c r="K20" s="39">
        <f t="shared" si="4"/>
        <v>4.3192812715964063E-2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69" t="s">
        <v>235</v>
      </c>
      <c r="Q20" s="44"/>
      <c r="R20" s="45" t="s">
        <v>77</v>
      </c>
    </row>
    <row r="21" spans="1:18" s="46" customFormat="1" ht="24.95" customHeight="1" thickBot="1" x14ac:dyDescent="0.3">
      <c r="A21" s="48">
        <v>10</v>
      </c>
      <c r="B21" s="49" t="s">
        <v>204</v>
      </c>
      <c r="C21" s="50">
        <v>252.91710000000003</v>
      </c>
      <c r="D21" s="51">
        <v>33.630000000000003</v>
      </c>
      <c r="E21" s="51">
        <v>36.46</v>
      </c>
      <c r="F21" s="51">
        <v>0</v>
      </c>
      <c r="G21" s="50">
        <v>89.37</v>
      </c>
      <c r="H21" s="52">
        <f t="shared" si="1"/>
        <v>1.0841510556051144</v>
      </c>
      <c r="I21" s="50">
        <v>252.91709999999986</v>
      </c>
      <c r="J21" s="51">
        <v>2.83</v>
      </c>
      <c r="K21" s="53">
        <f t="shared" si="4"/>
        <v>8.4151055605114475E-2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7" t="s">
        <v>67</v>
      </c>
      <c r="Q21" s="57"/>
      <c r="R21" s="58" t="s">
        <v>203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156</v>
      </c>
      <c r="C28" s="36">
        <v>3262.32</v>
      </c>
      <c r="D28" s="37">
        <v>259.27999999999997</v>
      </c>
      <c r="E28" s="37">
        <v>259.52999999999997</v>
      </c>
      <c r="F28" s="37">
        <v>17</v>
      </c>
      <c r="G28" s="36">
        <v>189.12</v>
      </c>
      <c r="H28" s="68">
        <f t="shared" ref="H28:H37" si="5">(E28+F28)/D28</f>
        <v>1.066530391854366</v>
      </c>
      <c r="I28" s="36">
        <v>3262.32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17.25</v>
      </c>
      <c r="N28" s="41">
        <f t="shared" ref="N28:N37" si="9">M28/D28</f>
        <v>6.6530391854365947E-2</v>
      </c>
      <c r="O28" s="43" t="s">
        <v>83</v>
      </c>
      <c r="P28" s="69" t="s">
        <v>235</v>
      </c>
      <c r="Q28" s="44"/>
      <c r="R28" s="45" t="s">
        <v>157</v>
      </c>
    </row>
    <row r="29" spans="1:18" s="67" customFormat="1" ht="24.95" customHeight="1" x14ac:dyDescent="0.25">
      <c r="A29" s="47">
        <v>2</v>
      </c>
      <c r="B29" s="35" t="s">
        <v>122</v>
      </c>
      <c r="C29" s="36">
        <v>3159.1917999999991</v>
      </c>
      <c r="D29" s="37">
        <v>14.88</v>
      </c>
      <c r="E29" s="37">
        <v>16.39</v>
      </c>
      <c r="F29" s="37">
        <v>0</v>
      </c>
      <c r="G29" s="36">
        <v>2092.1799999999998</v>
      </c>
      <c r="H29" s="68">
        <f t="shared" si="5"/>
        <v>1.101478494623656</v>
      </c>
      <c r="I29" s="36">
        <v>3159.1917999999991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1.5099999999999998</v>
      </c>
      <c r="N29" s="41">
        <f t="shared" si="9"/>
        <v>0.10147849462365589</v>
      </c>
      <c r="O29" s="43" t="s">
        <v>83</v>
      </c>
      <c r="P29" s="69" t="s">
        <v>235</v>
      </c>
      <c r="Q29" s="44"/>
      <c r="R29" s="45" t="s">
        <v>123</v>
      </c>
    </row>
    <row r="30" spans="1:18" s="67" customFormat="1" ht="24.95" customHeight="1" x14ac:dyDescent="0.25">
      <c r="A30" s="47">
        <v>3</v>
      </c>
      <c r="B30" s="35" t="s">
        <v>196</v>
      </c>
      <c r="C30" s="36">
        <v>2884.3890000000065</v>
      </c>
      <c r="D30" s="37">
        <v>68.459999999999994</v>
      </c>
      <c r="E30" s="37">
        <v>68.400000000000006</v>
      </c>
      <c r="F30" s="37">
        <v>8.4</v>
      </c>
      <c r="G30" s="36">
        <v>345.85</v>
      </c>
      <c r="H30" s="68">
        <f t="shared" si="5"/>
        <v>1.1218229623137601</v>
      </c>
      <c r="I30" s="36">
        <v>2884.3890000000065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8.3400000000000176</v>
      </c>
      <c r="N30" s="41">
        <f t="shared" si="9"/>
        <v>0.12182296231376012</v>
      </c>
      <c r="O30" s="43" t="s">
        <v>83</v>
      </c>
      <c r="P30" s="69" t="s">
        <v>235</v>
      </c>
      <c r="Q30" s="44"/>
      <c r="R30" s="45" t="s">
        <v>197</v>
      </c>
    </row>
    <row r="31" spans="1:18" s="67" customFormat="1" ht="24.95" customHeight="1" x14ac:dyDescent="0.25">
      <c r="A31" s="34">
        <v>4</v>
      </c>
      <c r="B31" s="35" t="s">
        <v>132</v>
      </c>
      <c r="C31" s="36">
        <v>2591.4800000000027</v>
      </c>
      <c r="D31" s="37">
        <v>55.04</v>
      </c>
      <c r="E31" s="37">
        <v>57.56</v>
      </c>
      <c r="F31" s="37">
        <v>1.6</v>
      </c>
      <c r="G31" s="36">
        <v>629</v>
      </c>
      <c r="H31" s="68">
        <f t="shared" si="5"/>
        <v>1.0748546511627908</v>
      </c>
      <c r="I31" s="36">
        <v>2591.4800000000027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4.1200000000000045</v>
      </c>
      <c r="N31" s="41">
        <f t="shared" si="9"/>
        <v>7.4854651162790775E-2</v>
      </c>
      <c r="O31" s="43" t="s">
        <v>83</v>
      </c>
      <c r="P31" s="69" t="s">
        <v>235</v>
      </c>
      <c r="Q31" s="44"/>
      <c r="R31" s="45" t="s">
        <v>70</v>
      </c>
    </row>
    <row r="32" spans="1:18" s="67" customFormat="1" ht="24.95" customHeight="1" x14ac:dyDescent="0.25">
      <c r="A32" s="47">
        <v>5</v>
      </c>
      <c r="B32" s="35" t="s">
        <v>94</v>
      </c>
      <c r="C32" s="36">
        <v>1932.4381999999814</v>
      </c>
      <c r="D32" s="37">
        <v>189.24</v>
      </c>
      <c r="E32" s="37">
        <v>185.98</v>
      </c>
      <c r="F32" s="37">
        <v>6.45</v>
      </c>
      <c r="G32" s="36">
        <v>605.78</v>
      </c>
      <c r="H32" s="68">
        <f t="shared" si="5"/>
        <v>1.0168569012893678</v>
      </c>
      <c r="I32" s="36">
        <v>1932.4381999999814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3.1899999999999693</v>
      </c>
      <c r="N32" s="41">
        <f t="shared" si="9"/>
        <v>1.6856901289367836E-2</v>
      </c>
      <c r="O32" s="43" t="s">
        <v>83</v>
      </c>
      <c r="P32" s="44" t="s">
        <v>60</v>
      </c>
      <c r="Q32" s="44" t="s">
        <v>87</v>
      </c>
      <c r="R32" s="45" t="s">
        <v>95</v>
      </c>
    </row>
    <row r="33" spans="1:18" s="67" customFormat="1" ht="24.95" customHeight="1" x14ac:dyDescent="0.25">
      <c r="A33" s="34">
        <v>6</v>
      </c>
      <c r="B33" s="35" t="s">
        <v>124</v>
      </c>
      <c r="C33" s="36">
        <v>1911.5483999999988</v>
      </c>
      <c r="D33" s="37">
        <v>47.88</v>
      </c>
      <c r="E33" s="37">
        <v>45.96</v>
      </c>
      <c r="F33" s="37">
        <v>4.68</v>
      </c>
      <c r="G33" s="36">
        <v>692.59</v>
      </c>
      <c r="H33" s="68">
        <f t="shared" si="5"/>
        <v>1.0576441102756893</v>
      </c>
      <c r="I33" s="36">
        <v>1911.5483999999988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2.759999999999998</v>
      </c>
      <c r="N33" s="41">
        <f t="shared" si="9"/>
        <v>5.7644110275689178E-2</v>
      </c>
      <c r="O33" s="43" t="s">
        <v>83</v>
      </c>
      <c r="P33" s="69" t="s">
        <v>235</v>
      </c>
      <c r="Q33" s="44"/>
      <c r="R33" s="45" t="s">
        <v>121</v>
      </c>
    </row>
    <row r="34" spans="1:18" s="67" customFormat="1" ht="24.95" customHeight="1" x14ac:dyDescent="0.25">
      <c r="A34" s="47">
        <v>7</v>
      </c>
      <c r="B34" s="35" t="s">
        <v>192</v>
      </c>
      <c r="C34" s="36">
        <v>1513.5494999999983</v>
      </c>
      <c r="D34" s="37">
        <v>17.96</v>
      </c>
      <c r="E34" s="37">
        <v>17.11</v>
      </c>
      <c r="F34" s="37">
        <v>2</v>
      </c>
      <c r="G34" s="36">
        <v>1316.13</v>
      </c>
      <c r="H34" s="68">
        <f t="shared" si="5"/>
        <v>1.0640311804008908</v>
      </c>
      <c r="I34" s="36">
        <v>1513.5494999999983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1.1499999999999986</v>
      </c>
      <c r="N34" s="41">
        <f t="shared" si="9"/>
        <v>6.4031180400890786E-2</v>
      </c>
      <c r="O34" s="43" t="s">
        <v>83</v>
      </c>
      <c r="P34" s="69" t="s">
        <v>235</v>
      </c>
      <c r="Q34" s="44"/>
      <c r="R34" s="45" t="s">
        <v>136</v>
      </c>
    </row>
    <row r="35" spans="1:18" s="67" customFormat="1" ht="24.95" customHeight="1" x14ac:dyDescent="0.25">
      <c r="A35" s="34">
        <v>8</v>
      </c>
      <c r="B35" s="35" t="s">
        <v>91</v>
      </c>
      <c r="C35" s="36">
        <v>1450.347299999999</v>
      </c>
      <c r="D35" s="37">
        <v>527.09</v>
      </c>
      <c r="E35" s="37">
        <v>520</v>
      </c>
      <c r="F35" s="37">
        <v>51</v>
      </c>
      <c r="G35" s="36">
        <v>33.03</v>
      </c>
      <c r="H35" s="68">
        <f t="shared" si="5"/>
        <v>1.0833064562029255</v>
      </c>
      <c r="I35" s="36">
        <v>1450.347299999999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43.909999999999968</v>
      </c>
      <c r="N35" s="41">
        <f t="shared" si="9"/>
        <v>8.3306456202925427E-2</v>
      </c>
      <c r="O35" s="43" t="s">
        <v>83</v>
      </c>
      <c r="P35" s="69" t="s">
        <v>235</v>
      </c>
      <c r="Q35" s="44"/>
      <c r="R35" s="45" t="s">
        <v>77</v>
      </c>
    </row>
    <row r="36" spans="1:18" s="67" customFormat="1" ht="24.95" customHeight="1" x14ac:dyDescent="0.25">
      <c r="A36" s="47">
        <v>9</v>
      </c>
      <c r="B36" s="35" t="s">
        <v>150</v>
      </c>
      <c r="C36" s="36">
        <v>1379.3304000000016</v>
      </c>
      <c r="D36" s="37">
        <v>177.97</v>
      </c>
      <c r="E36" s="37">
        <v>181.25</v>
      </c>
      <c r="F36" s="37">
        <v>1.9</v>
      </c>
      <c r="G36" s="36">
        <v>266.27999999999997</v>
      </c>
      <c r="H36" s="68">
        <f t="shared" si="5"/>
        <v>1.0291060291060292</v>
      </c>
      <c r="I36" s="36">
        <v>1379.3304000000016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5.1800000000000068</v>
      </c>
      <c r="N36" s="41">
        <f t="shared" si="9"/>
        <v>2.9106029106029146E-2</v>
      </c>
      <c r="O36" s="43" t="s">
        <v>97</v>
      </c>
      <c r="P36" s="69" t="s">
        <v>235</v>
      </c>
      <c r="Q36" s="44"/>
      <c r="R36" s="45" t="s">
        <v>151</v>
      </c>
    </row>
    <row r="37" spans="1:18" s="67" customFormat="1" ht="24.95" customHeight="1" thickBot="1" x14ac:dyDescent="0.3">
      <c r="A37" s="48">
        <v>10</v>
      </c>
      <c r="B37" s="49" t="s">
        <v>82</v>
      </c>
      <c r="C37" s="50">
        <v>1316.5499000000095</v>
      </c>
      <c r="D37" s="51">
        <v>797.31</v>
      </c>
      <c r="E37" s="51">
        <v>793.42</v>
      </c>
      <c r="F37" s="51">
        <v>12.82</v>
      </c>
      <c r="G37" s="50">
        <v>147.43</v>
      </c>
      <c r="H37" s="70">
        <f t="shared" si="5"/>
        <v>1.0112001605398153</v>
      </c>
      <c r="I37" s="50">
        <v>1316.5499000000095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8.9300000000000637</v>
      </c>
      <c r="N37" s="55">
        <f t="shared" si="9"/>
        <v>1.1200160539815209E-2</v>
      </c>
      <c r="O37" s="57" t="s">
        <v>97</v>
      </c>
      <c r="P37" s="71" t="s">
        <v>84</v>
      </c>
      <c r="Q37" s="72" t="s">
        <v>85</v>
      </c>
      <c r="R37" s="58" t="s">
        <v>58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103</v>
      </c>
      <c r="C44" s="36">
        <v>290.69819999999999</v>
      </c>
      <c r="D44" s="78">
        <f t="shared" ref="D44:D53" si="10">C44/$L$5</f>
        <v>0.13014699403800409</v>
      </c>
      <c r="E44" s="79"/>
    </row>
    <row r="45" spans="1:18" s="80" customFormat="1" ht="24.95" customHeight="1" x14ac:dyDescent="0.25">
      <c r="A45" s="81">
        <v>2</v>
      </c>
      <c r="B45" s="35" t="s">
        <v>106</v>
      </c>
      <c r="C45" s="36">
        <v>237.90800000000002</v>
      </c>
      <c r="D45" s="78">
        <f t="shared" si="10"/>
        <v>0.10651256546340321</v>
      </c>
      <c r="E45" s="79"/>
    </row>
    <row r="46" spans="1:18" s="80" customFormat="1" ht="24.95" customHeight="1" x14ac:dyDescent="0.25">
      <c r="A46" s="81">
        <v>3</v>
      </c>
      <c r="B46" s="35" t="s">
        <v>104</v>
      </c>
      <c r="C46" s="36">
        <v>224.64</v>
      </c>
      <c r="D46" s="78">
        <f t="shared" si="10"/>
        <v>0.10057241751306763</v>
      </c>
      <c r="E46" s="79"/>
    </row>
    <row r="47" spans="1:18" s="80" customFormat="1" ht="24.95" customHeight="1" x14ac:dyDescent="0.25">
      <c r="A47" s="77">
        <v>4</v>
      </c>
      <c r="B47" s="35" t="s">
        <v>110</v>
      </c>
      <c r="C47" s="36">
        <v>215.26119999999997</v>
      </c>
      <c r="D47" s="78">
        <f t="shared" si="10"/>
        <v>9.6373483265509041E-2</v>
      </c>
      <c r="E47" s="79"/>
    </row>
    <row r="48" spans="1:18" s="80" customFormat="1" ht="24.95" customHeight="1" x14ac:dyDescent="0.25">
      <c r="A48" s="81">
        <v>5</v>
      </c>
      <c r="B48" s="35" t="s">
        <v>73</v>
      </c>
      <c r="C48" s="36">
        <v>200.4949</v>
      </c>
      <c r="D48" s="78">
        <f t="shared" si="10"/>
        <v>8.9762539138358008E-2</v>
      </c>
      <c r="E48" s="79"/>
    </row>
    <row r="49" spans="1:5" s="80" customFormat="1" ht="24.95" customHeight="1" x14ac:dyDescent="0.25">
      <c r="A49" s="77">
        <v>6</v>
      </c>
      <c r="B49" s="35" t="s">
        <v>56</v>
      </c>
      <c r="C49" s="36">
        <v>191.76</v>
      </c>
      <c r="D49" s="78">
        <f t="shared" si="10"/>
        <v>8.5851882043740418E-2</v>
      </c>
      <c r="E49" s="79"/>
    </row>
    <row r="50" spans="1:5" s="80" customFormat="1" ht="24.95" customHeight="1" x14ac:dyDescent="0.25">
      <c r="A50" s="81">
        <v>7</v>
      </c>
      <c r="B50" s="35" t="s">
        <v>147</v>
      </c>
      <c r="C50" s="36">
        <v>174.65520000000001</v>
      </c>
      <c r="D50" s="78">
        <f t="shared" si="10"/>
        <v>7.8193980124769996E-2</v>
      </c>
      <c r="E50" s="79"/>
    </row>
    <row r="51" spans="1:5" s="80" customFormat="1" ht="24.95" customHeight="1" x14ac:dyDescent="0.25">
      <c r="A51" s="77">
        <v>8</v>
      </c>
      <c r="B51" s="35" t="s">
        <v>198</v>
      </c>
      <c r="C51" s="36">
        <v>153.19109999999998</v>
      </c>
      <c r="D51" s="78">
        <f t="shared" si="10"/>
        <v>6.8584398453018572E-2</v>
      </c>
      <c r="E51" s="79"/>
    </row>
    <row r="52" spans="1:5" s="80" customFormat="1" ht="24.95" customHeight="1" x14ac:dyDescent="0.25">
      <c r="A52" s="81">
        <v>9</v>
      </c>
      <c r="B52" s="35" t="s">
        <v>168</v>
      </c>
      <c r="C52" s="36">
        <v>146.03849999999997</v>
      </c>
      <c r="D52" s="78">
        <f t="shared" si="10"/>
        <v>6.5382144742619858E-2</v>
      </c>
      <c r="E52" s="79"/>
    </row>
    <row r="53" spans="1:5" s="80" customFormat="1" ht="24.95" customHeight="1" thickBot="1" x14ac:dyDescent="0.3">
      <c r="A53" s="82">
        <v>10</v>
      </c>
      <c r="B53" s="49" t="s">
        <v>105</v>
      </c>
      <c r="C53" s="50">
        <v>134.75</v>
      </c>
      <c r="D53" s="83">
        <f t="shared" si="10"/>
        <v>6.0328228542939205E-2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49" priority="34" operator="containsText" text="中華">
      <formula>NOT(ISERROR(SEARCH("中華",A12)))</formula>
    </cfRule>
    <cfRule type="containsText" dxfId="848" priority="33" operator="containsText" text="湯凍">
      <formula>NOT(ISERROR(SEARCH("湯凍",A12)))</formula>
    </cfRule>
    <cfRule type="containsText" dxfId="847" priority="32" operator="containsText" text=")川燙小青花菜">
      <formula>NOT(ISERROR(SEARCH(")川燙小青花菜",A12)))</formula>
    </cfRule>
    <cfRule type="containsText" dxfId="846" priority="31" operator="containsText" text="青蔥">
      <formula>NOT(ISERROR(SEARCH("青蔥",A12)))</formula>
    </cfRule>
    <cfRule type="containsText" dxfId="845" priority="30" operator="containsText" text="白醬">
      <formula>NOT(ISERROR(SEARCH("白醬",A12)))</formula>
    </cfRule>
    <cfRule type="containsText" dxfId="844" priority="29" operator="containsText" text="024">
      <formula>NOT(ISERROR(SEARCH("024",A12)))</formula>
    </cfRule>
    <cfRule type="containsText" dxfId="843" priority="28" operator="containsText" text="煮白細麵生(方#12)">
      <formula>NOT(ISERROR(SEARCH("煮白細麵生(方#12)",A12)))</formula>
    </cfRule>
    <cfRule type="containsText" dxfId="842" priority="27" operator="containsText" text="綠豆芽">
      <formula>NOT(ISERROR(SEARCH("綠豆芽",A12)))</formula>
    </cfRule>
  </conditionalFormatting>
  <conditionalFormatting sqref="A28:A37">
    <cfRule type="containsText" dxfId="841" priority="5" operator="containsText" text="綠豆芽">
      <formula>NOT(ISERROR(SEARCH("綠豆芽",A28)))</formula>
    </cfRule>
    <cfRule type="containsText" dxfId="840" priority="6" operator="containsText" text="煮白細麵生(方#12)">
      <formula>NOT(ISERROR(SEARCH("煮白細麵生(方#12)",A28)))</formula>
    </cfRule>
    <cfRule type="containsText" dxfId="839" priority="7" operator="containsText" text="024">
      <formula>NOT(ISERROR(SEARCH("024",A28)))</formula>
    </cfRule>
    <cfRule type="containsText" dxfId="838" priority="8" operator="containsText" text="白醬">
      <formula>NOT(ISERROR(SEARCH("白醬",A28)))</formula>
    </cfRule>
    <cfRule type="containsText" dxfId="837" priority="9" operator="containsText" text="青蔥">
      <formula>NOT(ISERROR(SEARCH("青蔥",A28)))</formula>
    </cfRule>
    <cfRule type="containsText" dxfId="836" priority="10" operator="containsText" text=")川燙小青花菜">
      <formula>NOT(ISERROR(SEARCH(")川燙小青花菜",A28)))</formula>
    </cfRule>
    <cfRule type="containsText" dxfId="835" priority="11" operator="containsText" text="湯凍">
      <formula>NOT(ISERROR(SEARCH("湯凍",A28)))</formula>
    </cfRule>
    <cfRule type="containsText" dxfId="834" priority="12" operator="containsText" text="中華">
      <formula>NOT(ISERROR(SEARCH("中華",A28)))</formula>
    </cfRule>
  </conditionalFormatting>
  <conditionalFormatting sqref="A44:A53">
    <cfRule type="containsText" dxfId="833" priority="17" operator="containsText" text="綠豆芽">
      <formula>NOT(ISERROR(SEARCH("綠豆芽",A44)))</formula>
    </cfRule>
    <cfRule type="containsText" dxfId="832" priority="18" operator="containsText" text="煮白細麵生(方#12)">
      <formula>NOT(ISERROR(SEARCH("煮白細麵生(方#12)",A44)))</formula>
    </cfRule>
    <cfRule type="containsText" dxfId="831" priority="19" operator="containsText" text="024">
      <formula>NOT(ISERROR(SEARCH("024",A44)))</formula>
    </cfRule>
    <cfRule type="containsText" dxfId="830" priority="20" operator="containsText" text="白醬">
      <formula>NOT(ISERROR(SEARCH("白醬",A44)))</formula>
    </cfRule>
    <cfRule type="containsText" dxfId="829" priority="21" operator="containsText" text="青蔥">
      <formula>NOT(ISERROR(SEARCH("青蔥",A44)))</formula>
    </cfRule>
    <cfRule type="containsText" dxfId="828" priority="22" operator="containsText" text=")川燙小青花菜">
      <formula>NOT(ISERROR(SEARCH(")川燙小青花菜",A44)))</formula>
    </cfRule>
    <cfRule type="containsText" dxfId="827" priority="23" operator="containsText" text="湯凍">
      <formula>NOT(ISERROR(SEARCH("湯凍",A44)))</formula>
    </cfRule>
    <cfRule type="containsText" dxfId="826" priority="24" operator="containsText" text="中華">
      <formula>NOT(ISERROR(SEARCH("中華",A44)))</formula>
    </cfRule>
  </conditionalFormatting>
  <conditionalFormatting sqref="D44:D53">
    <cfRule type="cellIs" dxfId="825" priority="16" operator="greaterThan">
      <formula>0.146</formula>
    </cfRule>
  </conditionalFormatting>
  <conditionalFormatting sqref="E5">
    <cfRule type="cellIs" dxfId="824" priority="25" operator="greaterThan">
      <formula>0.072</formula>
    </cfRule>
    <cfRule type="cellIs" dxfId="823" priority="26" operator="greaterThan">
      <formula>7.2</formula>
    </cfRule>
    <cfRule type="cellIs" dxfId="822" priority="14" operator="greaterThan">
      <formula>0.0025</formula>
    </cfRule>
  </conditionalFormatting>
  <conditionalFormatting sqref="G5">
    <cfRule type="cellIs" dxfId="821" priority="3" operator="greaterThan">
      <formula>7.2</formula>
    </cfRule>
    <cfRule type="cellIs" dxfId="820" priority="2" operator="greaterThan">
      <formula>0.072</formula>
    </cfRule>
    <cfRule type="cellIs" dxfId="819" priority="1" operator="greaterThan">
      <formula>0.0025</formula>
    </cfRule>
  </conditionalFormatting>
  <conditionalFormatting sqref="H12:H22">
    <cfRule type="cellIs" dxfId="818" priority="15" operator="greaterThan">
      <formula>1.1</formula>
    </cfRule>
  </conditionalFormatting>
  <conditionalFormatting sqref="H28:H37">
    <cfRule type="cellIs" dxfId="817" priority="4" operator="greaterThan">
      <formula>1.1</formula>
    </cfRule>
  </conditionalFormatting>
  <conditionalFormatting sqref="I5">
    <cfRule type="cellIs" dxfId="81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DA04-89E6-47AE-A2F8-0618F04C248C}">
  <sheetPr>
    <tabColor rgb="FFFF0000"/>
    <pageSetUpPr fitToPage="1"/>
  </sheetPr>
  <dimension ref="A1:R56"/>
  <sheetViews>
    <sheetView topLeftCell="G13" zoomScale="70" zoomScaleNormal="70" workbookViewId="0">
      <selection activeCell="I28" sqref="I28:R37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45923</v>
      </c>
      <c r="B3" s="149"/>
      <c r="C3" s="150">
        <v>7459138.04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18065.410299999996</v>
      </c>
      <c r="E5" s="24">
        <f>D5/C3</f>
        <v>2.4219166079409351E-3</v>
      </c>
      <c r="F5" s="23">
        <v>54022.948000000048</v>
      </c>
      <c r="G5" s="25">
        <f>F5/C3</f>
        <v>7.2425188688423911E-3</v>
      </c>
      <c r="H5" s="26">
        <f>SUM(C12:C21)</f>
        <v>3771.3058000000005</v>
      </c>
      <c r="I5" s="27">
        <f>H5/D5</f>
        <v>0.20875838064967733</v>
      </c>
      <c r="J5" s="26">
        <f>SUM(C28:C37)</f>
        <v>22897.348000000005</v>
      </c>
      <c r="K5" s="28">
        <f>J5/F5</f>
        <v>0.42384484460196409</v>
      </c>
      <c r="L5" s="29">
        <v>2962.7928000000002</v>
      </c>
      <c r="M5" s="30">
        <f>L5/D5</f>
        <v>0.16400362631121645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194</v>
      </c>
      <c r="C12" s="36">
        <v>693.72799999999995</v>
      </c>
      <c r="D12" s="37">
        <v>151.28</v>
      </c>
      <c r="E12" s="37">
        <v>157.36000000000001</v>
      </c>
      <c r="F12" s="37">
        <v>0</v>
      </c>
      <c r="G12" s="36">
        <v>114.1</v>
      </c>
      <c r="H12" s="38">
        <f>(E12+F12)/D12</f>
        <v>1.0401903754627182</v>
      </c>
      <c r="I12" s="36">
        <v>693.72800000000143</v>
      </c>
      <c r="J12" s="37">
        <v>6.08</v>
      </c>
      <c r="K12" s="39">
        <f>J12/D12</f>
        <v>4.0190375462718142E-2</v>
      </c>
      <c r="L12" s="40">
        <f>((E12+F12)-D12)-J12</f>
        <v>1.2434497875801753E-14</v>
      </c>
      <c r="M12" s="41">
        <f>L12/D12</f>
        <v>8.2195253012967701E-17</v>
      </c>
      <c r="N12" s="42">
        <f t="shared" ref="N12:N21" si="0">L12*G12</f>
        <v>1.4187762076289799E-12</v>
      </c>
      <c r="O12" s="43" t="s">
        <v>57</v>
      </c>
      <c r="P12" s="69" t="s">
        <v>235</v>
      </c>
      <c r="Q12" s="44"/>
      <c r="R12" s="45" t="s">
        <v>195</v>
      </c>
    </row>
    <row r="13" spans="1:18" s="46" customFormat="1" ht="24.95" customHeight="1" x14ac:dyDescent="0.25">
      <c r="A13" s="47">
        <v>2</v>
      </c>
      <c r="B13" s="35" t="s">
        <v>73</v>
      </c>
      <c r="C13" s="36">
        <v>468.87390000000005</v>
      </c>
      <c r="D13" s="37">
        <v>386.66</v>
      </c>
      <c r="E13" s="37">
        <v>390.67</v>
      </c>
      <c r="F13" s="37">
        <v>0</v>
      </c>
      <c r="G13" s="36">
        <v>157.87</v>
      </c>
      <c r="H13" s="38">
        <f t="shared" ref="H13:H21" si="1">(E13+F13)/D13</f>
        <v>1.0103708684632493</v>
      </c>
      <c r="I13" s="36">
        <v>633.05869999999857</v>
      </c>
      <c r="J13" s="37">
        <v>2.97</v>
      </c>
      <c r="K13" s="39">
        <f>J13/D13</f>
        <v>7.6811669166709775E-3</v>
      </c>
      <c r="L13" s="40">
        <f t="shared" ref="L13:L21" si="2">((E13+F13)-D13)-J13</f>
        <v>1.0399999999999907</v>
      </c>
      <c r="M13" s="41">
        <f t="shared" ref="M13:M21" si="3">L13/D13</f>
        <v>2.6897015465783651E-3</v>
      </c>
      <c r="N13" s="42">
        <f t="shared" si="0"/>
        <v>164.18479999999855</v>
      </c>
      <c r="O13" s="43" t="s">
        <v>57</v>
      </c>
      <c r="P13" s="69" t="s">
        <v>235</v>
      </c>
      <c r="Q13" s="44"/>
      <c r="R13" s="45" t="s">
        <v>58</v>
      </c>
    </row>
    <row r="14" spans="1:18" s="46" customFormat="1" ht="24.95" customHeight="1" x14ac:dyDescent="0.25">
      <c r="A14" s="47">
        <v>3</v>
      </c>
      <c r="B14" s="35" t="s">
        <v>59</v>
      </c>
      <c r="C14" s="36">
        <v>463.5</v>
      </c>
      <c r="D14" s="37">
        <v>4003</v>
      </c>
      <c r="E14" s="37">
        <v>4033</v>
      </c>
      <c r="F14" s="37">
        <v>0</v>
      </c>
      <c r="G14" s="36">
        <v>15.45</v>
      </c>
      <c r="H14" s="38">
        <f>(E14+F14)/D14</f>
        <v>1.0074943792155884</v>
      </c>
      <c r="I14" s="36">
        <v>463.5</v>
      </c>
      <c r="J14" s="37">
        <v>30</v>
      </c>
      <c r="K14" s="39">
        <f t="shared" ref="K14:K21" si="4">J14/D14</f>
        <v>7.4943792155883092E-3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60</v>
      </c>
      <c r="Q14" s="44" t="s">
        <v>61</v>
      </c>
      <c r="R14" s="45" t="s">
        <v>62</v>
      </c>
    </row>
    <row r="15" spans="1:18" s="46" customFormat="1" ht="24.95" customHeight="1" x14ac:dyDescent="0.25">
      <c r="A15" s="34">
        <v>4</v>
      </c>
      <c r="B15" s="35" t="s">
        <v>82</v>
      </c>
      <c r="C15" s="36">
        <v>389.21520000000004</v>
      </c>
      <c r="D15" s="37">
        <v>809.63</v>
      </c>
      <c r="E15" s="37">
        <v>810.3</v>
      </c>
      <c r="F15" s="37">
        <v>13.64</v>
      </c>
      <c r="G15" s="36">
        <v>147.43</v>
      </c>
      <c r="H15" s="38">
        <f>(E15+F15)/D15</f>
        <v>1.0176747403134765</v>
      </c>
      <c r="I15" s="36">
        <v>2109.7232999999919</v>
      </c>
      <c r="J15" s="37">
        <v>2.64</v>
      </c>
      <c r="K15" s="39">
        <f t="shared" si="4"/>
        <v>3.2607487370774307E-3</v>
      </c>
      <c r="L15" s="40">
        <f t="shared" si="2"/>
        <v>11.669999999999945</v>
      </c>
      <c r="M15" s="41">
        <f t="shared" si="3"/>
        <v>1.4413991576399028E-2</v>
      </c>
      <c r="N15" s="42">
        <f t="shared" si="0"/>
        <v>1720.5080999999921</v>
      </c>
      <c r="O15" s="43" t="s">
        <v>57</v>
      </c>
      <c r="P15" s="69" t="s">
        <v>84</v>
      </c>
      <c r="Q15" s="44" t="s">
        <v>85</v>
      </c>
      <c r="R15" s="45" t="s">
        <v>58</v>
      </c>
    </row>
    <row r="16" spans="1:18" s="46" customFormat="1" ht="24.95" customHeight="1" x14ac:dyDescent="0.25">
      <c r="A16" s="47">
        <v>5</v>
      </c>
      <c r="B16" s="35" t="s">
        <v>146</v>
      </c>
      <c r="C16" s="36">
        <v>378.3408</v>
      </c>
      <c r="D16" s="37">
        <v>42.04</v>
      </c>
      <c r="E16" s="37">
        <v>43.94</v>
      </c>
      <c r="F16" s="37">
        <v>2.1</v>
      </c>
      <c r="G16" s="36">
        <v>253.92</v>
      </c>
      <c r="H16" s="38">
        <f t="shared" si="1"/>
        <v>1.0951474785918174</v>
      </c>
      <c r="I16" s="36">
        <v>1015.68</v>
      </c>
      <c r="J16" s="37">
        <v>1.49</v>
      </c>
      <c r="K16" s="39">
        <f t="shared" si="4"/>
        <v>3.5442435775451954E-2</v>
      </c>
      <c r="L16" s="40">
        <f t="shared" si="2"/>
        <v>2.5099999999999998</v>
      </c>
      <c r="M16" s="41">
        <f t="shared" si="3"/>
        <v>5.9705042816365364E-2</v>
      </c>
      <c r="N16" s="42">
        <f t="shared" si="0"/>
        <v>637.33919999999989</v>
      </c>
      <c r="O16" s="43" t="s">
        <v>57</v>
      </c>
      <c r="P16" s="69" t="s">
        <v>67</v>
      </c>
      <c r="Q16" s="44"/>
      <c r="R16" s="45" t="s">
        <v>68</v>
      </c>
    </row>
    <row r="17" spans="1:18" s="46" customFormat="1" ht="24.95" customHeight="1" x14ac:dyDescent="0.25">
      <c r="A17" s="34">
        <v>6</v>
      </c>
      <c r="B17" s="35" t="s">
        <v>66</v>
      </c>
      <c r="C17" s="36">
        <v>288.33050000000003</v>
      </c>
      <c r="D17" s="37">
        <v>52.05</v>
      </c>
      <c r="E17" s="37">
        <v>55.17</v>
      </c>
      <c r="F17" s="37">
        <v>0</v>
      </c>
      <c r="G17" s="36">
        <v>183.65</v>
      </c>
      <c r="H17" s="38">
        <f t="shared" si="1"/>
        <v>1.0599423631123921</v>
      </c>
      <c r="I17" s="36">
        <v>572.98800000000085</v>
      </c>
      <c r="J17" s="37">
        <v>1.57</v>
      </c>
      <c r="K17" s="39">
        <f t="shared" si="4"/>
        <v>3.0163304514889532E-2</v>
      </c>
      <c r="L17" s="40">
        <f t="shared" si="2"/>
        <v>1.5500000000000045</v>
      </c>
      <c r="M17" s="41">
        <f t="shared" si="3"/>
        <v>2.9779058597502489E-2</v>
      </c>
      <c r="N17" s="42">
        <f t="shared" si="0"/>
        <v>284.65750000000082</v>
      </c>
      <c r="O17" s="43" t="s">
        <v>57</v>
      </c>
      <c r="P17" s="69" t="s">
        <v>67</v>
      </c>
      <c r="Q17" s="44"/>
      <c r="R17" s="45" t="s">
        <v>68</v>
      </c>
    </row>
    <row r="18" spans="1:18" s="46" customFormat="1" ht="24.95" customHeight="1" x14ac:dyDescent="0.25">
      <c r="A18" s="47">
        <v>7</v>
      </c>
      <c r="B18" s="35" t="s">
        <v>103</v>
      </c>
      <c r="C18" s="36">
        <v>283.24439999999998</v>
      </c>
      <c r="D18" s="37">
        <v>37.76</v>
      </c>
      <c r="E18" s="37">
        <v>39.299999999999997</v>
      </c>
      <c r="F18" s="37">
        <v>0</v>
      </c>
      <c r="G18" s="36">
        <v>248.46</v>
      </c>
      <c r="H18" s="38">
        <f t="shared" si="1"/>
        <v>1.0407838983050848</v>
      </c>
      <c r="I18" s="36">
        <v>382.62839999999983</v>
      </c>
      <c r="J18" s="37">
        <v>1.1399999999999999</v>
      </c>
      <c r="K18" s="39">
        <f t="shared" si="4"/>
        <v>3.0190677966101694E-2</v>
      </c>
      <c r="L18" s="40">
        <f>((E18+F18)-D18)-J18</f>
        <v>0.39999999999999925</v>
      </c>
      <c r="M18" s="41">
        <f t="shared" si="3"/>
        <v>1.0593220338983031E-2</v>
      </c>
      <c r="N18" s="42">
        <f t="shared" si="0"/>
        <v>99.383999999999816</v>
      </c>
      <c r="O18" s="43" t="s">
        <v>57</v>
      </c>
      <c r="P18" s="69" t="s">
        <v>235</v>
      </c>
      <c r="Q18" s="44"/>
      <c r="R18" s="45" t="s">
        <v>58</v>
      </c>
    </row>
    <row r="19" spans="1:18" s="46" customFormat="1" ht="24.95" customHeight="1" x14ac:dyDescent="0.25">
      <c r="A19" s="34">
        <v>8</v>
      </c>
      <c r="B19" s="35" t="s">
        <v>74</v>
      </c>
      <c r="C19" s="36">
        <v>279.9864</v>
      </c>
      <c r="D19" s="37">
        <v>103.16</v>
      </c>
      <c r="E19" s="37">
        <v>105.18</v>
      </c>
      <c r="F19" s="37">
        <v>0</v>
      </c>
      <c r="G19" s="36">
        <v>189.18</v>
      </c>
      <c r="H19" s="38">
        <f t="shared" si="1"/>
        <v>1.0195812330360605</v>
      </c>
      <c r="I19" s="36">
        <v>382.14360000000192</v>
      </c>
      <c r="J19" s="37">
        <v>1.48</v>
      </c>
      <c r="K19" s="39">
        <f t="shared" si="4"/>
        <v>1.4346645986816595E-2</v>
      </c>
      <c r="L19" s="40">
        <f t="shared" si="2"/>
        <v>0.54000000000001025</v>
      </c>
      <c r="M19" s="41">
        <f t="shared" si="3"/>
        <v>5.2345870492439923E-3</v>
      </c>
      <c r="N19" s="42">
        <f t="shared" si="0"/>
        <v>102.15720000000194</v>
      </c>
      <c r="O19" s="43" t="s">
        <v>57</v>
      </c>
      <c r="P19" s="69" t="s">
        <v>235</v>
      </c>
      <c r="Q19" s="44"/>
      <c r="R19" s="45" t="s">
        <v>75</v>
      </c>
    </row>
    <row r="20" spans="1:18" s="46" customFormat="1" ht="24.95" customHeight="1" x14ac:dyDescent="0.25">
      <c r="A20" s="47">
        <v>9</v>
      </c>
      <c r="B20" s="35" t="s">
        <v>69</v>
      </c>
      <c r="C20" s="36">
        <v>266.55059999999997</v>
      </c>
      <c r="D20" s="37">
        <v>49.52</v>
      </c>
      <c r="E20" s="37">
        <v>51.44</v>
      </c>
      <c r="F20" s="37">
        <v>0</v>
      </c>
      <c r="G20" s="36">
        <v>153.19</v>
      </c>
      <c r="H20" s="38">
        <f t="shared" si="1"/>
        <v>1.0387722132471728</v>
      </c>
      <c r="I20" s="36">
        <v>294.12479999999914</v>
      </c>
      <c r="J20" s="37">
        <v>1.74</v>
      </c>
      <c r="K20" s="39">
        <f t="shared" si="4"/>
        <v>3.5137318255250405E-2</v>
      </c>
      <c r="L20" s="40">
        <f t="shared" si="2"/>
        <v>0.17999999999999461</v>
      </c>
      <c r="M20" s="41">
        <f t="shared" si="3"/>
        <v>3.6348949919223464E-3</v>
      </c>
      <c r="N20" s="42">
        <f t="shared" si="0"/>
        <v>27.574199999999173</v>
      </c>
      <c r="O20" s="43" t="s">
        <v>57</v>
      </c>
      <c r="P20" s="69" t="s">
        <v>235</v>
      </c>
      <c r="Q20" s="44"/>
      <c r="R20" s="45" t="s">
        <v>70</v>
      </c>
    </row>
    <row r="21" spans="1:18" s="46" customFormat="1" ht="24.95" customHeight="1" thickBot="1" x14ac:dyDescent="0.3">
      <c r="A21" s="48">
        <v>10</v>
      </c>
      <c r="B21" s="49" t="s">
        <v>106</v>
      </c>
      <c r="C21" s="50">
        <v>259.536</v>
      </c>
      <c r="D21" s="51">
        <v>50.61</v>
      </c>
      <c r="E21" s="51">
        <v>50.86</v>
      </c>
      <c r="F21" s="51">
        <v>1.5</v>
      </c>
      <c r="G21" s="50">
        <v>216.28</v>
      </c>
      <c r="H21" s="52">
        <f t="shared" si="1"/>
        <v>1.0345781466113417</v>
      </c>
      <c r="I21" s="50">
        <v>378.49</v>
      </c>
      <c r="J21" s="51">
        <v>1.2</v>
      </c>
      <c r="K21" s="53">
        <f t="shared" si="4"/>
        <v>2.3710729104919975E-2</v>
      </c>
      <c r="L21" s="54">
        <f t="shared" si="2"/>
        <v>0.55000000000000004</v>
      </c>
      <c r="M21" s="55">
        <f t="shared" si="3"/>
        <v>1.0867417506421657E-2</v>
      </c>
      <c r="N21" s="56">
        <f t="shared" si="0"/>
        <v>118.95400000000001</v>
      </c>
      <c r="O21" s="57" t="s">
        <v>57</v>
      </c>
      <c r="P21" s="57" t="s">
        <v>235</v>
      </c>
      <c r="Q21" s="57"/>
      <c r="R21" s="58" t="s">
        <v>58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156</v>
      </c>
      <c r="C28" s="36">
        <v>3585.7152000000069</v>
      </c>
      <c r="D28" s="37">
        <v>529.24</v>
      </c>
      <c r="E28" s="37">
        <v>548.20000000000005</v>
      </c>
      <c r="F28" s="37">
        <v>0</v>
      </c>
      <c r="G28" s="36">
        <v>189.12</v>
      </c>
      <c r="H28" s="68">
        <f t="shared" ref="H28:H37" si="5">(E28+F28)/D28</f>
        <v>1.0358249565414557</v>
      </c>
      <c r="I28" s="36">
        <v>3585.7152000000069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18.960000000000036</v>
      </c>
      <c r="N28" s="41">
        <f t="shared" ref="N28:N37" si="9">M28/D28</f>
        <v>3.5824956541455739E-2</v>
      </c>
      <c r="O28" s="43" t="s">
        <v>83</v>
      </c>
      <c r="P28" s="69" t="s">
        <v>235</v>
      </c>
      <c r="Q28" s="44"/>
      <c r="R28" s="45" t="s">
        <v>157</v>
      </c>
    </row>
    <row r="29" spans="1:18" s="67" customFormat="1" ht="24.95" customHeight="1" x14ac:dyDescent="0.25">
      <c r="A29" s="47">
        <v>2</v>
      </c>
      <c r="B29" s="35" t="s">
        <v>94</v>
      </c>
      <c r="C29" s="36">
        <v>3368.1368000000011</v>
      </c>
      <c r="D29" s="37">
        <v>191.13</v>
      </c>
      <c r="E29" s="37">
        <v>191.15</v>
      </c>
      <c r="F29" s="37">
        <v>5.54</v>
      </c>
      <c r="G29" s="36">
        <v>605.78</v>
      </c>
      <c r="H29" s="68">
        <f t="shared" si="5"/>
        <v>1.0290901480667609</v>
      </c>
      <c r="I29" s="36">
        <v>3368.1368000000011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5.5600000000000023</v>
      </c>
      <c r="N29" s="41">
        <f t="shared" si="9"/>
        <v>2.9090148066760857E-2</v>
      </c>
      <c r="O29" s="43" t="s">
        <v>83</v>
      </c>
      <c r="P29" s="44" t="s">
        <v>60</v>
      </c>
      <c r="Q29" s="44" t="s">
        <v>87</v>
      </c>
      <c r="R29" s="45" t="s">
        <v>95</v>
      </c>
    </row>
    <row r="30" spans="1:18" s="67" customFormat="1" ht="24.95" customHeight="1" x14ac:dyDescent="0.25">
      <c r="A30" s="47">
        <v>3</v>
      </c>
      <c r="B30" s="35" t="s">
        <v>90</v>
      </c>
      <c r="C30" s="36">
        <v>2588.7114999999972</v>
      </c>
      <c r="D30" s="37">
        <v>47.74</v>
      </c>
      <c r="E30" s="37">
        <v>47.41</v>
      </c>
      <c r="F30" s="37">
        <v>4.28</v>
      </c>
      <c r="G30" s="36">
        <v>655.37</v>
      </c>
      <c r="H30" s="68">
        <f t="shared" si="5"/>
        <v>1.0827398408043569</v>
      </c>
      <c r="I30" s="36">
        <v>2588.7114999999972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3.9499999999999957</v>
      </c>
      <c r="N30" s="41">
        <f t="shared" si="9"/>
        <v>8.273984080435684E-2</v>
      </c>
      <c r="O30" s="43" t="s">
        <v>83</v>
      </c>
      <c r="P30" s="69" t="s">
        <v>235</v>
      </c>
      <c r="Q30" s="44"/>
      <c r="R30" s="45" t="s">
        <v>77</v>
      </c>
    </row>
    <row r="31" spans="1:18" s="67" customFormat="1" ht="24.95" customHeight="1" x14ac:dyDescent="0.25">
      <c r="A31" s="34">
        <v>4</v>
      </c>
      <c r="B31" s="35" t="s">
        <v>131</v>
      </c>
      <c r="C31" s="36">
        <v>2328.7000000000007</v>
      </c>
      <c r="D31" s="37">
        <v>14.95</v>
      </c>
      <c r="E31" s="37">
        <v>15.22</v>
      </c>
      <c r="F31" s="37">
        <v>2.92</v>
      </c>
      <c r="G31" s="36">
        <v>730</v>
      </c>
      <c r="H31" s="68">
        <f t="shared" si="5"/>
        <v>1.2133779264214049</v>
      </c>
      <c r="I31" s="36">
        <v>2328.7000000000007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3.1900000000000013</v>
      </c>
      <c r="N31" s="41">
        <f t="shared" si="9"/>
        <v>0.21337792642140477</v>
      </c>
      <c r="O31" s="43" t="s">
        <v>83</v>
      </c>
      <c r="P31" s="69" t="s">
        <v>235</v>
      </c>
      <c r="Q31" s="44"/>
      <c r="R31" s="45" t="s">
        <v>123</v>
      </c>
    </row>
    <row r="32" spans="1:18" s="67" customFormat="1" ht="24.95" customHeight="1" x14ac:dyDescent="0.25">
      <c r="A32" s="47">
        <v>5</v>
      </c>
      <c r="B32" s="35" t="s">
        <v>122</v>
      </c>
      <c r="C32" s="36">
        <v>2301.3980000000029</v>
      </c>
      <c r="D32" s="37">
        <v>14.95</v>
      </c>
      <c r="E32" s="37">
        <v>14.95</v>
      </c>
      <c r="F32" s="37">
        <v>1.1000000000000001</v>
      </c>
      <c r="G32" s="36">
        <v>2092.1799999999998</v>
      </c>
      <c r="H32" s="68">
        <f t="shared" si="5"/>
        <v>1.0735785953177259</v>
      </c>
      <c r="I32" s="36">
        <v>2301.3980000000029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1.1000000000000014</v>
      </c>
      <c r="N32" s="41">
        <f t="shared" si="9"/>
        <v>7.3578595317725856E-2</v>
      </c>
      <c r="O32" s="43" t="s">
        <v>83</v>
      </c>
      <c r="P32" s="69" t="s">
        <v>235</v>
      </c>
      <c r="Q32" s="44"/>
      <c r="R32" s="45" t="s">
        <v>123</v>
      </c>
    </row>
    <row r="33" spans="1:18" s="67" customFormat="1" ht="24.95" customHeight="1" x14ac:dyDescent="0.25">
      <c r="A33" s="34">
        <v>6</v>
      </c>
      <c r="B33" s="35" t="s">
        <v>109</v>
      </c>
      <c r="C33" s="36">
        <v>1792.6239999999996</v>
      </c>
      <c r="D33" s="37">
        <v>238.97</v>
      </c>
      <c r="E33" s="37">
        <v>238.35</v>
      </c>
      <c r="F33" s="37">
        <v>13</v>
      </c>
      <c r="G33" s="36">
        <v>144.80000000000001</v>
      </c>
      <c r="H33" s="68">
        <f t="shared" si="5"/>
        <v>1.0518056659831778</v>
      </c>
      <c r="I33" s="36">
        <v>1792.6239999999996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12.379999999999995</v>
      </c>
      <c r="N33" s="41">
        <f t="shared" si="9"/>
        <v>5.1805665983177783E-2</v>
      </c>
      <c r="O33" s="43" t="s">
        <v>83</v>
      </c>
      <c r="P33" s="69" t="s">
        <v>235</v>
      </c>
      <c r="Q33" s="44"/>
      <c r="R33" s="45" t="s">
        <v>58</v>
      </c>
    </row>
    <row r="34" spans="1:18" s="67" customFormat="1" ht="24.95" customHeight="1" x14ac:dyDescent="0.25">
      <c r="A34" s="47">
        <v>7</v>
      </c>
      <c r="B34" s="35" t="s">
        <v>185</v>
      </c>
      <c r="C34" s="36">
        <v>1791.3756000000001</v>
      </c>
      <c r="D34" s="37">
        <v>21.81</v>
      </c>
      <c r="E34" s="37">
        <v>21.91</v>
      </c>
      <c r="F34" s="37">
        <v>3.24</v>
      </c>
      <c r="G34" s="36">
        <v>536.34</v>
      </c>
      <c r="H34" s="68">
        <f t="shared" si="5"/>
        <v>1.153140761118753</v>
      </c>
      <c r="I34" s="36">
        <v>1791.3756000000001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3.34</v>
      </c>
      <c r="N34" s="41">
        <f t="shared" si="9"/>
        <v>0.15314076111875286</v>
      </c>
      <c r="O34" s="43" t="s">
        <v>83</v>
      </c>
      <c r="P34" s="69" t="s">
        <v>235</v>
      </c>
      <c r="Q34" s="44"/>
      <c r="R34" s="45" t="s">
        <v>93</v>
      </c>
    </row>
    <row r="35" spans="1:18" s="67" customFormat="1" ht="24.95" customHeight="1" x14ac:dyDescent="0.25">
      <c r="A35" s="34">
        <v>8</v>
      </c>
      <c r="B35" s="35" t="s">
        <v>127</v>
      </c>
      <c r="C35" s="36">
        <v>1757.9628000000018</v>
      </c>
      <c r="D35" s="37">
        <v>120.56</v>
      </c>
      <c r="E35" s="37">
        <v>120.68</v>
      </c>
      <c r="F35" s="37">
        <v>4</v>
      </c>
      <c r="G35" s="36">
        <v>426.69</v>
      </c>
      <c r="H35" s="68">
        <f t="shared" si="5"/>
        <v>1.0341738553417386</v>
      </c>
      <c r="I35" s="36">
        <v>1757.9628000000018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4.1200000000000045</v>
      </c>
      <c r="N35" s="41">
        <f t="shared" si="9"/>
        <v>3.4173855341738592E-2</v>
      </c>
      <c r="O35" s="43" t="s">
        <v>83</v>
      </c>
      <c r="P35" s="69" t="s">
        <v>235</v>
      </c>
      <c r="Q35" s="44"/>
      <c r="R35" s="45" t="s">
        <v>128</v>
      </c>
    </row>
    <row r="36" spans="1:18" s="67" customFormat="1" ht="24.95" customHeight="1" x14ac:dyDescent="0.25">
      <c r="A36" s="47">
        <v>9</v>
      </c>
      <c r="B36" s="35" t="s">
        <v>82</v>
      </c>
      <c r="C36" s="36">
        <v>1720.5080999999918</v>
      </c>
      <c r="D36" s="37">
        <v>809.63</v>
      </c>
      <c r="E36" s="37">
        <v>810.3</v>
      </c>
      <c r="F36" s="37">
        <v>13.64</v>
      </c>
      <c r="G36" s="36">
        <v>147.43</v>
      </c>
      <c r="H36" s="68">
        <f t="shared" si="5"/>
        <v>1.0176747403134765</v>
      </c>
      <c r="I36" s="36">
        <v>2109.7232999999919</v>
      </c>
      <c r="J36" s="37">
        <v>2.64</v>
      </c>
      <c r="K36" s="39">
        <f t="shared" si="6"/>
        <v>3.2607487370774307E-3</v>
      </c>
      <c r="L36" s="42">
        <f t="shared" si="7"/>
        <v>389.21520000000004</v>
      </c>
      <c r="M36" s="40">
        <f t="shared" si="8"/>
        <v>11.669999999999945</v>
      </c>
      <c r="N36" s="41">
        <f t="shared" si="9"/>
        <v>1.4413991576399028E-2</v>
      </c>
      <c r="O36" s="43" t="s">
        <v>97</v>
      </c>
      <c r="P36" s="69" t="s">
        <v>84</v>
      </c>
      <c r="Q36" s="44" t="s">
        <v>85</v>
      </c>
      <c r="R36" s="45" t="s">
        <v>58</v>
      </c>
    </row>
    <row r="37" spans="1:18" s="67" customFormat="1" ht="24.95" customHeight="1" thickBot="1" x14ac:dyDescent="0.3">
      <c r="A37" s="48">
        <v>10</v>
      </c>
      <c r="B37" s="49" t="s">
        <v>124</v>
      </c>
      <c r="C37" s="50">
        <v>1662.216000000004</v>
      </c>
      <c r="D37" s="51">
        <v>48.91</v>
      </c>
      <c r="E37" s="51">
        <v>48.25</v>
      </c>
      <c r="F37" s="51">
        <v>3.06</v>
      </c>
      <c r="G37" s="50">
        <v>692.59</v>
      </c>
      <c r="H37" s="70">
        <f t="shared" si="5"/>
        <v>1.0490697198936825</v>
      </c>
      <c r="I37" s="50">
        <v>1662.216000000004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2.4000000000000057</v>
      </c>
      <c r="N37" s="55">
        <f t="shared" si="9"/>
        <v>4.9069719893682397E-2</v>
      </c>
      <c r="O37" s="57" t="s">
        <v>97</v>
      </c>
      <c r="P37" s="71" t="s">
        <v>235</v>
      </c>
      <c r="Q37" s="72"/>
      <c r="R37" s="58" t="s">
        <v>121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73</v>
      </c>
      <c r="C44" s="36">
        <v>468.87390000000005</v>
      </c>
      <c r="D44" s="78">
        <f t="shared" ref="D44:D53" si="10">C44/$L$5</f>
        <v>0.15825402977893022</v>
      </c>
      <c r="E44" s="79"/>
    </row>
    <row r="45" spans="1:18" s="80" customFormat="1" ht="24.95" customHeight="1" x14ac:dyDescent="0.25">
      <c r="A45" s="81">
        <v>2</v>
      </c>
      <c r="B45" s="35" t="s">
        <v>82</v>
      </c>
      <c r="C45" s="36">
        <v>389.21520000000004</v>
      </c>
      <c r="D45" s="78">
        <f t="shared" si="10"/>
        <v>0.13136767444554343</v>
      </c>
      <c r="E45" s="79"/>
    </row>
    <row r="46" spans="1:18" s="80" customFormat="1" ht="24.95" customHeight="1" x14ac:dyDescent="0.25">
      <c r="A46" s="81">
        <v>3</v>
      </c>
      <c r="B46" s="35" t="s">
        <v>103</v>
      </c>
      <c r="C46" s="36">
        <v>283.24439999999998</v>
      </c>
      <c r="D46" s="78">
        <f t="shared" si="10"/>
        <v>9.5600475335298502E-2</v>
      </c>
      <c r="E46" s="79"/>
    </row>
    <row r="47" spans="1:18" s="80" customFormat="1" ht="24.95" customHeight="1" x14ac:dyDescent="0.25">
      <c r="A47" s="77">
        <v>4</v>
      </c>
      <c r="B47" s="35" t="s">
        <v>106</v>
      </c>
      <c r="C47" s="36">
        <v>259.536</v>
      </c>
      <c r="D47" s="78">
        <f t="shared" si="10"/>
        <v>8.7598430777879571E-2</v>
      </c>
      <c r="E47" s="79"/>
    </row>
    <row r="48" spans="1:18" s="80" customFormat="1" ht="24.95" customHeight="1" x14ac:dyDescent="0.25">
      <c r="A48" s="81">
        <v>5</v>
      </c>
      <c r="B48" s="35" t="s">
        <v>104</v>
      </c>
      <c r="C48" s="36">
        <v>228.14999999999998</v>
      </c>
      <c r="D48" s="78">
        <f t="shared" si="10"/>
        <v>7.7005047399872156E-2</v>
      </c>
      <c r="E48" s="79"/>
    </row>
    <row r="49" spans="1:5" s="80" customFormat="1" ht="24.95" customHeight="1" x14ac:dyDescent="0.25">
      <c r="A49" s="77">
        <v>6</v>
      </c>
      <c r="B49" s="35" t="s">
        <v>110</v>
      </c>
      <c r="C49" s="36">
        <v>215.26119999999997</v>
      </c>
      <c r="D49" s="78">
        <f t="shared" si="10"/>
        <v>7.265482756674714E-2</v>
      </c>
      <c r="E49" s="79"/>
    </row>
    <row r="50" spans="1:5" s="80" customFormat="1" ht="24.95" customHeight="1" x14ac:dyDescent="0.25">
      <c r="A50" s="81">
        <v>7</v>
      </c>
      <c r="B50" s="35" t="s">
        <v>56</v>
      </c>
      <c r="C50" s="36">
        <v>191.76</v>
      </c>
      <c r="D50" s="78">
        <f t="shared" si="10"/>
        <v>6.4722717025638782E-2</v>
      </c>
      <c r="E50" s="79"/>
    </row>
    <row r="51" spans="1:5" s="80" customFormat="1" ht="24.95" customHeight="1" x14ac:dyDescent="0.25">
      <c r="A51" s="77">
        <v>8</v>
      </c>
      <c r="B51" s="35" t="s">
        <v>105</v>
      </c>
      <c r="C51" s="36">
        <v>188.65</v>
      </c>
      <c r="D51" s="78">
        <f t="shared" si="10"/>
        <v>6.3673031742212949E-2</v>
      </c>
      <c r="E51" s="79"/>
    </row>
    <row r="52" spans="1:5" s="80" customFormat="1" ht="24.95" customHeight="1" x14ac:dyDescent="0.25">
      <c r="A52" s="81">
        <v>9</v>
      </c>
      <c r="B52" s="35" t="s">
        <v>147</v>
      </c>
      <c r="C52" s="36">
        <v>174.65520000000001</v>
      </c>
      <c r="D52" s="78">
        <f t="shared" si="10"/>
        <v>5.894951547067348E-2</v>
      </c>
      <c r="E52" s="79"/>
    </row>
    <row r="53" spans="1:5" s="80" customFormat="1" ht="24.95" customHeight="1" thickBot="1" x14ac:dyDescent="0.3">
      <c r="A53" s="82">
        <v>10</v>
      </c>
      <c r="B53" s="49" t="s">
        <v>198</v>
      </c>
      <c r="C53" s="50">
        <v>153.19109999999998</v>
      </c>
      <c r="D53" s="83">
        <f t="shared" si="10"/>
        <v>5.1704965666178201E-2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815" priority="34" operator="containsText" text="中華">
      <formula>NOT(ISERROR(SEARCH("中華",A12)))</formula>
    </cfRule>
    <cfRule type="containsText" dxfId="814" priority="33" operator="containsText" text="湯凍">
      <formula>NOT(ISERROR(SEARCH("湯凍",A12)))</formula>
    </cfRule>
    <cfRule type="containsText" dxfId="813" priority="32" operator="containsText" text=")川燙小青花菜">
      <formula>NOT(ISERROR(SEARCH(")川燙小青花菜",A12)))</formula>
    </cfRule>
    <cfRule type="containsText" dxfId="812" priority="31" operator="containsText" text="青蔥">
      <formula>NOT(ISERROR(SEARCH("青蔥",A12)))</formula>
    </cfRule>
    <cfRule type="containsText" dxfId="811" priority="30" operator="containsText" text="白醬">
      <formula>NOT(ISERROR(SEARCH("白醬",A12)))</formula>
    </cfRule>
    <cfRule type="containsText" dxfId="810" priority="29" operator="containsText" text="024">
      <formula>NOT(ISERROR(SEARCH("024",A12)))</formula>
    </cfRule>
    <cfRule type="containsText" dxfId="809" priority="28" operator="containsText" text="煮白細麵生(方#12)">
      <formula>NOT(ISERROR(SEARCH("煮白細麵生(方#12)",A12)))</formula>
    </cfRule>
    <cfRule type="containsText" dxfId="808" priority="27" operator="containsText" text="綠豆芽">
      <formula>NOT(ISERROR(SEARCH("綠豆芽",A12)))</formula>
    </cfRule>
  </conditionalFormatting>
  <conditionalFormatting sqref="A28:A37">
    <cfRule type="containsText" dxfId="807" priority="5" operator="containsText" text="綠豆芽">
      <formula>NOT(ISERROR(SEARCH("綠豆芽",A28)))</formula>
    </cfRule>
    <cfRule type="containsText" dxfId="806" priority="6" operator="containsText" text="煮白細麵生(方#12)">
      <formula>NOT(ISERROR(SEARCH("煮白細麵生(方#12)",A28)))</formula>
    </cfRule>
    <cfRule type="containsText" dxfId="805" priority="7" operator="containsText" text="024">
      <formula>NOT(ISERROR(SEARCH("024",A28)))</formula>
    </cfRule>
    <cfRule type="containsText" dxfId="804" priority="8" operator="containsText" text="白醬">
      <formula>NOT(ISERROR(SEARCH("白醬",A28)))</formula>
    </cfRule>
    <cfRule type="containsText" dxfId="803" priority="9" operator="containsText" text="青蔥">
      <formula>NOT(ISERROR(SEARCH("青蔥",A28)))</formula>
    </cfRule>
    <cfRule type="containsText" dxfId="802" priority="10" operator="containsText" text=")川燙小青花菜">
      <formula>NOT(ISERROR(SEARCH(")川燙小青花菜",A28)))</formula>
    </cfRule>
    <cfRule type="containsText" dxfId="801" priority="11" operator="containsText" text="湯凍">
      <formula>NOT(ISERROR(SEARCH("湯凍",A28)))</formula>
    </cfRule>
    <cfRule type="containsText" dxfId="800" priority="12" operator="containsText" text="中華">
      <formula>NOT(ISERROR(SEARCH("中華",A28)))</formula>
    </cfRule>
  </conditionalFormatting>
  <conditionalFormatting sqref="A44:A53">
    <cfRule type="containsText" dxfId="799" priority="17" operator="containsText" text="綠豆芽">
      <formula>NOT(ISERROR(SEARCH("綠豆芽",A44)))</formula>
    </cfRule>
    <cfRule type="containsText" dxfId="798" priority="18" operator="containsText" text="煮白細麵生(方#12)">
      <formula>NOT(ISERROR(SEARCH("煮白細麵生(方#12)",A44)))</formula>
    </cfRule>
    <cfRule type="containsText" dxfId="797" priority="19" operator="containsText" text="024">
      <formula>NOT(ISERROR(SEARCH("024",A44)))</formula>
    </cfRule>
    <cfRule type="containsText" dxfId="796" priority="20" operator="containsText" text="白醬">
      <formula>NOT(ISERROR(SEARCH("白醬",A44)))</formula>
    </cfRule>
    <cfRule type="containsText" dxfId="795" priority="21" operator="containsText" text="青蔥">
      <formula>NOT(ISERROR(SEARCH("青蔥",A44)))</formula>
    </cfRule>
    <cfRule type="containsText" dxfId="794" priority="22" operator="containsText" text=")川燙小青花菜">
      <formula>NOT(ISERROR(SEARCH(")川燙小青花菜",A44)))</formula>
    </cfRule>
    <cfRule type="containsText" dxfId="793" priority="23" operator="containsText" text="湯凍">
      <formula>NOT(ISERROR(SEARCH("湯凍",A44)))</formula>
    </cfRule>
    <cfRule type="containsText" dxfId="792" priority="24" operator="containsText" text="中華">
      <formula>NOT(ISERROR(SEARCH("中華",A44)))</formula>
    </cfRule>
  </conditionalFormatting>
  <conditionalFormatting sqref="D44:D53">
    <cfRule type="cellIs" dxfId="791" priority="16" operator="greaterThan">
      <formula>0.146</formula>
    </cfRule>
  </conditionalFormatting>
  <conditionalFormatting sqref="E5">
    <cfRule type="cellIs" dxfId="790" priority="25" operator="greaterThan">
      <formula>0.072</formula>
    </cfRule>
    <cfRule type="cellIs" dxfId="789" priority="26" operator="greaterThan">
      <formula>7.2</formula>
    </cfRule>
    <cfRule type="cellIs" dxfId="788" priority="14" operator="greaterThan">
      <formula>0.0025</formula>
    </cfRule>
  </conditionalFormatting>
  <conditionalFormatting sqref="G5">
    <cfRule type="cellIs" dxfId="787" priority="3" operator="greaterThan">
      <formula>7.2</formula>
    </cfRule>
    <cfRule type="cellIs" dxfId="786" priority="2" operator="greaterThan">
      <formula>0.072</formula>
    </cfRule>
    <cfRule type="cellIs" dxfId="785" priority="1" operator="greaterThan">
      <formula>0.0025</formula>
    </cfRule>
  </conditionalFormatting>
  <conditionalFormatting sqref="H12:H22">
    <cfRule type="cellIs" dxfId="784" priority="15" operator="greaterThan">
      <formula>1.1</formula>
    </cfRule>
  </conditionalFormatting>
  <conditionalFormatting sqref="H28:H37">
    <cfRule type="cellIs" dxfId="783" priority="4" operator="greaterThan">
      <formula>1.1</formula>
    </cfRule>
  </conditionalFormatting>
  <conditionalFormatting sqref="I5">
    <cfRule type="cellIs" dxfId="78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FBB5-AF7B-439E-BCE7-F0B29982F1E2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45922</v>
      </c>
      <c r="B3" s="149"/>
      <c r="C3" s="150">
        <v>7692372.9400000004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18648.763200000005</v>
      </c>
      <c r="E5" s="24">
        <f>D5/C3</f>
        <v>2.4243186524443268E-3</v>
      </c>
      <c r="F5" s="23">
        <v>55273.625699999982</v>
      </c>
      <c r="G5" s="25">
        <f>F5/C3</f>
        <v>7.1855103920637495E-3</v>
      </c>
      <c r="H5" s="26">
        <f>SUM(C12:C21)</f>
        <v>4858.09</v>
      </c>
      <c r="I5" s="27">
        <f>H5/D5</f>
        <v>0.26050467518403575</v>
      </c>
      <c r="J5" s="26">
        <f>SUM(C28:C37)</f>
        <v>17210.060199999967</v>
      </c>
      <c r="K5" s="28">
        <f>J5/F5</f>
        <v>0.31136115972214889</v>
      </c>
      <c r="L5" s="29">
        <v>3705.7460000000001</v>
      </c>
      <c r="M5" s="30">
        <f>L5/D5</f>
        <v>0.19871269532769867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73</v>
      </c>
      <c r="C12" s="36">
        <v>1090.8817000000001</v>
      </c>
      <c r="D12" s="37">
        <v>390.44</v>
      </c>
      <c r="E12" s="37">
        <v>397.35</v>
      </c>
      <c r="F12" s="37">
        <v>0</v>
      </c>
      <c r="G12" s="36">
        <v>157.87</v>
      </c>
      <c r="H12" s="38">
        <f>(E12+F12)/D12</f>
        <v>1.0176979817641636</v>
      </c>
      <c r="I12" s="36">
        <v>1090.881700000004</v>
      </c>
      <c r="J12" s="37">
        <v>6.91</v>
      </c>
      <c r="K12" s="39">
        <f>J12/D12</f>
        <v>1.7697981764163508E-2</v>
      </c>
      <c r="L12" s="40">
        <f>((E12+F12)-D12)-J12</f>
        <v>2.4868995751603507E-14</v>
      </c>
      <c r="M12" s="41">
        <f>L12/D12</f>
        <v>6.3694794979007036E-17</v>
      </c>
      <c r="N12" s="42">
        <f t="shared" ref="N12:N21" si="0">L12*G12</f>
        <v>3.9260683593056461E-12</v>
      </c>
      <c r="O12" s="43" t="s">
        <v>57</v>
      </c>
      <c r="P12" s="69" t="s">
        <v>235</v>
      </c>
      <c r="Q12" s="44"/>
      <c r="R12" s="45" t="s">
        <v>58</v>
      </c>
    </row>
    <row r="13" spans="1:18" s="46" customFormat="1" ht="24.95" customHeight="1" x14ac:dyDescent="0.25">
      <c r="A13" s="47">
        <v>2</v>
      </c>
      <c r="B13" s="35" t="s">
        <v>147</v>
      </c>
      <c r="C13" s="36">
        <v>565.95920000000001</v>
      </c>
      <c r="D13" s="37">
        <v>252.72</v>
      </c>
      <c r="E13" s="37">
        <v>258.64999999999998</v>
      </c>
      <c r="F13" s="37">
        <v>0</v>
      </c>
      <c r="G13" s="36">
        <v>95.44</v>
      </c>
      <c r="H13" s="38">
        <f t="shared" ref="H13:H21" si="1">(E13+F13)/D13</f>
        <v>1.0234647040202596</v>
      </c>
      <c r="I13" s="36">
        <v>565.95919999999796</v>
      </c>
      <c r="J13" s="37">
        <v>5.93</v>
      </c>
      <c r="K13" s="39">
        <f>J13/D13</f>
        <v>2.3464704020259575E-2</v>
      </c>
      <c r="L13" s="40">
        <f t="shared" ref="L13:L21" si="2">((E13+F13)-D13)-J13</f>
        <v>-2.1316282072803006E-14</v>
      </c>
      <c r="M13" s="41">
        <f t="shared" ref="M13:M21" si="3">L13/D13</f>
        <v>-8.4347428271616837E-17</v>
      </c>
      <c r="N13" s="42">
        <f t="shared" si="0"/>
        <v>-2.0344259610283188E-12</v>
      </c>
      <c r="O13" s="43" t="s">
        <v>57</v>
      </c>
      <c r="P13" s="69" t="s">
        <v>235</v>
      </c>
      <c r="Q13" s="44"/>
      <c r="R13" s="45" t="s">
        <v>58</v>
      </c>
    </row>
    <row r="14" spans="1:18" s="46" customFormat="1" ht="24.95" customHeight="1" x14ac:dyDescent="0.25">
      <c r="A14" s="47">
        <v>3</v>
      </c>
      <c r="B14" s="35" t="s">
        <v>135</v>
      </c>
      <c r="C14" s="36">
        <v>556.85519999999997</v>
      </c>
      <c r="D14" s="37">
        <v>31.28</v>
      </c>
      <c r="E14" s="37">
        <v>33.950000000000003</v>
      </c>
      <c r="F14" s="37">
        <v>0</v>
      </c>
      <c r="G14" s="36">
        <v>208.56</v>
      </c>
      <c r="H14" s="38">
        <f>(E14+F14)/D14</f>
        <v>1.0853580562659848</v>
      </c>
      <c r="I14" s="36">
        <v>556.85520000000031</v>
      </c>
      <c r="J14" s="37">
        <v>2.67</v>
      </c>
      <c r="K14" s="39">
        <f t="shared" ref="K14:K21" si="4">J14/D14</f>
        <v>8.5358056265984653E-2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69" t="s">
        <v>67</v>
      </c>
      <c r="Q14" s="44"/>
      <c r="R14" s="45" t="s">
        <v>136</v>
      </c>
    </row>
    <row r="15" spans="1:18" s="46" customFormat="1" ht="24.95" customHeight="1" x14ac:dyDescent="0.25">
      <c r="A15" s="34">
        <v>4</v>
      </c>
      <c r="B15" s="35" t="s">
        <v>59</v>
      </c>
      <c r="C15" s="36">
        <v>463.5</v>
      </c>
      <c r="D15" s="37">
        <v>4130</v>
      </c>
      <c r="E15" s="37">
        <v>4160</v>
      </c>
      <c r="F15" s="37">
        <v>0</v>
      </c>
      <c r="G15" s="36">
        <v>15.45</v>
      </c>
      <c r="H15" s="38">
        <f>(E15+F15)/D15</f>
        <v>1.0072639225181599</v>
      </c>
      <c r="I15" s="36">
        <v>463.5</v>
      </c>
      <c r="J15" s="37">
        <v>30</v>
      </c>
      <c r="K15" s="39">
        <f t="shared" si="4"/>
        <v>7.2639225181598066E-3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60</v>
      </c>
      <c r="Q15" s="44" t="s">
        <v>61</v>
      </c>
      <c r="R15" s="45" t="s">
        <v>62</v>
      </c>
    </row>
    <row r="16" spans="1:18" s="46" customFormat="1" ht="24.95" customHeight="1" x14ac:dyDescent="0.25">
      <c r="A16" s="47">
        <v>5</v>
      </c>
      <c r="B16" s="35" t="s">
        <v>114</v>
      </c>
      <c r="C16" s="36">
        <v>463.26089999999994</v>
      </c>
      <c r="D16" s="37">
        <v>107.02</v>
      </c>
      <c r="E16" s="37">
        <v>111.67</v>
      </c>
      <c r="F16" s="37">
        <v>0</v>
      </c>
      <c r="G16" s="36">
        <v>141.66999999999999</v>
      </c>
      <c r="H16" s="38">
        <f t="shared" si="1"/>
        <v>1.043449822463091</v>
      </c>
      <c r="I16" s="36">
        <v>658.76550000000077</v>
      </c>
      <c r="J16" s="37">
        <v>3.27</v>
      </c>
      <c r="K16" s="39">
        <f t="shared" si="4"/>
        <v>3.0555036441786584E-2</v>
      </c>
      <c r="L16" s="40">
        <f t="shared" si="2"/>
        <v>1.3800000000000057</v>
      </c>
      <c r="M16" s="41">
        <f t="shared" si="3"/>
        <v>1.2894786021304483E-2</v>
      </c>
      <c r="N16" s="42">
        <f t="shared" si="0"/>
        <v>195.50460000000078</v>
      </c>
      <c r="O16" s="43" t="s">
        <v>57</v>
      </c>
      <c r="P16" s="69" t="s">
        <v>235</v>
      </c>
      <c r="Q16" s="44"/>
      <c r="R16" s="45" t="s">
        <v>95</v>
      </c>
    </row>
    <row r="17" spans="1:18" s="46" customFormat="1" ht="24.95" customHeight="1" x14ac:dyDescent="0.25">
      <c r="A17" s="34">
        <v>6</v>
      </c>
      <c r="B17" s="35" t="s">
        <v>127</v>
      </c>
      <c r="C17" s="36">
        <v>358.4196</v>
      </c>
      <c r="D17" s="37">
        <v>122.99</v>
      </c>
      <c r="E17" s="37">
        <v>123.83</v>
      </c>
      <c r="F17" s="37">
        <v>0</v>
      </c>
      <c r="G17" s="36">
        <v>426.69</v>
      </c>
      <c r="H17" s="38">
        <f t="shared" si="1"/>
        <v>1.0068298235628914</v>
      </c>
      <c r="I17" s="36">
        <v>358.41960000000148</v>
      </c>
      <c r="J17" s="37">
        <v>0.84</v>
      </c>
      <c r="K17" s="39">
        <f t="shared" si="4"/>
        <v>6.8298235628912922E-3</v>
      </c>
      <c r="L17" s="40">
        <f t="shared" si="2"/>
        <v>3.4416913763379853E-15</v>
      </c>
      <c r="M17" s="41">
        <f t="shared" si="3"/>
        <v>2.7983505783705876E-17</v>
      </c>
      <c r="N17" s="42">
        <f t="shared" si="0"/>
        <v>1.4685352933696549E-12</v>
      </c>
      <c r="O17" s="43" t="s">
        <v>57</v>
      </c>
      <c r="P17" s="69" t="s">
        <v>235</v>
      </c>
      <c r="Q17" s="44"/>
      <c r="R17" s="45" t="s">
        <v>128</v>
      </c>
    </row>
    <row r="18" spans="1:18" s="46" customFormat="1" ht="24.95" customHeight="1" x14ac:dyDescent="0.25">
      <c r="A18" s="47">
        <v>7</v>
      </c>
      <c r="B18" s="35" t="s">
        <v>181</v>
      </c>
      <c r="C18" s="36">
        <v>345.4332</v>
      </c>
      <c r="D18" s="37">
        <v>31.7</v>
      </c>
      <c r="E18" s="37">
        <v>31.6</v>
      </c>
      <c r="F18" s="37">
        <v>3.52</v>
      </c>
      <c r="G18" s="36">
        <v>120.36</v>
      </c>
      <c r="H18" s="38">
        <f t="shared" si="1"/>
        <v>1.1078864353312305</v>
      </c>
      <c r="I18" s="36">
        <v>411.6312000000006</v>
      </c>
      <c r="J18" s="37">
        <v>2.87</v>
      </c>
      <c r="K18" s="39">
        <f t="shared" si="4"/>
        <v>9.0536277602523668E-2</v>
      </c>
      <c r="L18" s="40">
        <f>((E18+F18)-D18)-J18</f>
        <v>0.55000000000000515</v>
      </c>
      <c r="M18" s="41">
        <f t="shared" si="3"/>
        <v>1.7350157728706787E-2</v>
      </c>
      <c r="N18" s="42">
        <f t="shared" si="0"/>
        <v>66.198000000000619</v>
      </c>
      <c r="O18" s="43" t="s">
        <v>57</v>
      </c>
      <c r="P18" s="69" t="s">
        <v>67</v>
      </c>
      <c r="Q18" s="44"/>
      <c r="R18" s="45" t="s">
        <v>182</v>
      </c>
    </row>
    <row r="19" spans="1:18" s="46" customFormat="1" ht="24.95" customHeight="1" x14ac:dyDescent="0.25">
      <c r="A19" s="34">
        <v>8</v>
      </c>
      <c r="B19" s="35" t="s">
        <v>103</v>
      </c>
      <c r="C19" s="36">
        <v>340.39020000000005</v>
      </c>
      <c r="D19" s="37">
        <v>38.380000000000003</v>
      </c>
      <c r="E19" s="37">
        <v>40.74</v>
      </c>
      <c r="F19" s="37">
        <v>0</v>
      </c>
      <c r="G19" s="36">
        <v>248.46</v>
      </c>
      <c r="H19" s="38">
        <f t="shared" si="1"/>
        <v>1.061490359562272</v>
      </c>
      <c r="I19" s="36">
        <v>586.36559999999986</v>
      </c>
      <c r="J19" s="37">
        <v>1.37</v>
      </c>
      <c r="K19" s="39">
        <f t="shared" si="4"/>
        <v>3.5695674830640962E-2</v>
      </c>
      <c r="L19" s="40">
        <f t="shared" si="2"/>
        <v>0.98999999999999932</v>
      </c>
      <c r="M19" s="41">
        <f t="shared" si="3"/>
        <v>2.5794684731631039E-2</v>
      </c>
      <c r="N19" s="42">
        <f t="shared" si="0"/>
        <v>245.97539999999984</v>
      </c>
      <c r="O19" s="43" t="s">
        <v>57</v>
      </c>
      <c r="P19" s="69" t="s">
        <v>67</v>
      </c>
      <c r="Q19" s="44"/>
      <c r="R19" s="45" t="s">
        <v>58</v>
      </c>
    </row>
    <row r="20" spans="1:18" s="46" customFormat="1" ht="24.95" customHeight="1" x14ac:dyDescent="0.25">
      <c r="A20" s="47">
        <v>9</v>
      </c>
      <c r="B20" s="35" t="s">
        <v>194</v>
      </c>
      <c r="C20" s="36">
        <v>337.73599999999999</v>
      </c>
      <c r="D20" s="37">
        <v>157.09</v>
      </c>
      <c r="E20" s="37">
        <v>160.05000000000001</v>
      </c>
      <c r="F20" s="37">
        <v>0</v>
      </c>
      <c r="G20" s="36">
        <v>114.1</v>
      </c>
      <c r="H20" s="38">
        <f t="shared" si="1"/>
        <v>1.0188427016360049</v>
      </c>
      <c r="I20" s="36">
        <v>337.7360000000009</v>
      </c>
      <c r="J20" s="37">
        <v>2.96</v>
      </c>
      <c r="K20" s="39">
        <f t="shared" si="4"/>
        <v>1.8842701636004839E-2</v>
      </c>
      <c r="L20" s="40">
        <f t="shared" si="2"/>
        <v>7.9936057773011271E-15</v>
      </c>
      <c r="M20" s="41">
        <f t="shared" si="3"/>
        <v>5.0885516438354617E-17</v>
      </c>
      <c r="N20" s="42">
        <f t="shared" si="0"/>
        <v>9.1207041919005848E-13</v>
      </c>
      <c r="O20" s="43" t="s">
        <v>57</v>
      </c>
      <c r="P20" s="69" t="s">
        <v>235</v>
      </c>
      <c r="Q20" s="44"/>
      <c r="R20" s="45" t="s">
        <v>195</v>
      </c>
    </row>
    <row r="21" spans="1:18" s="46" customFormat="1" ht="24.95" customHeight="1" thickBot="1" x14ac:dyDescent="0.3">
      <c r="A21" s="48">
        <v>10</v>
      </c>
      <c r="B21" s="49" t="s">
        <v>177</v>
      </c>
      <c r="C21" s="50">
        <v>335.654</v>
      </c>
      <c r="D21" s="51">
        <v>60.49</v>
      </c>
      <c r="E21" s="51">
        <v>62.39</v>
      </c>
      <c r="F21" s="51">
        <v>0</v>
      </c>
      <c r="G21" s="50">
        <v>176.66</v>
      </c>
      <c r="H21" s="52">
        <f t="shared" si="1"/>
        <v>1.0314101504380888</v>
      </c>
      <c r="I21" s="50">
        <v>335.65399999999977</v>
      </c>
      <c r="J21" s="51">
        <v>1.9</v>
      </c>
      <c r="K21" s="53">
        <f t="shared" si="4"/>
        <v>3.1410150438088938E-2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7" t="s">
        <v>235</v>
      </c>
      <c r="Q21" s="57"/>
      <c r="R21" s="58" t="s">
        <v>178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82</v>
      </c>
      <c r="C28" s="36">
        <v>2265.9991000000009</v>
      </c>
      <c r="D28" s="37">
        <v>819.64</v>
      </c>
      <c r="E28" s="37">
        <v>817.95</v>
      </c>
      <c r="F28" s="37">
        <v>17.059999999999999</v>
      </c>
      <c r="G28" s="36">
        <v>147.43</v>
      </c>
      <c r="H28" s="68">
        <f t="shared" ref="H28:H37" si="5">(E28+F28)/D28</f>
        <v>1.0187521350836952</v>
      </c>
      <c r="I28" s="36">
        <v>2265.9991000000009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15.370000000000005</v>
      </c>
      <c r="N28" s="41">
        <f t="shared" ref="N28:N37" si="9">M28/D28</f>
        <v>1.8752135083695286E-2</v>
      </c>
      <c r="O28" s="43" t="s">
        <v>83</v>
      </c>
      <c r="P28" s="69" t="s">
        <v>84</v>
      </c>
      <c r="Q28" s="44" t="s">
        <v>85</v>
      </c>
      <c r="R28" s="45" t="s">
        <v>58</v>
      </c>
    </row>
    <row r="29" spans="1:18" s="67" customFormat="1" ht="24.95" customHeight="1" x14ac:dyDescent="0.25">
      <c r="A29" s="47">
        <v>2</v>
      </c>
      <c r="B29" s="35" t="s">
        <v>90</v>
      </c>
      <c r="C29" s="36">
        <v>2254.4727999999986</v>
      </c>
      <c r="D29" s="37">
        <v>50.06</v>
      </c>
      <c r="E29" s="37">
        <v>50.02</v>
      </c>
      <c r="F29" s="37">
        <v>3.48</v>
      </c>
      <c r="G29" s="36">
        <v>655.37</v>
      </c>
      <c r="H29" s="68">
        <f t="shared" si="5"/>
        <v>1.0687175389532559</v>
      </c>
      <c r="I29" s="36">
        <v>2254.4727999999986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3.4399999999999977</v>
      </c>
      <c r="N29" s="41">
        <f t="shared" si="9"/>
        <v>6.8717538953256038E-2</v>
      </c>
      <c r="O29" s="43" t="s">
        <v>83</v>
      </c>
      <c r="P29" s="69" t="s">
        <v>235</v>
      </c>
      <c r="Q29" s="44"/>
      <c r="R29" s="45" t="s">
        <v>77</v>
      </c>
    </row>
    <row r="30" spans="1:18" s="67" customFormat="1" ht="24.95" customHeight="1" x14ac:dyDescent="0.25">
      <c r="A30" s="47">
        <v>3</v>
      </c>
      <c r="B30" s="35" t="s">
        <v>94</v>
      </c>
      <c r="C30" s="36">
        <v>2156.5767999999839</v>
      </c>
      <c r="D30" s="37">
        <v>191.74</v>
      </c>
      <c r="E30" s="37">
        <v>190.14</v>
      </c>
      <c r="F30" s="37">
        <v>5.16</v>
      </c>
      <c r="G30" s="36">
        <v>605.78</v>
      </c>
      <c r="H30" s="68">
        <f t="shared" si="5"/>
        <v>1.0185668092208198</v>
      </c>
      <c r="I30" s="36">
        <v>2156.5767999999839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3.5599999999999739</v>
      </c>
      <c r="N30" s="41">
        <f t="shared" si="9"/>
        <v>1.8566809220819724E-2</v>
      </c>
      <c r="O30" s="43" t="s">
        <v>83</v>
      </c>
      <c r="P30" s="44" t="s">
        <v>60</v>
      </c>
      <c r="Q30" s="44" t="s">
        <v>87</v>
      </c>
      <c r="R30" s="45" t="s">
        <v>95</v>
      </c>
    </row>
    <row r="31" spans="1:18" s="67" customFormat="1" ht="24.95" customHeight="1" x14ac:dyDescent="0.25">
      <c r="A31" s="34">
        <v>4</v>
      </c>
      <c r="B31" s="35" t="s">
        <v>86</v>
      </c>
      <c r="C31" s="36">
        <v>1944.290399999983</v>
      </c>
      <c r="D31" s="37">
        <v>4361.25</v>
      </c>
      <c r="E31" s="37">
        <v>4345.83</v>
      </c>
      <c r="F31" s="37">
        <v>66.900000000000006</v>
      </c>
      <c r="G31" s="36">
        <v>39.39</v>
      </c>
      <c r="H31" s="68">
        <f t="shared" si="5"/>
        <v>1.011803955288048</v>
      </c>
      <c r="I31" s="36">
        <v>2027.7971999999829</v>
      </c>
      <c r="J31" s="37">
        <v>2.12</v>
      </c>
      <c r="K31" s="39">
        <f t="shared" si="6"/>
        <v>4.8609916881627978E-4</v>
      </c>
      <c r="L31" s="42">
        <f t="shared" si="7"/>
        <v>83.506799999999998</v>
      </c>
      <c r="M31" s="40">
        <f t="shared" si="8"/>
        <v>49.359999999999566</v>
      </c>
      <c r="N31" s="41">
        <f t="shared" si="9"/>
        <v>1.1317856119231771E-2</v>
      </c>
      <c r="O31" s="43" t="s">
        <v>83</v>
      </c>
      <c r="P31" s="44" t="s">
        <v>60</v>
      </c>
      <c r="Q31" s="44" t="s">
        <v>87</v>
      </c>
      <c r="R31" s="45" t="s">
        <v>58</v>
      </c>
    </row>
    <row r="32" spans="1:18" s="67" customFormat="1" ht="24.95" customHeight="1" x14ac:dyDescent="0.25">
      <c r="A32" s="47">
        <v>5</v>
      </c>
      <c r="B32" s="35" t="s">
        <v>110</v>
      </c>
      <c r="C32" s="36">
        <v>1655.2843999999977</v>
      </c>
      <c r="D32" s="37">
        <v>115.12</v>
      </c>
      <c r="E32" s="37">
        <v>114.75</v>
      </c>
      <c r="F32" s="37">
        <v>4.83</v>
      </c>
      <c r="G32" s="36">
        <v>371.14</v>
      </c>
      <c r="H32" s="68">
        <f t="shared" si="5"/>
        <v>1.0387421820708824</v>
      </c>
      <c r="I32" s="36">
        <v>1655.2843999999977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4.4599999999999937</v>
      </c>
      <c r="N32" s="41">
        <f t="shared" si="9"/>
        <v>3.8742182070882501E-2</v>
      </c>
      <c r="O32" s="43" t="s">
        <v>83</v>
      </c>
      <c r="P32" s="69" t="s">
        <v>235</v>
      </c>
      <c r="Q32" s="44"/>
      <c r="R32" s="45" t="s">
        <v>58</v>
      </c>
    </row>
    <row r="33" spans="1:18" s="67" customFormat="1" ht="24.95" customHeight="1" x14ac:dyDescent="0.25">
      <c r="A33" s="34">
        <v>6</v>
      </c>
      <c r="B33" s="35" t="s">
        <v>196</v>
      </c>
      <c r="C33" s="36">
        <v>1583.9929999999995</v>
      </c>
      <c r="D33" s="37">
        <v>72.489999999999995</v>
      </c>
      <c r="E33" s="37">
        <v>70.489999999999995</v>
      </c>
      <c r="F33" s="37">
        <v>6.58</v>
      </c>
      <c r="G33" s="36">
        <v>345.85</v>
      </c>
      <c r="H33" s="68">
        <f t="shared" si="5"/>
        <v>1.0631811284315078</v>
      </c>
      <c r="I33" s="36">
        <v>1583.9929999999995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4.5799999999999983</v>
      </c>
      <c r="N33" s="41">
        <f t="shared" si="9"/>
        <v>6.3181128431507777E-2</v>
      </c>
      <c r="O33" s="43" t="s">
        <v>83</v>
      </c>
      <c r="P33" s="69" t="s">
        <v>235</v>
      </c>
      <c r="Q33" s="44"/>
      <c r="R33" s="45" t="s">
        <v>197</v>
      </c>
    </row>
    <row r="34" spans="1:18" s="67" customFormat="1" ht="24.95" customHeight="1" x14ac:dyDescent="0.25">
      <c r="A34" s="47">
        <v>7</v>
      </c>
      <c r="B34" s="35" t="s">
        <v>56</v>
      </c>
      <c r="C34" s="36">
        <v>1527.6880000000058</v>
      </c>
      <c r="D34" s="37">
        <v>623.26</v>
      </c>
      <c r="E34" s="37">
        <v>607.71</v>
      </c>
      <c r="F34" s="37">
        <v>27.5</v>
      </c>
      <c r="G34" s="36">
        <v>127.84</v>
      </c>
      <c r="H34" s="68">
        <f t="shared" si="5"/>
        <v>1.0191733786862627</v>
      </c>
      <c r="I34" s="36">
        <v>1527.6880000000058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11.950000000000045</v>
      </c>
      <c r="N34" s="41">
        <f t="shared" si="9"/>
        <v>1.9173378686262628E-2</v>
      </c>
      <c r="O34" s="43" t="s">
        <v>83</v>
      </c>
      <c r="P34" s="69" t="s">
        <v>235</v>
      </c>
      <c r="Q34" s="44"/>
      <c r="R34" s="45" t="s">
        <v>58</v>
      </c>
    </row>
    <row r="35" spans="1:18" s="67" customFormat="1" ht="24.95" customHeight="1" x14ac:dyDescent="0.25">
      <c r="A35" s="34">
        <v>8</v>
      </c>
      <c r="B35" s="35" t="s">
        <v>91</v>
      </c>
      <c r="C35" s="36">
        <v>1400.1416999999997</v>
      </c>
      <c r="D35" s="37">
        <v>531.92999999999995</v>
      </c>
      <c r="E35" s="37">
        <v>520.77</v>
      </c>
      <c r="F35" s="37">
        <v>53.55</v>
      </c>
      <c r="G35" s="36">
        <v>33.03</v>
      </c>
      <c r="H35" s="68">
        <f t="shared" si="5"/>
        <v>1.0796909367773955</v>
      </c>
      <c r="I35" s="36">
        <v>1400.1416999999997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42.389999999999986</v>
      </c>
      <c r="N35" s="41">
        <f t="shared" si="9"/>
        <v>7.9690936777395499E-2</v>
      </c>
      <c r="O35" s="43" t="s">
        <v>83</v>
      </c>
      <c r="P35" s="69" t="s">
        <v>235</v>
      </c>
      <c r="Q35" s="44"/>
      <c r="R35" s="45" t="s">
        <v>77</v>
      </c>
    </row>
    <row r="36" spans="1:18" s="67" customFormat="1" ht="24.95" customHeight="1" x14ac:dyDescent="0.25">
      <c r="A36" s="47">
        <v>9</v>
      </c>
      <c r="B36" s="35" t="s">
        <v>89</v>
      </c>
      <c r="C36" s="36">
        <v>1371.2508000000003</v>
      </c>
      <c r="D36" s="37">
        <v>59.43</v>
      </c>
      <c r="E36" s="37">
        <v>61.5</v>
      </c>
      <c r="F36" s="37">
        <v>0</v>
      </c>
      <c r="G36" s="36">
        <v>662.44</v>
      </c>
      <c r="H36" s="68">
        <f t="shared" si="5"/>
        <v>1.0348308934881374</v>
      </c>
      <c r="I36" s="36">
        <v>1371.2508000000003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2.0700000000000003</v>
      </c>
      <c r="N36" s="41">
        <f t="shared" si="9"/>
        <v>3.483089348813731E-2</v>
      </c>
      <c r="O36" s="43" t="s">
        <v>97</v>
      </c>
      <c r="P36" s="69" t="s">
        <v>235</v>
      </c>
      <c r="Q36" s="44"/>
      <c r="R36" s="45" t="s">
        <v>58</v>
      </c>
    </row>
    <row r="37" spans="1:18" s="67" customFormat="1" ht="24.95" customHeight="1" thickBot="1" x14ac:dyDescent="0.3">
      <c r="A37" s="48">
        <v>10</v>
      </c>
      <c r="B37" s="49" t="s">
        <v>137</v>
      </c>
      <c r="C37" s="50">
        <v>1050.3631999999966</v>
      </c>
      <c r="D37" s="51">
        <v>61.29</v>
      </c>
      <c r="E37" s="51">
        <v>60.3</v>
      </c>
      <c r="F37" s="51">
        <v>2.66</v>
      </c>
      <c r="G37" s="50">
        <v>628.96</v>
      </c>
      <c r="H37" s="70">
        <f t="shared" si="5"/>
        <v>1.0272475118290096</v>
      </c>
      <c r="I37" s="50">
        <v>1050.3631999999966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1.6699999999999946</v>
      </c>
      <c r="N37" s="55">
        <f t="shared" si="9"/>
        <v>2.724751182900954E-2</v>
      </c>
      <c r="O37" s="57" t="s">
        <v>97</v>
      </c>
      <c r="P37" s="71" t="s">
        <v>235</v>
      </c>
      <c r="Q37" s="72"/>
      <c r="R37" s="58" t="s">
        <v>138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73</v>
      </c>
      <c r="C44" s="36">
        <v>1090.8817000000001</v>
      </c>
      <c r="D44" s="78">
        <f t="shared" ref="D44:D53" si="10">C44/$L$5</f>
        <v>0.29437573433257436</v>
      </c>
      <c r="E44" s="79"/>
    </row>
    <row r="45" spans="1:18" s="80" customFormat="1" ht="24.95" customHeight="1" x14ac:dyDescent="0.25">
      <c r="A45" s="81">
        <v>2</v>
      </c>
      <c r="B45" s="35" t="s">
        <v>147</v>
      </c>
      <c r="C45" s="36">
        <v>565.95920000000001</v>
      </c>
      <c r="D45" s="78">
        <f t="shared" si="10"/>
        <v>0.15272476850814923</v>
      </c>
      <c r="E45" s="79"/>
    </row>
    <row r="46" spans="1:18" s="80" customFormat="1" ht="24.95" customHeight="1" x14ac:dyDescent="0.25">
      <c r="A46" s="81">
        <v>3</v>
      </c>
      <c r="B46" s="35" t="s">
        <v>103</v>
      </c>
      <c r="C46" s="36">
        <v>340.39020000000005</v>
      </c>
      <c r="D46" s="78">
        <f t="shared" si="10"/>
        <v>9.1854703479407399E-2</v>
      </c>
      <c r="E46" s="79"/>
    </row>
    <row r="47" spans="1:18" s="80" customFormat="1" ht="24.95" customHeight="1" x14ac:dyDescent="0.25">
      <c r="A47" s="77">
        <v>4</v>
      </c>
      <c r="B47" s="35" t="s">
        <v>105</v>
      </c>
      <c r="C47" s="36">
        <v>318.5</v>
      </c>
      <c r="D47" s="78">
        <f t="shared" si="10"/>
        <v>8.5947606770674506E-2</v>
      </c>
      <c r="E47" s="79"/>
    </row>
    <row r="48" spans="1:18" s="80" customFormat="1" ht="24.95" customHeight="1" x14ac:dyDescent="0.25">
      <c r="A48" s="81">
        <v>5</v>
      </c>
      <c r="B48" s="35" t="s">
        <v>104</v>
      </c>
      <c r="C48" s="36">
        <v>294.83999999999997</v>
      </c>
      <c r="D48" s="78">
        <f t="shared" si="10"/>
        <v>7.9562927410567252E-2</v>
      </c>
      <c r="E48" s="79"/>
    </row>
    <row r="49" spans="1:5" s="80" customFormat="1" ht="24.95" customHeight="1" x14ac:dyDescent="0.25">
      <c r="A49" s="77">
        <v>6</v>
      </c>
      <c r="B49" s="35" t="s">
        <v>109</v>
      </c>
      <c r="C49" s="36">
        <v>289.60000000000002</v>
      </c>
      <c r="D49" s="78">
        <f t="shared" si="10"/>
        <v>7.8148907129630588E-2</v>
      </c>
      <c r="E49" s="79"/>
    </row>
    <row r="50" spans="1:5" s="80" customFormat="1" ht="24.95" customHeight="1" x14ac:dyDescent="0.25">
      <c r="A50" s="81">
        <v>7</v>
      </c>
      <c r="B50" s="35" t="s">
        <v>106</v>
      </c>
      <c r="C50" s="36">
        <v>259.536</v>
      </c>
      <c r="D50" s="78">
        <f t="shared" si="10"/>
        <v>7.0036100693355668E-2</v>
      </c>
      <c r="E50" s="79"/>
    </row>
    <row r="51" spans="1:5" s="80" customFormat="1" ht="24.95" customHeight="1" x14ac:dyDescent="0.25">
      <c r="A51" s="77">
        <v>8</v>
      </c>
      <c r="B51" s="35" t="s">
        <v>198</v>
      </c>
      <c r="C51" s="36">
        <v>153.19109999999998</v>
      </c>
      <c r="D51" s="78">
        <f t="shared" si="10"/>
        <v>4.1338801957824411E-2</v>
      </c>
      <c r="E51" s="79"/>
    </row>
    <row r="52" spans="1:5" s="80" customFormat="1" ht="24.95" customHeight="1" x14ac:dyDescent="0.25">
      <c r="A52" s="81">
        <v>9</v>
      </c>
      <c r="B52" s="35" t="s">
        <v>168</v>
      </c>
      <c r="C52" s="36">
        <v>146.03849999999997</v>
      </c>
      <c r="D52" s="78">
        <f t="shared" si="10"/>
        <v>3.9408664274345834E-2</v>
      </c>
      <c r="E52" s="79"/>
    </row>
    <row r="53" spans="1:5" s="80" customFormat="1" ht="24.95" customHeight="1" thickBot="1" x14ac:dyDescent="0.3">
      <c r="A53" s="82">
        <v>10</v>
      </c>
      <c r="B53" s="49" t="s">
        <v>86</v>
      </c>
      <c r="C53" s="50">
        <v>83.506799999999998</v>
      </c>
      <c r="D53" s="83">
        <f t="shared" si="10"/>
        <v>2.2534410075596114E-2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81" priority="34" operator="containsText" text="中華">
      <formula>NOT(ISERROR(SEARCH("中華",A12)))</formula>
    </cfRule>
    <cfRule type="containsText" dxfId="780" priority="33" operator="containsText" text="湯凍">
      <formula>NOT(ISERROR(SEARCH("湯凍",A12)))</formula>
    </cfRule>
    <cfRule type="containsText" dxfId="779" priority="32" operator="containsText" text=")川燙小青花菜">
      <formula>NOT(ISERROR(SEARCH(")川燙小青花菜",A12)))</formula>
    </cfRule>
    <cfRule type="containsText" dxfId="778" priority="31" operator="containsText" text="青蔥">
      <formula>NOT(ISERROR(SEARCH("青蔥",A12)))</formula>
    </cfRule>
    <cfRule type="containsText" dxfId="777" priority="30" operator="containsText" text="白醬">
      <formula>NOT(ISERROR(SEARCH("白醬",A12)))</formula>
    </cfRule>
    <cfRule type="containsText" dxfId="776" priority="29" operator="containsText" text="024">
      <formula>NOT(ISERROR(SEARCH("024",A12)))</formula>
    </cfRule>
    <cfRule type="containsText" dxfId="775" priority="28" operator="containsText" text="煮白細麵生(方#12)">
      <formula>NOT(ISERROR(SEARCH("煮白細麵生(方#12)",A12)))</formula>
    </cfRule>
    <cfRule type="containsText" dxfId="774" priority="27" operator="containsText" text="綠豆芽">
      <formula>NOT(ISERROR(SEARCH("綠豆芽",A12)))</formula>
    </cfRule>
  </conditionalFormatting>
  <conditionalFormatting sqref="A28:A37">
    <cfRule type="containsText" dxfId="773" priority="5" operator="containsText" text="綠豆芽">
      <formula>NOT(ISERROR(SEARCH("綠豆芽",A28)))</formula>
    </cfRule>
    <cfRule type="containsText" dxfId="772" priority="6" operator="containsText" text="煮白細麵生(方#12)">
      <formula>NOT(ISERROR(SEARCH("煮白細麵生(方#12)",A28)))</formula>
    </cfRule>
    <cfRule type="containsText" dxfId="771" priority="7" operator="containsText" text="024">
      <formula>NOT(ISERROR(SEARCH("024",A28)))</formula>
    </cfRule>
    <cfRule type="containsText" dxfId="770" priority="8" operator="containsText" text="白醬">
      <formula>NOT(ISERROR(SEARCH("白醬",A28)))</formula>
    </cfRule>
    <cfRule type="containsText" dxfId="769" priority="9" operator="containsText" text="青蔥">
      <formula>NOT(ISERROR(SEARCH("青蔥",A28)))</formula>
    </cfRule>
    <cfRule type="containsText" dxfId="768" priority="10" operator="containsText" text=")川燙小青花菜">
      <formula>NOT(ISERROR(SEARCH(")川燙小青花菜",A28)))</formula>
    </cfRule>
    <cfRule type="containsText" dxfId="767" priority="11" operator="containsText" text="湯凍">
      <formula>NOT(ISERROR(SEARCH("湯凍",A28)))</formula>
    </cfRule>
    <cfRule type="containsText" dxfId="766" priority="12" operator="containsText" text="中華">
      <formula>NOT(ISERROR(SEARCH("中華",A28)))</formula>
    </cfRule>
  </conditionalFormatting>
  <conditionalFormatting sqref="A44:A53">
    <cfRule type="containsText" dxfId="765" priority="17" operator="containsText" text="綠豆芽">
      <formula>NOT(ISERROR(SEARCH("綠豆芽",A44)))</formula>
    </cfRule>
    <cfRule type="containsText" dxfId="764" priority="18" operator="containsText" text="煮白細麵生(方#12)">
      <formula>NOT(ISERROR(SEARCH("煮白細麵生(方#12)",A44)))</formula>
    </cfRule>
    <cfRule type="containsText" dxfId="763" priority="19" operator="containsText" text="024">
      <formula>NOT(ISERROR(SEARCH("024",A44)))</formula>
    </cfRule>
    <cfRule type="containsText" dxfId="762" priority="20" operator="containsText" text="白醬">
      <formula>NOT(ISERROR(SEARCH("白醬",A44)))</formula>
    </cfRule>
    <cfRule type="containsText" dxfId="761" priority="21" operator="containsText" text="青蔥">
      <formula>NOT(ISERROR(SEARCH("青蔥",A44)))</formula>
    </cfRule>
    <cfRule type="containsText" dxfId="760" priority="22" operator="containsText" text=")川燙小青花菜">
      <formula>NOT(ISERROR(SEARCH(")川燙小青花菜",A44)))</formula>
    </cfRule>
    <cfRule type="containsText" dxfId="759" priority="23" operator="containsText" text="湯凍">
      <formula>NOT(ISERROR(SEARCH("湯凍",A44)))</formula>
    </cfRule>
    <cfRule type="containsText" dxfId="758" priority="24" operator="containsText" text="中華">
      <formula>NOT(ISERROR(SEARCH("中華",A44)))</formula>
    </cfRule>
  </conditionalFormatting>
  <conditionalFormatting sqref="D44:D53">
    <cfRule type="cellIs" dxfId="757" priority="16" operator="greaterThan">
      <formula>0.146</formula>
    </cfRule>
  </conditionalFormatting>
  <conditionalFormatting sqref="E5">
    <cfRule type="cellIs" dxfId="756" priority="25" operator="greaterThan">
      <formula>0.072</formula>
    </cfRule>
    <cfRule type="cellIs" dxfId="755" priority="26" operator="greaterThan">
      <formula>7.2</formula>
    </cfRule>
    <cfRule type="cellIs" dxfId="754" priority="14" operator="greaterThan">
      <formula>0.0025</formula>
    </cfRule>
  </conditionalFormatting>
  <conditionalFormatting sqref="G5">
    <cfRule type="cellIs" dxfId="753" priority="3" operator="greaterThan">
      <formula>7.2</formula>
    </cfRule>
    <cfRule type="cellIs" dxfId="752" priority="2" operator="greaterThan">
      <formula>0.072</formula>
    </cfRule>
    <cfRule type="cellIs" dxfId="751" priority="1" operator="greaterThan">
      <formula>0.0025</formula>
    </cfRule>
  </conditionalFormatting>
  <conditionalFormatting sqref="H12:H22">
    <cfRule type="cellIs" dxfId="750" priority="15" operator="greaterThan">
      <formula>1.1</formula>
    </cfRule>
  </conditionalFormatting>
  <conditionalFormatting sqref="H28:H37">
    <cfRule type="cellIs" dxfId="749" priority="4" operator="greaterThan">
      <formula>1.1</formula>
    </cfRule>
  </conditionalFormatting>
  <conditionalFormatting sqref="I5">
    <cfRule type="cellIs" dxfId="74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65E3-90C1-4C4F-B9DF-F3624935D77E}">
  <sheetPr>
    <tabColor rgb="FFFF0000"/>
    <pageSetUpPr fitToPage="1"/>
  </sheetPr>
  <dimension ref="A1:R56"/>
  <sheetViews>
    <sheetView topLeftCell="B1"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45921</v>
      </c>
      <c r="B3" s="149"/>
      <c r="C3" s="150">
        <v>7966442.1900000004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19329.102699999989</v>
      </c>
      <c r="E5" s="24">
        <f>D5/C3</f>
        <v>2.426315567100097E-3</v>
      </c>
      <c r="F5" s="23">
        <f>VLOOKUP("總計",'[1]0921'!N:R,5,0)</f>
        <v>57386.623899999991</v>
      </c>
      <c r="G5" s="25">
        <f>F5/C3</f>
        <v>7.2035448863277309E-3</v>
      </c>
      <c r="H5" s="26">
        <f>SUM(C12:C21)</f>
        <v>5551.8347999999996</v>
      </c>
      <c r="I5" s="27">
        <f>H5/D5</f>
        <v>0.28722672160048085</v>
      </c>
      <c r="J5" s="26">
        <f>SUM(C28:C37)</f>
        <v>15889.629800000008</v>
      </c>
      <c r="K5" s="28">
        <f>J5/F5</f>
        <v>0.27688734273144811</v>
      </c>
      <c r="L5" s="29">
        <v>2023.2663</v>
      </c>
      <c r="M5" s="30">
        <f>L5/D5</f>
        <v>0.10467461068433359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59</v>
      </c>
      <c r="C12" s="36">
        <v>1545</v>
      </c>
      <c r="D12" s="37">
        <v>4222</v>
      </c>
      <c r="E12" s="37">
        <v>4322</v>
      </c>
      <c r="F12" s="37">
        <v>0</v>
      </c>
      <c r="G12" s="36">
        <v>15.45</v>
      </c>
      <c r="H12" s="38">
        <f>(E12+F12)/D12</f>
        <v>1.0236854571293226</v>
      </c>
      <c r="I12" s="36">
        <v>1545</v>
      </c>
      <c r="J12" s="37">
        <v>100</v>
      </c>
      <c r="K12" s="39">
        <f>J12/D12</f>
        <v>2.3685457129322594E-2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199</v>
      </c>
      <c r="C13" s="36">
        <v>990.7600000000001</v>
      </c>
      <c r="D13" s="37">
        <v>385.13</v>
      </c>
      <c r="E13" s="37">
        <v>409.93</v>
      </c>
      <c r="F13" s="37">
        <v>0</v>
      </c>
      <c r="G13" s="36">
        <v>39.950000000000003</v>
      </c>
      <c r="H13" s="38">
        <f t="shared" ref="H13:H21" si="1">(E13+F13)/D13</f>
        <v>1.0643938410406877</v>
      </c>
      <c r="I13" s="36">
        <v>990.76000000000056</v>
      </c>
      <c r="J13" s="37">
        <v>24.8</v>
      </c>
      <c r="K13" s="39">
        <f>J13/D13</f>
        <v>6.4393841040687558E-2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69" t="s">
        <v>67</v>
      </c>
      <c r="Q13" s="44"/>
      <c r="R13" s="45" t="s">
        <v>136</v>
      </c>
    </row>
    <row r="14" spans="1:18" s="46" customFormat="1" ht="24.95" customHeight="1" x14ac:dyDescent="0.25">
      <c r="A14" s="47">
        <v>3</v>
      </c>
      <c r="B14" s="35" t="s">
        <v>66</v>
      </c>
      <c r="C14" s="36">
        <v>679.50500000000011</v>
      </c>
      <c r="D14" s="37">
        <v>54.16</v>
      </c>
      <c r="E14" s="37">
        <v>58.989999999999995</v>
      </c>
      <c r="F14" s="37">
        <v>0</v>
      </c>
      <c r="G14" s="36">
        <v>183.65</v>
      </c>
      <c r="H14" s="38">
        <f>(E14+F14)/D14</f>
        <v>1.0891802067946823</v>
      </c>
      <c r="I14" s="36">
        <v>887.02949999999976</v>
      </c>
      <c r="J14" s="37">
        <v>3.7</v>
      </c>
      <c r="K14" s="39">
        <f t="shared" ref="K14:K21" si="4">J14/D14</f>
        <v>6.8316100443131467E-2</v>
      </c>
      <c r="L14" s="40">
        <f t="shared" si="2"/>
        <v>1.1299999999999981</v>
      </c>
      <c r="M14" s="41">
        <f t="shared" si="3"/>
        <v>2.0864106351550928E-2</v>
      </c>
      <c r="N14" s="42">
        <f t="shared" si="0"/>
        <v>207.52449999999965</v>
      </c>
      <c r="O14" s="43" t="s">
        <v>57</v>
      </c>
      <c r="P14" s="69" t="s">
        <v>67</v>
      </c>
      <c r="Q14" s="44"/>
      <c r="R14" s="45" t="s">
        <v>68</v>
      </c>
    </row>
    <row r="15" spans="1:18" s="46" customFormat="1" ht="24.95" customHeight="1" x14ac:dyDescent="0.25">
      <c r="A15" s="34">
        <v>4</v>
      </c>
      <c r="B15" s="35" t="s">
        <v>156</v>
      </c>
      <c r="C15" s="36">
        <v>548.44799999999998</v>
      </c>
      <c r="D15" s="37">
        <v>270.86</v>
      </c>
      <c r="E15" s="37">
        <v>273.76</v>
      </c>
      <c r="F15" s="37">
        <v>0</v>
      </c>
      <c r="G15" s="36">
        <v>189.12</v>
      </c>
      <c r="H15" s="38">
        <f>(E15+F15)/D15</f>
        <v>1.0107066381156316</v>
      </c>
      <c r="I15" s="36">
        <v>548.44799999999566</v>
      </c>
      <c r="J15" s="37">
        <v>2.9</v>
      </c>
      <c r="K15" s="39">
        <f t="shared" si="4"/>
        <v>1.0706638115631691E-2</v>
      </c>
      <c r="L15" s="40">
        <f t="shared" si="2"/>
        <v>-2.2648549702353193E-14</v>
      </c>
      <c r="M15" s="41">
        <f t="shared" si="3"/>
        <v>-8.3617181209308107E-17</v>
      </c>
      <c r="N15" s="42">
        <f t="shared" si="0"/>
        <v>-4.2832937197090363E-12</v>
      </c>
      <c r="O15" s="43" t="s">
        <v>57</v>
      </c>
      <c r="P15" s="69" t="s">
        <v>235</v>
      </c>
      <c r="Q15" s="44"/>
      <c r="R15" s="45" t="s">
        <v>157</v>
      </c>
    </row>
    <row r="16" spans="1:18" s="46" customFormat="1" ht="24.95" customHeight="1" x14ac:dyDescent="0.25">
      <c r="A16" s="47">
        <v>5</v>
      </c>
      <c r="B16" s="35" t="s">
        <v>200</v>
      </c>
      <c r="C16" s="36">
        <v>425.20000000000005</v>
      </c>
      <c r="D16" s="37">
        <v>3956</v>
      </c>
      <c r="E16" s="37">
        <v>3996</v>
      </c>
      <c r="F16" s="37">
        <v>0</v>
      </c>
      <c r="G16" s="36">
        <v>10.63</v>
      </c>
      <c r="H16" s="38">
        <f t="shared" si="1"/>
        <v>1.0101112234580385</v>
      </c>
      <c r="I16" s="36">
        <v>425.20000000000005</v>
      </c>
      <c r="J16" s="37">
        <v>40</v>
      </c>
      <c r="K16" s="39">
        <f t="shared" si="4"/>
        <v>1.0111223458038422E-2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69" t="s">
        <v>235</v>
      </c>
      <c r="Q16" s="44"/>
      <c r="R16" s="45" t="s">
        <v>178</v>
      </c>
    </row>
    <row r="17" spans="1:18" s="46" customFormat="1" ht="24.95" customHeight="1" x14ac:dyDescent="0.25">
      <c r="A17" s="34">
        <v>6</v>
      </c>
      <c r="B17" s="35" t="s">
        <v>201</v>
      </c>
      <c r="C17" s="36">
        <v>298.54079999999999</v>
      </c>
      <c r="D17" s="37">
        <v>39.659999999999997</v>
      </c>
      <c r="E17" s="37">
        <v>42.58</v>
      </c>
      <c r="F17" s="37">
        <v>0</v>
      </c>
      <c r="G17" s="36">
        <v>102.24</v>
      </c>
      <c r="H17" s="38">
        <f t="shared" si="1"/>
        <v>1.0736258194654564</v>
      </c>
      <c r="I17" s="36">
        <v>298.54080000000016</v>
      </c>
      <c r="J17" s="37">
        <v>2.92</v>
      </c>
      <c r="K17" s="39">
        <f t="shared" si="4"/>
        <v>7.3625819465456377E-2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69" t="s">
        <v>67</v>
      </c>
      <c r="Q17" s="44"/>
      <c r="R17" s="45" t="s">
        <v>155</v>
      </c>
    </row>
    <row r="18" spans="1:18" s="46" customFormat="1" ht="24.95" customHeight="1" x14ac:dyDescent="0.25">
      <c r="A18" s="47">
        <v>7</v>
      </c>
      <c r="B18" s="35" t="s">
        <v>147</v>
      </c>
      <c r="C18" s="36">
        <v>272.00400000000002</v>
      </c>
      <c r="D18" s="37">
        <v>261.89999999999998</v>
      </c>
      <c r="E18" s="37">
        <v>264.75</v>
      </c>
      <c r="F18" s="37">
        <v>0</v>
      </c>
      <c r="G18" s="36">
        <v>95.44</v>
      </c>
      <c r="H18" s="38">
        <f t="shared" si="1"/>
        <v>1.0108820160366554</v>
      </c>
      <c r="I18" s="36">
        <v>272.00400000000218</v>
      </c>
      <c r="J18" s="37">
        <v>2.85</v>
      </c>
      <c r="K18" s="39">
        <f t="shared" si="4"/>
        <v>1.0882016036655213E-2</v>
      </c>
      <c r="L18" s="40">
        <f>((E18+F18)-D18)-J18</f>
        <v>2.2648549702353193E-14</v>
      </c>
      <c r="M18" s="41">
        <f t="shared" si="3"/>
        <v>8.6477853006312321E-17</v>
      </c>
      <c r="N18" s="42">
        <f t="shared" si="0"/>
        <v>2.1615775835925886E-12</v>
      </c>
      <c r="O18" s="43" t="s">
        <v>57</v>
      </c>
      <c r="P18" s="69" t="s">
        <v>235</v>
      </c>
      <c r="Q18" s="44"/>
      <c r="R18" s="45" t="s">
        <v>58</v>
      </c>
    </row>
    <row r="19" spans="1:18" s="46" customFormat="1" ht="24.95" customHeight="1" x14ac:dyDescent="0.25">
      <c r="A19" s="34">
        <v>8</v>
      </c>
      <c r="B19" s="35" t="s">
        <v>109</v>
      </c>
      <c r="C19" s="36">
        <v>266.43200000000002</v>
      </c>
      <c r="D19" s="37">
        <v>254.35</v>
      </c>
      <c r="E19" s="37">
        <v>254.63</v>
      </c>
      <c r="F19" s="37">
        <v>5.6</v>
      </c>
      <c r="G19" s="36">
        <v>144.80000000000001</v>
      </c>
      <c r="H19" s="38">
        <f t="shared" si="1"/>
        <v>1.0231177511303322</v>
      </c>
      <c r="I19" s="36">
        <v>851.4240000000035</v>
      </c>
      <c r="J19" s="37">
        <v>1.84</v>
      </c>
      <c r="K19" s="39">
        <f t="shared" si="4"/>
        <v>7.2341262040495381E-3</v>
      </c>
      <c r="L19" s="40">
        <f t="shared" si="2"/>
        <v>4.040000000000024</v>
      </c>
      <c r="M19" s="41">
        <f t="shared" si="3"/>
        <v>1.5883624926282775E-2</v>
      </c>
      <c r="N19" s="42">
        <f t="shared" si="0"/>
        <v>584.99200000000349</v>
      </c>
      <c r="O19" s="43" t="s">
        <v>57</v>
      </c>
      <c r="P19" s="69" t="s">
        <v>235</v>
      </c>
      <c r="Q19" s="44"/>
      <c r="R19" s="45" t="s">
        <v>58</v>
      </c>
    </row>
    <row r="20" spans="1:18" s="46" customFormat="1" ht="24.95" customHeight="1" x14ac:dyDescent="0.25">
      <c r="A20" s="47">
        <v>9</v>
      </c>
      <c r="B20" s="35" t="s">
        <v>202</v>
      </c>
      <c r="C20" s="36">
        <v>266.17919999999998</v>
      </c>
      <c r="D20" s="37">
        <v>800.73</v>
      </c>
      <c r="E20" s="37">
        <v>796.59</v>
      </c>
      <c r="F20" s="37">
        <v>10.29</v>
      </c>
      <c r="G20" s="36">
        <v>65.239999999999995</v>
      </c>
      <c r="H20" s="38">
        <f t="shared" si="1"/>
        <v>1.0076804915514592</v>
      </c>
      <c r="I20" s="36">
        <v>401.22599999999846</v>
      </c>
      <c r="J20" s="37">
        <v>4.08</v>
      </c>
      <c r="K20" s="39">
        <f t="shared" si="4"/>
        <v>5.0953504926754337E-3</v>
      </c>
      <c r="L20" s="40">
        <f t="shared" si="2"/>
        <v>2.0699999999999772</v>
      </c>
      <c r="M20" s="41">
        <f t="shared" si="3"/>
        <v>2.5851410587838311E-3</v>
      </c>
      <c r="N20" s="42">
        <f t="shared" si="0"/>
        <v>135.04679999999851</v>
      </c>
      <c r="O20" s="43" t="s">
        <v>57</v>
      </c>
      <c r="P20" s="69" t="s">
        <v>235</v>
      </c>
      <c r="Q20" s="44"/>
      <c r="R20" s="45" t="s">
        <v>203</v>
      </c>
    </row>
    <row r="21" spans="1:18" s="46" customFormat="1" ht="24.95" customHeight="1" thickBot="1" x14ac:dyDescent="0.3">
      <c r="A21" s="48">
        <v>10</v>
      </c>
      <c r="B21" s="49" t="s">
        <v>154</v>
      </c>
      <c r="C21" s="50">
        <v>259.76580000000001</v>
      </c>
      <c r="D21" s="51">
        <v>39.659999999999997</v>
      </c>
      <c r="E21" s="51">
        <v>42.2</v>
      </c>
      <c r="F21" s="51">
        <v>0</v>
      </c>
      <c r="G21" s="50">
        <v>102.27</v>
      </c>
      <c r="H21" s="52">
        <f t="shared" si="1"/>
        <v>1.0640443772062533</v>
      </c>
      <c r="I21" s="50">
        <v>259.76580000000064</v>
      </c>
      <c r="J21" s="51">
        <v>2.54</v>
      </c>
      <c r="K21" s="53">
        <f t="shared" si="4"/>
        <v>6.4044377206253153E-2</v>
      </c>
      <c r="L21" s="54">
        <f t="shared" si="2"/>
        <v>6.2172489379008766E-15</v>
      </c>
      <c r="M21" s="55">
        <f t="shared" si="3"/>
        <v>1.5676371502523643E-16</v>
      </c>
      <c r="N21" s="56">
        <f t="shared" si="0"/>
        <v>6.3583804887912264E-13</v>
      </c>
      <c r="O21" s="57" t="s">
        <v>57</v>
      </c>
      <c r="P21" s="57" t="s">
        <v>67</v>
      </c>
      <c r="Q21" s="57"/>
      <c r="R21" s="58" t="s">
        <v>155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127</v>
      </c>
      <c r="C28" s="36">
        <v>2551.6062000000015</v>
      </c>
      <c r="D28" s="37">
        <v>124.99</v>
      </c>
      <c r="E28" s="37">
        <v>126.97</v>
      </c>
      <c r="F28" s="37">
        <v>4</v>
      </c>
      <c r="G28" s="36">
        <v>426.69</v>
      </c>
      <c r="H28" s="68">
        <f t="shared" ref="H28:H37" si="5">(E28+F28)/D28</f>
        <v>1.0478438275062005</v>
      </c>
      <c r="I28" s="36">
        <v>2551.6062000000015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5.980000000000004</v>
      </c>
      <c r="N28" s="41">
        <f t="shared" ref="N28:N37" si="9">M28/D28</f>
        <v>4.7843827506200531E-2</v>
      </c>
      <c r="O28" s="43" t="s">
        <v>83</v>
      </c>
      <c r="P28" s="69" t="s">
        <v>235</v>
      </c>
      <c r="Q28" s="44"/>
      <c r="R28" s="45" t="s">
        <v>128</v>
      </c>
    </row>
    <row r="29" spans="1:18" s="67" customFormat="1" ht="24.95" customHeight="1" x14ac:dyDescent="0.25">
      <c r="A29" s="47">
        <v>2</v>
      </c>
      <c r="B29" s="35" t="s">
        <v>86</v>
      </c>
      <c r="C29" s="36">
        <v>1952.1684000000171</v>
      </c>
      <c r="D29" s="37">
        <v>4523.82</v>
      </c>
      <c r="E29" s="37">
        <v>4494.34</v>
      </c>
      <c r="F29" s="37">
        <v>79.5</v>
      </c>
      <c r="G29" s="36">
        <v>39.39</v>
      </c>
      <c r="H29" s="68">
        <f t="shared" si="5"/>
        <v>1.0110570270258323</v>
      </c>
      <c r="I29" s="36">
        <v>1970.2878000000171</v>
      </c>
      <c r="J29" s="37">
        <v>0.46</v>
      </c>
      <c r="K29" s="39">
        <f t="shared" si="6"/>
        <v>1.0168397504763674E-4</v>
      </c>
      <c r="L29" s="42">
        <f t="shared" si="7"/>
        <v>18.119400000000002</v>
      </c>
      <c r="M29" s="40">
        <f t="shared" si="8"/>
        <v>49.560000000000436</v>
      </c>
      <c r="N29" s="41">
        <f t="shared" si="9"/>
        <v>1.095534305078461E-2</v>
      </c>
      <c r="O29" s="43" t="s">
        <v>83</v>
      </c>
      <c r="P29" s="44" t="s">
        <v>60</v>
      </c>
      <c r="Q29" s="44" t="s">
        <v>87</v>
      </c>
      <c r="R29" s="45" t="s">
        <v>58</v>
      </c>
    </row>
    <row r="30" spans="1:18" s="67" customFormat="1" ht="24.95" customHeight="1" x14ac:dyDescent="0.25">
      <c r="A30" s="47">
        <v>3</v>
      </c>
      <c r="B30" s="35" t="s">
        <v>82</v>
      </c>
      <c r="C30" s="36">
        <v>1925.435799999992</v>
      </c>
      <c r="D30" s="37">
        <v>853.4</v>
      </c>
      <c r="E30" s="37">
        <v>854.68</v>
      </c>
      <c r="F30" s="37">
        <v>11.78</v>
      </c>
      <c r="G30" s="36">
        <v>147.43</v>
      </c>
      <c r="H30" s="68">
        <f t="shared" si="5"/>
        <v>1.0153034919146942</v>
      </c>
      <c r="I30" s="36">
        <v>1925.435799999992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13.059999999999945</v>
      </c>
      <c r="N30" s="41">
        <f t="shared" si="9"/>
        <v>1.5303491914694101E-2</v>
      </c>
      <c r="O30" s="43" t="s">
        <v>83</v>
      </c>
      <c r="P30" s="69" t="s">
        <v>84</v>
      </c>
      <c r="Q30" s="44" t="s">
        <v>85</v>
      </c>
      <c r="R30" s="45" t="s">
        <v>58</v>
      </c>
    </row>
    <row r="31" spans="1:18" s="67" customFormat="1" ht="24.95" customHeight="1" x14ac:dyDescent="0.25">
      <c r="A31" s="34">
        <v>4</v>
      </c>
      <c r="B31" s="35" t="s">
        <v>94</v>
      </c>
      <c r="C31" s="36">
        <v>1684.0684000000006</v>
      </c>
      <c r="D31" s="37">
        <v>186.88</v>
      </c>
      <c r="E31" s="37">
        <v>182.35</v>
      </c>
      <c r="F31" s="37">
        <v>7.31</v>
      </c>
      <c r="G31" s="36">
        <v>605.78</v>
      </c>
      <c r="H31" s="68">
        <f t="shared" si="5"/>
        <v>1.0148758561643836</v>
      </c>
      <c r="I31" s="36">
        <v>1684.0684000000006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2.7800000000000011</v>
      </c>
      <c r="N31" s="41">
        <f t="shared" si="9"/>
        <v>1.4875856164383567E-2</v>
      </c>
      <c r="O31" s="43" t="s">
        <v>83</v>
      </c>
      <c r="P31" s="44" t="s">
        <v>60</v>
      </c>
      <c r="Q31" s="44" t="s">
        <v>87</v>
      </c>
      <c r="R31" s="45" t="s">
        <v>95</v>
      </c>
    </row>
    <row r="32" spans="1:18" s="67" customFormat="1" ht="24.95" customHeight="1" x14ac:dyDescent="0.25">
      <c r="A32" s="47">
        <v>5</v>
      </c>
      <c r="B32" s="35" t="s">
        <v>196</v>
      </c>
      <c r="C32" s="36">
        <v>1514.8230000000035</v>
      </c>
      <c r="D32" s="37">
        <v>77.319999999999993</v>
      </c>
      <c r="E32" s="37">
        <v>75.400000000000006</v>
      </c>
      <c r="F32" s="37">
        <v>6.3</v>
      </c>
      <c r="G32" s="36">
        <v>345.85</v>
      </c>
      <c r="H32" s="68">
        <f t="shared" si="5"/>
        <v>1.0566476978789447</v>
      </c>
      <c r="I32" s="36">
        <v>1514.8230000000035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4.3800000000000097</v>
      </c>
      <c r="N32" s="41">
        <f t="shared" si="9"/>
        <v>5.6647697878944775E-2</v>
      </c>
      <c r="O32" s="43" t="s">
        <v>83</v>
      </c>
      <c r="P32" s="69" t="s">
        <v>235</v>
      </c>
      <c r="Q32" s="44"/>
      <c r="R32" s="45" t="s">
        <v>197</v>
      </c>
    </row>
    <row r="33" spans="1:18" s="67" customFormat="1" ht="24.95" customHeight="1" x14ac:dyDescent="0.25">
      <c r="A33" s="34">
        <v>6</v>
      </c>
      <c r="B33" s="35" t="s">
        <v>96</v>
      </c>
      <c r="C33" s="36">
        <v>1487.8949999999979</v>
      </c>
      <c r="D33" s="37">
        <v>258.87</v>
      </c>
      <c r="E33" s="37">
        <v>259.27</v>
      </c>
      <c r="F33" s="37">
        <v>17.25</v>
      </c>
      <c r="G33" s="36">
        <v>84.3</v>
      </c>
      <c r="H33" s="68">
        <f t="shared" si="5"/>
        <v>1.0681809402402749</v>
      </c>
      <c r="I33" s="36">
        <v>1487.8949999999979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17.649999999999977</v>
      </c>
      <c r="N33" s="41">
        <f t="shared" si="9"/>
        <v>6.8180940240274948E-2</v>
      </c>
      <c r="O33" s="43" t="s">
        <v>83</v>
      </c>
      <c r="P33" s="69" t="s">
        <v>235</v>
      </c>
      <c r="Q33" s="44"/>
      <c r="R33" s="45" t="s">
        <v>98</v>
      </c>
    </row>
    <row r="34" spans="1:18" s="67" customFormat="1" ht="24.95" customHeight="1" x14ac:dyDescent="0.25">
      <c r="A34" s="47">
        <v>7</v>
      </c>
      <c r="B34" s="35" t="s">
        <v>89</v>
      </c>
      <c r="C34" s="36">
        <v>1358.0020000000029</v>
      </c>
      <c r="D34" s="37">
        <v>62.74</v>
      </c>
      <c r="E34" s="37">
        <v>62.49</v>
      </c>
      <c r="F34" s="37">
        <v>2.2999999999999998</v>
      </c>
      <c r="G34" s="36">
        <v>662.44</v>
      </c>
      <c r="H34" s="68">
        <f t="shared" si="5"/>
        <v>1.0326745298055469</v>
      </c>
      <c r="I34" s="36">
        <v>1358.0020000000029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2.0500000000000043</v>
      </c>
      <c r="N34" s="41">
        <f t="shared" si="9"/>
        <v>3.2674529805546769E-2</v>
      </c>
      <c r="O34" s="43" t="s">
        <v>83</v>
      </c>
      <c r="P34" s="69" t="s">
        <v>235</v>
      </c>
      <c r="Q34" s="44"/>
      <c r="R34" s="45" t="s">
        <v>58</v>
      </c>
    </row>
    <row r="35" spans="1:18" s="67" customFormat="1" ht="24.95" customHeight="1" x14ac:dyDescent="0.25">
      <c r="A35" s="34">
        <v>8</v>
      </c>
      <c r="B35" s="35" t="s">
        <v>91</v>
      </c>
      <c r="C35" s="36">
        <v>1173.8861999999988</v>
      </c>
      <c r="D35" s="37">
        <v>539.33000000000004</v>
      </c>
      <c r="E35" s="37">
        <v>525.14</v>
      </c>
      <c r="F35" s="37">
        <v>49.73</v>
      </c>
      <c r="G35" s="36">
        <v>33.03</v>
      </c>
      <c r="H35" s="68">
        <f t="shared" si="5"/>
        <v>1.0658965753805647</v>
      </c>
      <c r="I35" s="36">
        <v>1173.8861999999988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35.539999999999964</v>
      </c>
      <c r="N35" s="41">
        <f t="shared" si="9"/>
        <v>6.5896575380564704E-2</v>
      </c>
      <c r="O35" s="43" t="s">
        <v>83</v>
      </c>
      <c r="P35" s="69" t="s">
        <v>235</v>
      </c>
      <c r="Q35" s="44"/>
      <c r="R35" s="45" t="s">
        <v>77</v>
      </c>
    </row>
    <row r="36" spans="1:18" s="67" customFormat="1" ht="24.95" customHeight="1" x14ac:dyDescent="0.25">
      <c r="A36" s="47">
        <v>9</v>
      </c>
      <c r="B36" s="35" t="s">
        <v>142</v>
      </c>
      <c r="C36" s="36">
        <v>1160.3352999999981</v>
      </c>
      <c r="D36" s="37">
        <v>102.79</v>
      </c>
      <c r="E36" s="37">
        <v>95.88</v>
      </c>
      <c r="F36" s="37">
        <v>17.100000000000001</v>
      </c>
      <c r="G36" s="36">
        <v>113.87</v>
      </c>
      <c r="H36" s="68">
        <f t="shared" si="5"/>
        <v>1.0991341570191651</v>
      </c>
      <c r="I36" s="36">
        <v>1160.3352999999981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10.189999999999984</v>
      </c>
      <c r="N36" s="41">
        <f t="shared" si="9"/>
        <v>9.9134157019165128E-2</v>
      </c>
      <c r="O36" s="43" t="s">
        <v>97</v>
      </c>
      <c r="P36" s="69" t="s">
        <v>235</v>
      </c>
      <c r="Q36" s="44"/>
      <c r="R36" s="45" t="s">
        <v>121</v>
      </c>
    </row>
    <row r="37" spans="1:18" s="67" customFormat="1" ht="24.95" customHeight="1" thickBot="1" x14ac:dyDescent="0.3">
      <c r="A37" s="48">
        <v>10</v>
      </c>
      <c r="B37" s="49" t="s">
        <v>73</v>
      </c>
      <c r="C37" s="50">
        <v>1081.4094999999948</v>
      </c>
      <c r="D37" s="51">
        <v>409.22</v>
      </c>
      <c r="E37" s="51">
        <v>408.87</v>
      </c>
      <c r="F37" s="51">
        <v>7.2</v>
      </c>
      <c r="G37" s="50">
        <v>157.87</v>
      </c>
      <c r="H37" s="70">
        <f t="shared" si="5"/>
        <v>1.0167391623087825</v>
      </c>
      <c r="I37" s="50">
        <v>1081.4094999999948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6.8499999999999659</v>
      </c>
      <c r="N37" s="55">
        <f t="shared" si="9"/>
        <v>1.6739162308782477E-2</v>
      </c>
      <c r="O37" s="57" t="s">
        <v>97</v>
      </c>
      <c r="P37" s="71" t="s">
        <v>235</v>
      </c>
      <c r="Q37" s="72"/>
      <c r="R37" s="58" t="s">
        <v>58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147</v>
      </c>
      <c r="C44" s="36">
        <v>272.00400000000002</v>
      </c>
      <c r="D44" s="78">
        <f t="shared" ref="D44:D53" si="10">C44/$L$5</f>
        <v>0.13443806186066562</v>
      </c>
      <c r="E44" s="79"/>
    </row>
    <row r="45" spans="1:18" s="80" customFormat="1" ht="24.95" customHeight="1" x14ac:dyDescent="0.25">
      <c r="A45" s="81">
        <v>2</v>
      </c>
      <c r="B45" s="35" t="s">
        <v>109</v>
      </c>
      <c r="C45" s="36">
        <v>266.43200000000002</v>
      </c>
      <c r="D45" s="78">
        <f t="shared" si="10"/>
        <v>0.13168409912229548</v>
      </c>
      <c r="E45" s="79"/>
    </row>
    <row r="46" spans="1:18" s="80" customFormat="1" ht="24.95" customHeight="1" x14ac:dyDescent="0.25">
      <c r="A46" s="81">
        <v>3</v>
      </c>
      <c r="B46" s="35" t="s">
        <v>105</v>
      </c>
      <c r="C46" s="36">
        <v>247.45000000000002</v>
      </c>
      <c r="D46" s="78">
        <f t="shared" si="10"/>
        <v>0.12230223970023127</v>
      </c>
      <c r="E46" s="79"/>
    </row>
    <row r="47" spans="1:18" s="80" customFormat="1" ht="24.95" customHeight="1" x14ac:dyDescent="0.25">
      <c r="A47" s="77">
        <v>4</v>
      </c>
      <c r="B47" s="35" t="s">
        <v>104</v>
      </c>
      <c r="C47" s="36">
        <v>245.7</v>
      </c>
      <c r="D47" s="78">
        <f t="shared" si="10"/>
        <v>0.12143730165426073</v>
      </c>
      <c r="E47" s="79"/>
    </row>
    <row r="48" spans="1:18" s="80" customFormat="1" ht="24.95" customHeight="1" x14ac:dyDescent="0.25">
      <c r="A48" s="81">
        <v>5</v>
      </c>
      <c r="B48" s="35" t="s">
        <v>125</v>
      </c>
      <c r="C48" s="36">
        <v>242</v>
      </c>
      <c r="D48" s="78">
        <f t="shared" si="10"/>
        <v>0.11960857549992307</v>
      </c>
      <c r="E48" s="79"/>
    </row>
    <row r="49" spans="1:5" s="80" customFormat="1" ht="24.95" customHeight="1" x14ac:dyDescent="0.25">
      <c r="A49" s="77">
        <v>6</v>
      </c>
      <c r="B49" s="35" t="s">
        <v>168</v>
      </c>
      <c r="C49" s="36">
        <v>238.74119999999996</v>
      </c>
      <c r="D49" s="78">
        <f t="shared" si="10"/>
        <v>0.11799791258323235</v>
      </c>
      <c r="E49" s="79"/>
    </row>
    <row r="50" spans="1:5" s="80" customFormat="1" ht="24.95" customHeight="1" x14ac:dyDescent="0.25">
      <c r="A50" s="81">
        <v>7</v>
      </c>
      <c r="B50" s="35" t="s">
        <v>103</v>
      </c>
      <c r="C50" s="36">
        <v>203.7372</v>
      </c>
      <c r="D50" s="78">
        <f t="shared" si="10"/>
        <v>0.10069717466257408</v>
      </c>
      <c r="E50" s="79"/>
    </row>
    <row r="51" spans="1:5" s="80" customFormat="1" ht="24.95" customHeight="1" x14ac:dyDescent="0.25">
      <c r="A51" s="77">
        <v>8</v>
      </c>
      <c r="B51" s="35" t="s">
        <v>110</v>
      </c>
      <c r="C51" s="36">
        <v>148.45599999999999</v>
      </c>
      <c r="D51" s="78">
        <f t="shared" si="10"/>
        <v>7.3374424315770986E-2</v>
      </c>
      <c r="E51" s="79"/>
    </row>
    <row r="52" spans="1:5" s="80" customFormat="1" ht="24.95" customHeight="1" x14ac:dyDescent="0.25">
      <c r="A52" s="81">
        <v>9</v>
      </c>
      <c r="B52" s="35" t="s">
        <v>198</v>
      </c>
      <c r="C52" s="36">
        <v>98.567999999999998</v>
      </c>
      <c r="D52" s="78">
        <f t="shared" si="10"/>
        <v>4.8717264751555439E-2</v>
      </c>
      <c r="E52" s="79"/>
    </row>
    <row r="53" spans="1:5" s="80" customFormat="1" ht="24.95" customHeight="1" thickBot="1" x14ac:dyDescent="0.3">
      <c r="A53" s="82">
        <v>10</v>
      </c>
      <c r="B53" s="49" t="s">
        <v>108</v>
      </c>
      <c r="C53" s="50">
        <v>42.058500000000002</v>
      </c>
      <c r="D53" s="83">
        <f t="shared" si="10"/>
        <v>2.078742674654345E-2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47" priority="34" operator="containsText" text="中華">
      <formula>NOT(ISERROR(SEARCH("中華",A12)))</formula>
    </cfRule>
    <cfRule type="containsText" dxfId="746" priority="33" operator="containsText" text="湯凍">
      <formula>NOT(ISERROR(SEARCH("湯凍",A12)))</formula>
    </cfRule>
    <cfRule type="containsText" dxfId="745" priority="32" operator="containsText" text=")川燙小青花菜">
      <formula>NOT(ISERROR(SEARCH(")川燙小青花菜",A12)))</formula>
    </cfRule>
    <cfRule type="containsText" dxfId="744" priority="31" operator="containsText" text="青蔥">
      <formula>NOT(ISERROR(SEARCH("青蔥",A12)))</formula>
    </cfRule>
    <cfRule type="containsText" dxfId="743" priority="30" operator="containsText" text="白醬">
      <formula>NOT(ISERROR(SEARCH("白醬",A12)))</formula>
    </cfRule>
    <cfRule type="containsText" dxfId="742" priority="29" operator="containsText" text="024">
      <formula>NOT(ISERROR(SEARCH("024",A12)))</formula>
    </cfRule>
    <cfRule type="containsText" dxfId="741" priority="28" operator="containsText" text="煮白細麵生(方#12)">
      <formula>NOT(ISERROR(SEARCH("煮白細麵生(方#12)",A12)))</formula>
    </cfRule>
    <cfRule type="containsText" dxfId="740" priority="27" operator="containsText" text="綠豆芽">
      <formula>NOT(ISERROR(SEARCH("綠豆芽",A12)))</formula>
    </cfRule>
  </conditionalFormatting>
  <conditionalFormatting sqref="A28:A37">
    <cfRule type="containsText" dxfId="739" priority="5" operator="containsText" text="綠豆芽">
      <formula>NOT(ISERROR(SEARCH("綠豆芽",A28)))</formula>
    </cfRule>
    <cfRule type="containsText" dxfId="738" priority="6" operator="containsText" text="煮白細麵生(方#12)">
      <formula>NOT(ISERROR(SEARCH("煮白細麵生(方#12)",A28)))</formula>
    </cfRule>
    <cfRule type="containsText" dxfId="737" priority="7" operator="containsText" text="024">
      <formula>NOT(ISERROR(SEARCH("024",A28)))</formula>
    </cfRule>
    <cfRule type="containsText" dxfId="736" priority="8" operator="containsText" text="白醬">
      <formula>NOT(ISERROR(SEARCH("白醬",A28)))</formula>
    </cfRule>
    <cfRule type="containsText" dxfId="735" priority="9" operator="containsText" text="青蔥">
      <formula>NOT(ISERROR(SEARCH("青蔥",A28)))</formula>
    </cfRule>
    <cfRule type="containsText" dxfId="734" priority="10" operator="containsText" text=")川燙小青花菜">
      <formula>NOT(ISERROR(SEARCH(")川燙小青花菜",A28)))</formula>
    </cfRule>
    <cfRule type="containsText" dxfId="733" priority="11" operator="containsText" text="湯凍">
      <formula>NOT(ISERROR(SEARCH("湯凍",A28)))</formula>
    </cfRule>
    <cfRule type="containsText" dxfId="732" priority="12" operator="containsText" text="中華">
      <formula>NOT(ISERROR(SEARCH("中華",A28)))</formula>
    </cfRule>
  </conditionalFormatting>
  <conditionalFormatting sqref="A44:A53">
    <cfRule type="containsText" dxfId="731" priority="17" operator="containsText" text="綠豆芽">
      <formula>NOT(ISERROR(SEARCH("綠豆芽",A44)))</formula>
    </cfRule>
    <cfRule type="containsText" dxfId="730" priority="18" operator="containsText" text="煮白細麵生(方#12)">
      <formula>NOT(ISERROR(SEARCH("煮白細麵生(方#12)",A44)))</formula>
    </cfRule>
    <cfRule type="containsText" dxfId="729" priority="19" operator="containsText" text="024">
      <formula>NOT(ISERROR(SEARCH("024",A44)))</formula>
    </cfRule>
    <cfRule type="containsText" dxfId="728" priority="20" operator="containsText" text="白醬">
      <formula>NOT(ISERROR(SEARCH("白醬",A44)))</formula>
    </cfRule>
    <cfRule type="containsText" dxfId="727" priority="21" operator="containsText" text="青蔥">
      <formula>NOT(ISERROR(SEARCH("青蔥",A44)))</formula>
    </cfRule>
    <cfRule type="containsText" dxfId="726" priority="22" operator="containsText" text=")川燙小青花菜">
      <formula>NOT(ISERROR(SEARCH(")川燙小青花菜",A44)))</formula>
    </cfRule>
    <cfRule type="containsText" dxfId="725" priority="23" operator="containsText" text="湯凍">
      <formula>NOT(ISERROR(SEARCH("湯凍",A44)))</formula>
    </cfRule>
    <cfRule type="containsText" dxfId="724" priority="24" operator="containsText" text="中華">
      <formula>NOT(ISERROR(SEARCH("中華",A44)))</formula>
    </cfRule>
  </conditionalFormatting>
  <conditionalFormatting sqref="D44:D53">
    <cfRule type="cellIs" dxfId="723" priority="16" operator="greaterThan">
      <formula>0.146</formula>
    </cfRule>
  </conditionalFormatting>
  <conditionalFormatting sqref="E5">
    <cfRule type="cellIs" dxfId="722" priority="25" operator="greaterThan">
      <formula>0.072</formula>
    </cfRule>
    <cfRule type="cellIs" dxfId="721" priority="26" operator="greaterThan">
      <formula>7.2</formula>
    </cfRule>
    <cfRule type="cellIs" dxfId="720" priority="14" operator="greaterThan">
      <formula>0.0025</formula>
    </cfRule>
  </conditionalFormatting>
  <conditionalFormatting sqref="G5">
    <cfRule type="cellIs" dxfId="719" priority="3" operator="greaterThan">
      <formula>7.2</formula>
    </cfRule>
    <cfRule type="cellIs" dxfId="718" priority="2" operator="greaterThan">
      <formula>0.072</formula>
    </cfRule>
    <cfRule type="cellIs" dxfId="717" priority="1" operator="greaterThan">
      <formula>0.0025</formula>
    </cfRule>
  </conditionalFormatting>
  <conditionalFormatting sqref="H12:H22">
    <cfRule type="cellIs" dxfId="716" priority="15" operator="greaterThan">
      <formula>1.1</formula>
    </cfRule>
  </conditionalFormatting>
  <conditionalFormatting sqref="H28:H37">
    <cfRule type="cellIs" dxfId="715" priority="4" operator="greaterThan">
      <formula>1.1</formula>
    </cfRule>
  </conditionalFormatting>
  <conditionalFormatting sqref="I5">
    <cfRule type="cellIs" dxfId="71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4492-90FC-4B73-A3C0-90CFB78908EE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45920</v>
      </c>
      <c r="B3" s="149"/>
      <c r="C3" s="150">
        <v>5974025.2999999998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14470.433500000003</v>
      </c>
      <c r="E5" s="24">
        <f>D5/C3</f>
        <v>2.4222250113336485E-3</v>
      </c>
      <c r="F5" s="23">
        <v>42713.631299999965</v>
      </c>
      <c r="G5" s="25">
        <f>F5/C3</f>
        <v>7.1498912634333778E-3</v>
      </c>
      <c r="H5" s="26">
        <f>SUM(C12:C21)</f>
        <v>3120.7277000000004</v>
      </c>
      <c r="I5" s="27">
        <f>H5/D5</f>
        <v>0.21566235040574283</v>
      </c>
      <c r="J5" s="26">
        <f>SUM(C28:C37)</f>
        <v>15543.564799999971</v>
      </c>
      <c r="K5" s="28">
        <f>J5/F5</f>
        <v>0.36390174112871515</v>
      </c>
      <c r="L5" s="29">
        <v>2506.6467000000002</v>
      </c>
      <c r="M5" s="30">
        <f>L5/D5</f>
        <v>0.1732254047537691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200</v>
      </c>
      <c r="C12" s="36">
        <v>467.72</v>
      </c>
      <c r="D12" s="37">
        <v>4066</v>
      </c>
      <c r="E12" s="37">
        <v>4110</v>
      </c>
      <c r="F12" s="37">
        <v>0</v>
      </c>
      <c r="G12" s="36">
        <v>10.63</v>
      </c>
      <c r="H12" s="38">
        <f>(E12+F12)/D12</f>
        <v>1.0108214461387113</v>
      </c>
      <c r="I12" s="36">
        <v>467.72</v>
      </c>
      <c r="J12" s="37">
        <v>44</v>
      </c>
      <c r="K12" s="39">
        <f>J12/D12</f>
        <v>1.0821446138711265E-2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69" t="s">
        <v>235</v>
      </c>
      <c r="Q12" s="44"/>
      <c r="R12" s="45" t="s">
        <v>178</v>
      </c>
    </row>
    <row r="13" spans="1:18" s="46" customFormat="1" ht="24.95" customHeight="1" x14ac:dyDescent="0.25">
      <c r="A13" s="47">
        <v>2</v>
      </c>
      <c r="B13" s="35" t="s">
        <v>117</v>
      </c>
      <c r="C13" s="36">
        <v>412.79999999999995</v>
      </c>
      <c r="D13" s="37">
        <v>94</v>
      </c>
      <c r="E13" s="37">
        <v>98.3</v>
      </c>
      <c r="F13" s="37">
        <v>0</v>
      </c>
      <c r="G13" s="36">
        <v>96</v>
      </c>
      <c r="H13" s="38">
        <f t="shared" ref="H13:H21" si="1">(E13+F13)/D13</f>
        <v>1.0457446808510638</v>
      </c>
      <c r="I13" s="36">
        <v>412.79999999999973</v>
      </c>
      <c r="J13" s="37">
        <v>4.3</v>
      </c>
      <c r="K13" s="39">
        <f>J13/D13</f>
        <v>4.5744680851063826E-2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69" t="s">
        <v>84</v>
      </c>
      <c r="Q13" s="44"/>
      <c r="R13" s="45" t="s">
        <v>119</v>
      </c>
    </row>
    <row r="14" spans="1:18" s="46" customFormat="1" ht="24.95" customHeight="1" x14ac:dyDescent="0.25">
      <c r="A14" s="47">
        <v>3</v>
      </c>
      <c r="B14" s="35" t="s">
        <v>59</v>
      </c>
      <c r="C14" s="36">
        <v>355.34999999999997</v>
      </c>
      <c r="D14" s="37">
        <v>2822</v>
      </c>
      <c r="E14" s="37">
        <v>2845</v>
      </c>
      <c r="F14" s="37">
        <v>0</v>
      </c>
      <c r="G14" s="36">
        <v>15.45</v>
      </c>
      <c r="H14" s="38">
        <f>(E14+F14)/D14</f>
        <v>1.0081502480510276</v>
      </c>
      <c r="I14" s="36">
        <v>355.34999999999997</v>
      </c>
      <c r="J14" s="37">
        <v>23</v>
      </c>
      <c r="K14" s="39">
        <f t="shared" ref="K14:K21" si="4">J14/D14</f>
        <v>8.1502480510276393E-3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60</v>
      </c>
      <c r="Q14" s="44" t="s">
        <v>61</v>
      </c>
      <c r="R14" s="45" t="s">
        <v>62</v>
      </c>
    </row>
    <row r="15" spans="1:18" s="46" customFormat="1" ht="24.95" customHeight="1" x14ac:dyDescent="0.25">
      <c r="A15" s="34">
        <v>4</v>
      </c>
      <c r="B15" s="35" t="s">
        <v>154</v>
      </c>
      <c r="C15" s="36">
        <v>278.17439999999999</v>
      </c>
      <c r="D15" s="37">
        <v>30.28</v>
      </c>
      <c r="E15" s="37">
        <v>33</v>
      </c>
      <c r="F15" s="37">
        <v>0</v>
      </c>
      <c r="G15" s="36">
        <v>102.27</v>
      </c>
      <c r="H15" s="38">
        <f>(E15+F15)/D15</f>
        <v>1.0898282694848085</v>
      </c>
      <c r="I15" s="36">
        <v>278.17439999999988</v>
      </c>
      <c r="J15" s="37">
        <v>2.72</v>
      </c>
      <c r="K15" s="39">
        <f t="shared" si="4"/>
        <v>8.982826948480846E-2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69" t="s">
        <v>67</v>
      </c>
      <c r="Q15" s="44"/>
      <c r="R15" s="45" t="s">
        <v>155</v>
      </c>
    </row>
    <row r="16" spans="1:18" s="46" customFormat="1" ht="24.95" customHeight="1" x14ac:dyDescent="0.25">
      <c r="A16" s="47">
        <v>5</v>
      </c>
      <c r="B16" s="35" t="s">
        <v>204</v>
      </c>
      <c r="C16" s="36">
        <v>275.25960000000003</v>
      </c>
      <c r="D16" s="37">
        <v>29.49</v>
      </c>
      <c r="E16" s="37">
        <v>32.57</v>
      </c>
      <c r="F16" s="37">
        <v>0</v>
      </c>
      <c r="G16" s="36">
        <v>89.37</v>
      </c>
      <c r="H16" s="38">
        <f t="shared" si="1"/>
        <v>1.1044421837911158</v>
      </c>
      <c r="I16" s="36">
        <v>275.25960000000021</v>
      </c>
      <c r="J16" s="37">
        <v>3.08</v>
      </c>
      <c r="K16" s="39">
        <f t="shared" si="4"/>
        <v>0.10444218379111564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69" t="s">
        <v>67</v>
      </c>
      <c r="Q16" s="44"/>
      <c r="R16" s="45" t="s">
        <v>203</v>
      </c>
    </row>
    <row r="17" spans="1:18" s="46" customFormat="1" ht="24.95" customHeight="1" x14ac:dyDescent="0.25">
      <c r="A17" s="34">
        <v>6</v>
      </c>
      <c r="B17" s="35" t="s">
        <v>120</v>
      </c>
      <c r="C17" s="36">
        <v>271.66449999999998</v>
      </c>
      <c r="D17" s="37">
        <v>16.04</v>
      </c>
      <c r="E17" s="37">
        <v>17.330000000000002</v>
      </c>
      <c r="F17" s="37">
        <v>0</v>
      </c>
      <c r="G17" s="36">
        <v>236.23</v>
      </c>
      <c r="H17" s="38">
        <f t="shared" si="1"/>
        <v>1.0804239401496261</v>
      </c>
      <c r="I17" s="36">
        <v>304.73670000000061</v>
      </c>
      <c r="J17" s="37">
        <v>1.1499999999999999</v>
      </c>
      <c r="K17" s="39">
        <f t="shared" si="4"/>
        <v>7.1695760598503744E-2</v>
      </c>
      <c r="L17" s="40">
        <f t="shared" si="2"/>
        <v>0.14000000000000279</v>
      </c>
      <c r="M17" s="41">
        <f t="shared" si="3"/>
        <v>8.7281795511223691E-3</v>
      </c>
      <c r="N17" s="42">
        <f t="shared" si="0"/>
        <v>33.072200000000656</v>
      </c>
      <c r="O17" s="43" t="s">
        <v>57</v>
      </c>
      <c r="P17" s="69" t="s">
        <v>67</v>
      </c>
      <c r="Q17" s="44"/>
      <c r="R17" s="45" t="s">
        <v>121</v>
      </c>
    </row>
    <row r="18" spans="1:18" s="46" customFormat="1" ht="24.95" customHeight="1" x14ac:dyDescent="0.25">
      <c r="A18" s="47">
        <v>7</v>
      </c>
      <c r="B18" s="35" t="s">
        <v>145</v>
      </c>
      <c r="C18" s="36">
        <v>268.601</v>
      </c>
      <c r="D18" s="37">
        <v>716.04</v>
      </c>
      <c r="E18" s="37">
        <v>712.82</v>
      </c>
      <c r="F18" s="37">
        <v>8.89</v>
      </c>
      <c r="G18" s="36">
        <v>47.54</v>
      </c>
      <c r="H18" s="38">
        <f t="shared" si="1"/>
        <v>1.0079185520361993</v>
      </c>
      <c r="I18" s="36">
        <v>269.55180000000348</v>
      </c>
      <c r="J18" s="37">
        <v>5.65</v>
      </c>
      <c r="K18" s="39">
        <f t="shared" si="4"/>
        <v>7.8906206357186766E-3</v>
      </c>
      <c r="L18" s="40">
        <f>((E18+F18)-D18)-J18</f>
        <v>2.0000000000072404E-2</v>
      </c>
      <c r="M18" s="41">
        <f t="shared" si="3"/>
        <v>2.7931400480521206E-5</v>
      </c>
      <c r="N18" s="42">
        <f t="shared" si="0"/>
        <v>0.95080000000344211</v>
      </c>
      <c r="O18" s="43" t="s">
        <v>57</v>
      </c>
      <c r="P18" s="69" t="s">
        <v>235</v>
      </c>
      <c r="Q18" s="44"/>
      <c r="R18" s="45" t="s">
        <v>58</v>
      </c>
    </row>
    <row r="19" spans="1:18" s="46" customFormat="1" ht="24.95" customHeight="1" x14ac:dyDescent="0.25">
      <c r="A19" s="34">
        <v>8</v>
      </c>
      <c r="B19" s="35" t="s">
        <v>201</v>
      </c>
      <c r="C19" s="36">
        <v>265.82400000000001</v>
      </c>
      <c r="D19" s="37">
        <v>30.28</v>
      </c>
      <c r="E19" s="37">
        <v>32.880000000000003</v>
      </c>
      <c r="F19" s="37">
        <v>0</v>
      </c>
      <c r="G19" s="36">
        <v>102.24</v>
      </c>
      <c r="H19" s="38">
        <f t="shared" si="1"/>
        <v>1.0858652575957728</v>
      </c>
      <c r="I19" s="36">
        <v>265.82400000000013</v>
      </c>
      <c r="J19" s="37">
        <v>2.6</v>
      </c>
      <c r="K19" s="39">
        <f t="shared" si="4"/>
        <v>8.5865257595772793E-2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69" t="s">
        <v>67</v>
      </c>
      <c r="Q19" s="44"/>
      <c r="R19" s="45" t="s">
        <v>155</v>
      </c>
    </row>
    <row r="20" spans="1:18" s="46" customFormat="1" ht="24.95" customHeight="1" x14ac:dyDescent="0.25">
      <c r="A20" s="47">
        <v>9</v>
      </c>
      <c r="B20" s="35" t="s">
        <v>205</v>
      </c>
      <c r="C20" s="36">
        <v>265.36020000000002</v>
      </c>
      <c r="D20" s="37">
        <v>402.99</v>
      </c>
      <c r="E20" s="37">
        <v>395.4</v>
      </c>
      <c r="F20" s="37">
        <v>12.73</v>
      </c>
      <c r="G20" s="36">
        <v>82.41</v>
      </c>
      <c r="H20" s="38">
        <f t="shared" si="1"/>
        <v>1.0127546589245391</v>
      </c>
      <c r="I20" s="36">
        <v>423.58739999999887</v>
      </c>
      <c r="J20" s="37">
        <v>3.22</v>
      </c>
      <c r="K20" s="39">
        <f t="shared" si="4"/>
        <v>7.9902727114816753E-3</v>
      </c>
      <c r="L20" s="40">
        <f t="shared" si="2"/>
        <v>1.9199999999999862</v>
      </c>
      <c r="M20" s="41">
        <f t="shared" si="3"/>
        <v>4.7643862130573615E-3</v>
      </c>
      <c r="N20" s="42">
        <f t="shared" si="0"/>
        <v>158.22719999999885</v>
      </c>
      <c r="O20" s="43" t="s">
        <v>57</v>
      </c>
      <c r="P20" s="69" t="s">
        <v>235</v>
      </c>
      <c r="Q20" s="44"/>
      <c r="R20" s="45" t="s">
        <v>206</v>
      </c>
    </row>
    <row r="21" spans="1:18" s="46" customFormat="1" ht="24.95" customHeight="1" thickBot="1" x14ac:dyDescent="0.3">
      <c r="A21" s="48">
        <v>10</v>
      </c>
      <c r="B21" s="49" t="s">
        <v>86</v>
      </c>
      <c r="C21" s="50">
        <v>259.97399999999999</v>
      </c>
      <c r="D21" s="51">
        <v>3537.3</v>
      </c>
      <c r="E21" s="51">
        <v>3532.95</v>
      </c>
      <c r="F21" s="51">
        <v>48</v>
      </c>
      <c r="G21" s="50">
        <v>39.39</v>
      </c>
      <c r="H21" s="52">
        <f t="shared" si="1"/>
        <v>1.0123399202781782</v>
      </c>
      <c r="I21" s="50">
        <v>1719.3734999999856</v>
      </c>
      <c r="J21" s="51">
        <v>6.6</v>
      </c>
      <c r="K21" s="53">
        <f t="shared" si="4"/>
        <v>1.8658298702400134E-3</v>
      </c>
      <c r="L21" s="54">
        <f t="shared" si="2"/>
        <v>37.049999999999635</v>
      </c>
      <c r="M21" s="55">
        <f t="shared" si="3"/>
        <v>1.0474090407938154E-2</v>
      </c>
      <c r="N21" s="56">
        <f t="shared" si="0"/>
        <v>1459.3994999999857</v>
      </c>
      <c r="O21" s="57" t="s">
        <v>57</v>
      </c>
      <c r="P21" s="57" t="s">
        <v>235</v>
      </c>
      <c r="Q21" s="57"/>
      <c r="R21" s="58" t="s">
        <v>58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56</v>
      </c>
      <c r="C28" s="36">
        <v>1941.8895999999997</v>
      </c>
      <c r="D28" s="37">
        <v>360.7</v>
      </c>
      <c r="E28" s="37">
        <v>357.49</v>
      </c>
      <c r="F28" s="37">
        <v>18.399999999999999</v>
      </c>
      <c r="G28" s="36">
        <v>127.84</v>
      </c>
      <c r="H28" s="68">
        <f t="shared" ref="H28:H37" si="5">(E28+F28)/D28</f>
        <v>1.0421125589132243</v>
      </c>
      <c r="I28" s="36">
        <v>1941.8895999999997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15.189999999999998</v>
      </c>
      <c r="N28" s="41">
        <f t="shared" ref="N28:N37" si="9">M28/D28</f>
        <v>4.2112558913224282E-2</v>
      </c>
      <c r="O28" s="43" t="s">
        <v>83</v>
      </c>
      <c r="P28" s="69" t="s">
        <v>235</v>
      </c>
      <c r="Q28" s="44"/>
      <c r="R28" s="45" t="s">
        <v>58</v>
      </c>
    </row>
    <row r="29" spans="1:18" s="67" customFormat="1" ht="24.95" customHeight="1" x14ac:dyDescent="0.25">
      <c r="A29" s="47">
        <v>2</v>
      </c>
      <c r="B29" s="35" t="s">
        <v>94</v>
      </c>
      <c r="C29" s="36">
        <v>1896.0913999999971</v>
      </c>
      <c r="D29" s="37">
        <v>147.53</v>
      </c>
      <c r="E29" s="37">
        <v>147.65</v>
      </c>
      <c r="F29" s="37">
        <v>3.01</v>
      </c>
      <c r="G29" s="36">
        <v>605.78</v>
      </c>
      <c r="H29" s="68">
        <f t="shared" si="5"/>
        <v>1.021216023859554</v>
      </c>
      <c r="I29" s="36">
        <v>1896.0913999999971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3.1299999999999955</v>
      </c>
      <c r="N29" s="41">
        <f t="shared" si="9"/>
        <v>2.1216023859553956E-2</v>
      </c>
      <c r="O29" s="43" t="s">
        <v>83</v>
      </c>
      <c r="P29" s="69" t="s">
        <v>235</v>
      </c>
      <c r="Q29" s="44"/>
      <c r="R29" s="45" t="s">
        <v>95</v>
      </c>
    </row>
    <row r="30" spans="1:18" s="67" customFormat="1" ht="24.95" customHeight="1" x14ac:dyDescent="0.25">
      <c r="A30" s="47">
        <v>3</v>
      </c>
      <c r="B30" s="35" t="s">
        <v>82</v>
      </c>
      <c r="C30" s="36">
        <v>1835.50349999999</v>
      </c>
      <c r="D30" s="37">
        <v>515.5</v>
      </c>
      <c r="E30" s="37">
        <v>516.15</v>
      </c>
      <c r="F30" s="37">
        <v>11.8</v>
      </c>
      <c r="G30" s="36">
        <v>147.43</v>
      </c>
      <c r="H30" s="68">
        <f t="shared" si="5"/>
        <v>1.0241513094083412</v>
      </c>
      <c r="I30" s="36">
        <v>1835.50349999999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12.449999999999932</v>
      </c>
      <c r="N30" s="41">
        <f t="shared" si="9"/>
        <v>2.4151309408341284E-2</v>
      </c>
      <c r="O30" s="43" t="s">
        <v>83</v>
      </c>
      <c r="P30" s="69" t="s">
        <v>84</v>
      </c>
      <c r="Q30" s="44" t="s">
        <v>85</v>
      </c>
      <c r="R30" s="45" t="s">
        <v>58</v>
      </c>
    </row>
    <row r="31" spans="1:18" s="67" customFormat="1" ht="24.95" customHeight="1" x14ac:dyDescent="0.25">
      <c r="A31" s="34">
        <v>4</v>
      </c>
      <c r="B31" s="35" t="s">
        <v>90</v>
      </c>
      <c r="C31" s="36">
        <v>1677.7472000000016</v>
      </c>
      <c r="D31" s="37">
        <v>40.61</v>
      </c>
      <c r="E31" s="37">
        <v>40.770000000000003</v>
      </c>
      <c r="F31" s="37">
        <v>2.4</v>
      </c>
      <c r="G31" s="36">
        <v>655.37</v>
      </c>
      <c r="H31" s="68">
        <f t="shared" si="5"/>
        <v>1.0630386604284658</v>
      </c>
      <c r="I31" s="36">
        <v>1677.7472000000016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2.5600000000000023</v>
      </c>
      <c r="N31" s="41">
        <f t="shared" si="9"/>
        <v>6.3038660428465954E-2</v>
      </c>
      <c r="O31" s="43" t="s">
        <v>83</v>
      </c>
      <c r="P31" s="69" t="s">
        <v>235</v>
      </c>
      <c r="Q31" s="44"/>
      <c r="R31" s="45" t="s">
        <v>77</v>
      </c>
    </row>
    <row r="32" spans="1:18" s="67" customFormat="1" ht="24.95" customHeight="1" x14ac:dyDescent="0.25">
      <c r="A32" s="47">
        <v>5</v>
      </c>
      <c r="B32" s="35" t="s">
        <v>89</v>
      </c>
      <c r="C32" s="36">
        <v>1550.1095999999977</v>
      </c>
      <c r="D32" s="37">
        <v>50.92</v>
      </c>
      <c r="E32" s="37">
        <v>49.12</v>
      </c>
      <c r="F32" s="37">
        <v>4.1399999999999997</v>
      </c>
      <c r="G32" s="36">
        <v>662.44</v>
      </c>
      <c r="H32" s="68">
        <f t="shared" si="5"/>
        <v>1.0459544383346424</v>
      </c>
      <c r="I32" s="36">
        <v>1550.1095999999977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2.3399999999999963</v>
      </c>
      <c r="N32" s="41">
        <f t="shared" si="9"/>
        <v>4.5954438334642501E-2</v>
      </c>
      <c r="O32" s="43" t="s">
        <v>83</v>
      </c>
      <c r="P32" s="69" t="s">
        <v>235</v>
      </c>
      <c r="Q32" s="44"/>
      <c r="R32" s="45" t="s">
        <v>58</v>
      </c>
    </row>
    <row r="33" spans="1:18" s="67" customFormat="1" ht="24.95" customHeight="1" x14ac:dyDescent="0.25">
      <c r="A33" s="34">
        <v>6</v>
      </c>
      <c r="B33" s="35" t="s">
        <v>86</v>
      </c>
      <c r="C33" s="36">
        <v>1459.3994999999857</v>
      </c>
      <c r="D33" s="37">
        <v>3537.3</v>
      </c>
      <c r="E33" s="37">
        <v>3532.95</v>
      </c>
      <c r="F33" s="37">
        <v>48</v>
      </c>
      <c r="G33" s="36">
        <v>39.39</v>
      </c>
      <c r="H33" s="68">
        <f t="shared" si="5"/>
        <v>1.0123399202781782</v>
      </c>
      <c r="I33" s="36">
        <v>1719.3734999999856</v>
      </c>
      <c r="J33" s="37">
        <v>6.6</v>
      </c>
      <c r="K33" s="39">
        <f t="shared" si="6"/>
        <v>1.8658298702400134E-3</v>
      </c>
      <c r="L33" s="42">
        <f t="shared" si="7"/>
        <v>259.97399999999999</v>
      </c>
      <c r="M33" s="40">
        <f t="shared" si="8"/>
        <v>37.049999999999635</v>
      </c>
      <c r="N33" s="41">
        <f t="shared" si="9"/>
        <v>1.0474090407938154E-2</v>
      </c>
      <c r="O33" s="43" t="s">
        <v>83</v>
      </c>
      <c r="P33" s="44" t="s">
        <v>60</v>
      </c>
      <c r="Q33" s="44" t="s">
        <v>87</v>
      </c>
      <c r="R33" s="45" t="s">
        <v>58</v>
      </c>
    </row>
    <row r="34" spans="1:18" s="67" customFormat="1" ht="24.95" customHeight="1" x14ac:dyDescent="0.25">
      <c r="A34" s="47">
        <v>7</v>
      </c>
      <c r="B34" s="35" t="s">
        <v>207</v>
      </c>
      <c r="C34" s="36">
        <v>1435.9293000000007</v>
      </c>
      <c r="D34" s="37">
        <v>202.8</v>
      </c>
      <c r="E34" s="37">
        <v>202.71</v>
      </c>
      <c r="F34" s="37">
        <v>14.52</v>
      </c>
      <c r="G34" s="36">
        <v>99.51</v>
      </c>
      <c r="H34" s="68">
        <f t="shared" si="5"/>
        <v>1.0711538461538461</v>
      </c>
      <c r="I34" s="36">
        <v>1435.9293000000007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14.430000000000007</v>
      </c>
      <c r="N34" s="41">
        <f t="shared" si="9"/>
        <v>7.1153846153846179E-2</v>
      </c>
      <c r="O34" s="43" t="s">
        <v>83</v>
      </c>
      <c r="P34" s="69" t="s">
        <v>235</v>
      </c>
      <c r="Q34" s="44"/>
      <c r="R34" s="45" t="s">
        <v>208</v>
      </c>
    </row>
    <row r="35" spans="1:18" s="67" customFormat="1" ht="24.95" customHeight="1" x14ac:dyDescent="0.25">
      <c r="A35" s="34">
        <v>8</v>
      </c>
      <c r="B35" s="35" t="s">
        <v>188</v>
      </c>
      <c r="C35" s="36">
        <v>1361.9000999999998</v>
      </c>
      <c r="D35" s="37">
        <v>36.83</v>
      </c>
      <c r="E35" s="37">
        <v>35.54</v>
      </c>
      <c r="F35" s="37">
        <v>4.4000000000000004</v>
      </c>
      <c r="G35" s="36">
        <v>437.91</v>
      </c>
      <c r="H35" s="68">
        <f t="shared" si="5"/>
        <v>1.0844420309530274</v>
      </c>
      <c r="I35" s="36">
        <v>1361.9000999999998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3.1099999999999994</v>
      </c>
      <c r="N35" s="41">
        <f t="shared" si="9"/>
        <v>8.4442030953027408E-2</v>
      </c>
      <c r="O35" s="43" t="s">
        <v>83</v>
      </c>
      <c r="P35" s="69" t="s">
        <v>235</v>
      </c>
      <c r="Q35" s="44"/>
      <c r="R35" s="45" t="s">
        <v>182</v>
      </c>
    </row>
    <row r="36" spans="1:18" s="67" customFormat="1" ht="24.95" customHeight="1" x14ac:dyDescent="0.25">
      <c r="A36" s="47">
        <v>9</v>
      </c>
      <c r="B36" s="35" t="s">
        <v>164</v>
      </c>
      <c r="C36" s="36">
        <v>1284.2446000000009</v>
      </c>
      <c r="D36" s="37">
        <v>293.02</v>
      </c>
      <c r="E36" s="37">
        <v>294.24</v>
      </c>
      <c r="F36" s="37">
        <v>18.2</v>
      </c>
      <c r="G36" s="36">
        <v>66.13</v>
      </c>
      <c r="H36" s="68">
        <f t="shared" si="5"/>
        <v>1.0662753395672651</v>
      </c>
      <c r="I36" s="36">
        <v>1284.2446000000009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19.420000000000016</v>
      </c>
      <c r="N36" s="41">
        <f t="shared" si="9"/>
        <v>6.6275339567265085E-2</v>
      </c>
      <c r="O36" s="43" t="s">
        <v>97</v>
      </c>
      <c r="P36" s="69" t="s">
        <v>235</v>
      </c>
      <c r="Q36" s="44"/>
      <c r="R36" s="45" t="s">
        <v>165</v>
      </c>
    </row>
    <row r="37" spans="1:18" s="67" customFormat="1" ht="24.95" customHeight="1" thickBot="1" x14ac:dyDescent="0.3">
      <c r="A37" s="48">
        <v>10</v>
      </c>
      <c r="B37" s="49" t="s">
        <v>132</v>
      </c>
      <c r="C37" s="50">
        <v>1100.75</v>
      </c>
      <c r="D37" s="51">
        <v>23.68</v>
      </c>
      <c r="E37" s="51">
        <v>23.83</v>
      </c>
      <c r="F37" s="51">
        <v>1.6</v>
      </c>
      <c r="G37" s="50">
        <v>629</v>
      </c>
      <c r="H37" s="70">
        <f t="shared" si="5"/>
        <v>1.073902027027027</v>
      </c>
      <c r="I37" s="50">
        <v>1100.75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1.75</v>
      </c>
      <c r="N37" s="55">
        <f t="shared" si="9"/>
        <v>7.3902027027027029E-2</v>
      </c>
      <c r="O37" s="57" t="s">
        <v>97</v>
      </c>
      <c r="P37" s="71" t="s">
        <v>235</v>
      </c>
      <c r="Q37" s="72"/>
      <c r="R37" s="58" t="s">
        <v>70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145</v>
      </c>
      <c r="C44" s="36">
        <v>268.601</v>
      </c>
      <c r="D44" s="78">
        <f t="shared" ref="D44:D53" si="10">C44/$L$5</f>
        <v>0.10715550779453681</v>
      </c>
      <c r="E44" s="79"/>
    </row>
    <row r="45" spans="1:18" s="80" customFormat="1" ht="24.95" customHeight="1" x14ac:dyDescent="0.25">
      <c r="A45" s="81">
        <v>2</v>
      </c>
      <c r="B45" s="35" t="s">
        <v>86</v>
      </c>
      <c r="C45" s="36">
        <v>259.97399999999999</v>
      </c>
      <c r="D45" s="78">
        <f t="shared" si="10"/>
        <v>0.10371385803990645</v>
      </c>
      <c r="E45" s="79"/>
    </row>
    <row r="46" spans="1:18" s="80" customFormat="1" ht="24.95" customHeight="1" x14ac:dyDescent="0.25">
      <c r="A46" s="81">
        <v>3</v>
      </c>
      <c r="B46" s="35" t="s">
        <v>105</v>
      </c>
      <c r="C46" s="36">
        <v>249.9</v>
      </c>
      <c r="D46" s="78">
        <f t="shared" si="10"/>
        <v>9.9694943048814974E-2</v>
      </c>
      <c r="E46" s="79"/>
    </row>
    <row r="47" spans="1:18" s="80" customFormat="1" ht="24.95" customHeight="1" x14ac:dyDescent="0.25">
      <c r="A47" s="77">
        <v>4</v>
      </c>
      <c r="B47" s="35" t="s">
        <v>104</v>
      </c>
      <c r="C47" s="36">
        <v>242.19</v>
      </c>
      <c r="D47" s="78">
        <f t="shared" si="10"/>
        <v>9.6619120676240483E-2</v>
      </c>
      <c r="E47" s="79"/>
    </row>
    <row r="48" spans="1:18" s="80" customFormat="1" ht="24.95" customHeight="1" x14ac:dyDescent="0.25">
      <c r="A48" s="81">
        <v>5</v>
      </c>
      <c r="B48" s="35" t="s">
        <v>110</v>
      </c>
      <c r="C48" s="36">
        <v>204.12700000000001</v>
      </c>
      <c r="D48" s="78">
        <f t="shared" si="10"/>
        <v>8.1434292275812142E-2</v>
      </c>
      <c r="E48" s="79"/>
    </row>
    <row r="49" spans="1:5" s="80" customFormat="1" ht="24.95" customHeight="1" x14ac:dyDescent="0.25">
      <c r="A49" s="77">
        <v>6</v>
      </c>
      <c r="B49" s="35" t="s">
        <v>147</v>
      </c>
      <c r="C49" s="36">
        <v>203.28719999999998</v>
      </c>
      <c r="D49" s="78">
        <f t="shared" si="10"/>
        <v>8.1099263011416789E-2</v>
      </c>
      <c r="E49" s="79"/>
    </row>
    <row r="50" spans="1:5" s="80" customFormat="1" ht="24.95" customHeight="1" x14ac:dyDescent="0.25">
      <c r="A50" s="81">
        <v>7</v>
      </c>
      <c r="B50" s="35" t="s">
        <v>109</v>
      </c>
      <c r="C50" s="36">
        <v>179.55200000000002</v>
      </c>
      <c r="D50" s="78">
        <f t="shared" si="10"/>
        <v>7.1630357800323438E-2</v>
      </c>
      <c r="E50" s="79"/>
    </row>
    <row r="51" spans="1:5" s="80" customFormat="1" ht="24.95" customHeight="1" x14ac:dyDescent="0.25">
      <c r="A51" s="77">
        <v>8</v>
      </c>
      <c r="B51" s="35" t="s">
        <v>108</v>
      </c>
      <c r="C51" s="36">
        <v>172.0575</v>
      </c>
      <c r="D51" s="78">
        <f t="shared" si="10"/>
        <v>6.864050685722882E-2</v>
      </c>
      <c r="E51" s="79"/>
    </row>
    <row r="52" spans="1:5" s="80" customFormat="1" ht="24.95" customHeight="1" x14ac:dyDescent="0.25">
      <c r="A52" s="81">
        <v>9</v>
      </c>
      <c r="B52" s="35" t="s">
        <v>125</v>
      </c>
      <c r="C52" s="36">
        <v>138</v>
      </c>
      <c r="D52" s="78">
        <f t="shared" si="10"/>
        <v>5.5053630014951845E-2</v>
      </c>
      <c r="E52" s="79"/>
    </row>
    <row r="53" spans="1:5" s="80" customFormat="1" ht="24.95" customHeight="1" thickBot="1" x14ac:dyDescent="0.3">
      <c r="A53" s="82">
        <v>10</v>
      </c>
      <c r="B53" s="49" t="s">
        <v>103</v>
      </c>
      <c r="C53" s="50">
        <v>129.19920000000002</v>
      </c>
      <c r="D53" s="83">
        <f t="shared" si="10"/>
        <v>5.1542644601650485E-2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13" priority="34" operator="containsText" text="中華">
      <formula>NOT(ISERROR(SEARCH("中華",A12)))</formula>
    </cfRule>
    <cfRule type="containsText" dxfId="712" priority="33" operator="containsText" text="湯凍">
      <formula>NOT(ISERROR(SEARCH("湯凍",A12)))</formula>
    </cfRule>
    <cfRule type="containsText" dxfId="711" priority="32" operator="containsText" text=")川燙小青花菜">
      <formula>NOT(ISERROR(SEARCH(")川燙小青花菜",A12)))</formula>
    </cfRule>
    <cfRule type="containsText" dxfId="710" priority="31" operator="containsText" text="青蔥">
      <formula>NOT(ISERROR(SEARCH("青蔥",A12)))</formula>
    </cfRule>
    <cfRule type="containsText" dxfId="709" priority="30" operator="containsText" text="白醬">
      <formula>NOT(ISERROR(SEARCH("白醬",A12)))</formula>
    </cfRule>
    <cfRule type="containsText" dxfId="708" priority="29" operator="containsText" text="024">
      <formula>NOT(ISERROR(SEARCH("024",A12)))</formula>
    </cfRule>
    <cfRule type="containsText" dxfId="707" priority="28" operator="containsText" text="煮白細麵生(方#12)">
      <formula>NOT(ISERROR(SEARCH("煮白細麵生(方#12)",A12)))</formula>
    </cfRule>
    <cfRule type="containsText" dxfId="706" priority="27" operator="containsText" text="綠豆芽">
      <formula>NOT(ISERROR(SEARCH("綠豆芽",A12)))</formula>
    </cfRule>
  </conditionalFormatting>
  <conditionalFormatting sqref="A28:A37">
    <cfRule type="containsText" dxfId="705" priority="5" operator="containsText" text="綠豆芽">
      <formula>NOT(ISERROR(SEARCH("綠豆芽",A28)))</formula>
    </cfRule>
    <cfRule type="containsText" dxfId="704" priority="6" operator="containsText" text="煮白細麵生(方#12)">
      <formula>NOT(ISERROR(SEARCH("煮白細麵生(方#12)",A28)))</formula>
    </cfRule>
    <cfRule type="containsText" dxfId="703" priority="7" operator="containsText" text="024">
      <formula>NOT(ISERROR(SEARCH("024",A28)))</formula>
    </cfRule>
    <cfRule type="containsText" dxfId="702" priority="8" operator="containsText" text="白醬">
      <formula>NOT(ISERROR(SEARCH("白醬",A28)))</formula>
    </cfRule>
    <cfRule type="containsText" dxfId="701" priority="9" operator="containsText" text="青蔥">
      <formula>NOT(ISERROR(SEARCH("青蔥",A28)))</formula>
    </cfRule>
    <cfRule type="containsText" dxfId="700" priority="10" operator="containsText" text=")川燙小青花菜">
      <formula>NOT(ISERROR(SEARCH(")川燙小青花菜",A28)))</formula>
    </cfRule>
    <cfRule type="containsText" dxfId="699" priority="11" operator="containsText" text="湯凍">
      <formula>NOT(ISERROR(SEARCH("湯凍",A28)))</formula>
    </cfRule>
    <cfRule type="containsText" dxfId="698" priority="12" operator="containsText" text="中華">
      <formula>NOT(ISERROR(SEARCH("中華",A28)))</formula>
    </cfRule>
  </conditionalFormatting>
  <conditionalFormatting sqref="A44:A53">
    <cfRule type="containsText" dxfId="697" priority="17" operator="containsText" text="綠豆芽">
      <formula>NOT(ISERROR(SEARCH("綠豆芽",A44)))</formula>
    </cfRule>
    <cfRule type="containsText" dxfId="696" priority="18" operator="containsText" text="煮白細麵生(方#12)">
      <formula>NOT(ISERROR(SEARCH("煮白細麵生(方#12)",A44)))</formula>
    </cfRule>
    <cfRule type="containsText" dxfId="695" priority="19" operator="containsText" text="024">
      <formula>NOT(ISERROR(SEARCH("024",A44)))</formula>
    </cfRule>
    <cfRule type="containsText" dxfId="694" priority="20" operator="containsText" text="白醬">
      <formula>NOT(ISERROR(SEARCH("白醬",A44)))</formula>
    </cfRule>
    <cfRule type="containsText" dxfId="693" priority="21" operator="containsText" text="青蔥">
      <formula>NOT(ISERROR(SEARCH("青蔥",A44)))</formula>
    </cfRule>
    <cfRule type="containsText" dxfId="692" priority="22" operator="containsText" text=")川燙小青花菜">
      <formula>NOT(ISERROR(SEARCH(")川燙小青花菜",A44)))</formula>
    </cfRule>
    <cfRule type="containsText" dxfId="691" priority="23" operator="containsText" text="湯凍">
      <formula>NOT(ISERROR(SEARCH("湯凍",A44)))</formula>
    </cfRule>
    <cfRule type="containsText" dxfId="690" priority="24" operator="containsText" text="中華">
      <formula>NOT(ISERROR(SEARCH("中華",A44)))</formula>
    </cfRule>
  </conditionalFormatting>
  <conditionalFormatting sqref="D44:D53">
    <cfRule type="cellIs" dxfId="689" priority="16" operator="greaterThan">
      <formula>0.146</formula>
    </cfRule>
  </conditionalFormatting>
  <conditionalFormatting sqref="E5">
    <cfRule type="cellIs" dxfId="688" priority="25" operator="greaterThan">
      <formula>0.072</formula>
    </cfRule>
    <cfRule type="cellIs" dxfId="687" priority="26" operator="greaterThan">
      <formula>7.2</formula>
    </cfRule>
    <cfRule type="cellIs" dxfId="686" priority="14" operator="greaterThan">
      <formula>0.0025</formula>
    </cfRule>
  </conditionalFormatting>
  <conditionalFormatting sqref="G5">
    <cfRule type="cellIs" dxfId="685" priority="3" operator="greaterThan">
      <formula>7.2</formula>
    </cfRule>
    <cfRule type="cellIs" dxfId="684" priority="2" operator="greaterThan">
      <formula>0.072</formula>
    </cfRule>
    <cfRule type="cellIs" dxfId="683" priority="1" operator="greaterThan">
      <formula>0.0025</formula>
    </cfRule>
  </conditionalFormatting>
  <conditionalFormatting sqref="H12:H22">
    <cfRule type="cellIs" dxfId="682" priority="15" operator="greaterThan">
      <formula>1.1</formula>
    </cfRule>
  </conditionalFormatting>
  <conditionalFormatting sqref="H28:H37">
    <cfRule type="cellIs" dxfId="681" priority="4" operator="greaterThan">
      <formula>1.1</formula>
    </cfRule>
  </conditionalFormatting>
  <conditionalFormatting sqref="I5">
    <cfRule type="cellIs" dxfId="68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4A2C-DD35-4685-891B-C8B725D63754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45919</v>
      </c>
      <c r="B3" s="149"/>
      <c r="C3" s="150">
        <v>5796047.9199999999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14036.895499999995</v>
      </c>
      <c r="E5" s="24">
        <f>D5/C3</f>
        <v>2.4218045975023606E-3</v>
      </c>
      <c r="F5" s="23">
        <v>41419.956299999991</v>
      </c>
      <c r="G5" s="25">
        <f>F5/C3</f>
        <v>7.1462411753145045E-3</v>
      </c>
      <c r="H5" s="26">
        <f>SUM(C12:C21)</f>
        <v>4383.8855000000003</v>
      </c>
      <c r="I5" s="27">
        <f>H5/D5</f>
        <v>0.31231161477265412</v>
      </c>
      <c r="J5" s="26">
        <f>SUM(C28:C37)</f>
        <v>13311.998000000016</v>
      </c>
      <c r="K5" s="28">
        <f>J5/F5</f>
        <v>0.32139092334097946</v>
      </c>
      <c r="L5" s="29">
        <v>2181.3901000000001</v>
      </c>
      <c r="M5" s="30">
        <f>L5/D5</f>
        <v>0.15540402790631311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127</v>
      </c>
      <c r="C12" s="36">
        <v>1220.3334</v>
      </c>
      <c r="D12" s="37">
        <v>90.22</v>
      </c>
      <c r="E12" s="37">
        <v>92.68</v>
      </c>
      <c r="F12" s="37">
        <v>5.6</v>
      </c>
      <c r="G12" s="36">
        <v>426.69</v>
      </c>
      <c r="H12" s="38">
        <f>(E12+F12)/D12</f>
        <v>1.0893371757925072</v>
      </c>
      <c r="I12" s="36">
        <v>3439.1214000000009</v>
      </c>
      <c r="J12" s="37">
        <v>2.86</v>
      </c>
      <c r="K12" s="39">
        <f>J12/D12</f>
        <v>3.1700288184438041E-2</v>
      </c>
      <c r="L12" s="40">
        <f>((E12+F12)-D12)-J12</f>
        <v>5.2000000000000028</v>
      </c>
      <c r="M12" s="41">
        <f>L12/D12</f>
        <v>5.7636887608069197E-2</v>
      </c>
      <c r="N12" s="42">
        <f t="shared" ref="N12:N21" si="0">L12*G12</f>
        <v>2218.7880000000014</v>
      </c>
      <c r="O12" s="43" t="s">
        <v>57</v>
      </c>
      <c r="P12" s="69" t="s">
        <v>67</v>
      </c>
      <c r="Q12" s="44"/>
      <c r="R12" s="45" t="s">
        <v>128</v>
      </c>
    </row>
    <row r="13" spans="1:18" s="46" customFormat="1" ht="24.95" customHeight="1" x14ac:dyDescent="0.25">
      <c r="A13" s="47">
        <v>2</v>
      </c>
      <c r="B13" s="35" t="s">
        <v>59</v>
      </c>
      <c r="C13" s="36">
        <v>865.19999999999993</v>
      </c>
      <c r="D13" s="37">
        <v>2967</v>
      </c>
      <c r="E13" s="37">
        <v>3023</v>
      </c>
      <c r="F13" s="37">
        <v>0</v>
      </c>
      <c r="G13" s="36">
        <v>15.45</v>
      </c>
      <c r="H13" s="38">
        <f t="shared" ref="H13:H21" si="1">(E13+F13)/D13</f>
        <v>1.0188742837883384</v>
      </c>
      <c r="I13" s="36">
        <v>865.19999999999993</v>
      </c>
      <c r="J13" s="37">
        <v>56</v>
      </c>
      <c r="K13" s="39">
        <f>J13/D13</f>
        <v>1.887428378833839E-2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60</v>
      </c>
      <c r="Q13" s="44" t="s">
        <v>61</v>
      </c>
      <c r="R13" s="45" t="s">
        <v>62</v>
      </c>
    </row>
    <row r="14" spans="1:18" s="46" customFormat="1" ht="24.95" customHeight="1" x14ac:dyDescent="0.25">
      <c r="A14" s="47">
        <v>3</v>
      </c>
      <c r="B14" s="35" t="s">
        <v>194</v>
      </c>
      <c r="C14" s="36">
        <v>308.07</v>
      </c>
      <c r="D14" s="37">
        <v>109.08</v>
      </c>
      <c r="E14" s="37">
        <v>111.78</v>
      </c>
      <c r="F14" s="37">
        <v>0</v>
      </c>
      <c r="G14" s="36">
        <v>114.1</v>
      </c>
      <c r="H14" s="38">
        <f>(E14+F14)/D14</f>
        <v>1.0247524752475248</v>
      </c>
      <c r="I14" s="36">
        <v>308.07000000000033</v>
      </c>
      <c r="J14" s="37">
        <v>2.7</v>
      </c>
      <c r="K14" s="39">
        <f t="shared" ref="K14:K21" si="4">J14/D14</f>
        <v>2.4752475247524754E-2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69" t="s">
        <v>235</v>
      </c>
      <c r="Q14" s="44"/>
      <c r="R14" s="45" t="s">
        <v>195</v>
      </c>
    </row>
    <row r="15" spans="1:18" s="46" customFormat="1" ht="24.95" customHeight="1" x14ac:dyDescent="0.25">
      <c r="A15" s="34">
        <v>4</v>
      </c>
      <c r="B15" s="35" t="s">
        <v>154</v>
      </c>
      <c r="C15" s="36">
        <v>290.4468</v>
      </c>
      <c r="D15" s="37">
        <v>28.02</v>
      </c>
      <c r="E15" s="37">
        <v>30.86</v>
      </c>
      <c r="F15" s="37">
        <v>0</v>
      </c>
      <c r="G15" s="36">
        <v>102.27</v>
      </c>
      <c r="H15" s="38">
        <f>(E15+F15)/D15</f>
        <v>1.1013561741613134</v>
      </c>
      <c r="I15" s="36">
        <v>290.4468</v>
      </c>
      <c r="J15" s="37">
        <v>2.84</v>
      </c>
      <c r="K15" s="39">
        <f t="shared" si="4"/>
        <v>0.10135617416131334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69" t="s">
        <v>67</v>
      </c>
      <c r="Q15" s="44"/>
      <c r="R15" s="45" t="s">
        <v>155</v>
      </c>
    </row>
    <row r="16" spans="1:18" s="46" customFormat="1" ht="24.95" customHeight="1" x14ac:dyDescent="0.25">
      <c r="A16" s="47">
        <v>5</v>
      </c>
      <c r="B16" s="35" t="s">
        <v>209</v>
      </c>
      <c r="C16" s="36">
        <v>287.41239999999999</v>
      </c>
      <c r="D16" s="37">
        <v>20.9</v>
      </c>
      <c r="E16" s="37">
        <v>22.56</v>
      </c>
      <c r="F16" s="37">
        <v>0</v>
      </c>
      <c r="G16" s="36">
        <v>173.14</v>
      </c>
      <c r="H16" s="38">
        <f t="shared" si="1"/>
        <v>1.0794258373205741</v>
      </c>
      <c r="I16" s="36">
        <v>287.41239999999999</v>
      </c>
      <c r="J16" s="37">
        <v>1.66</v>
      </c>
      <c r="K16" s="39">
        <f t="shared" si="4"/>
        <v>7.9425837320574164E-2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69" t="s">
        <v>67</v>
      </c>
      <c r="Q16" s="44"/>
      <c r="R16" s="45" t="s">
        <v>210</v>
      </c>
    </row>
    <row r="17" spans="1:18" s="46" customFormat="1" ht="24.95" customHeight="1" x14ac:dyDescent="0.25">
      <c r="A17" s="34">
        <v>6</v>
      </c>
      <c r="B17" s="35" t="s">
        <v>110</v>
      </c>
      <c r="C17" s="36">
        <v>285.77780000000001</v>
      </c>
      <c r="D17" s="37">
        <v>88.34</v>
      </c>
      <c r="E17" s="37">
        <v>88.55</v>
      </c>
      <c r="F17" s="37">
        <v>3.36</v>
      </c>
      <c r="G17" s="36">
        <v>371.14</v>
      </c>
      <c r="H17" s="38">
        <f t="shared" si="1"/>
        <v>1.0404120443740095</v>
      </c>
      <c r="I17" s="36">
        <v>1324.9697999999973</v>
      </c>
      <c r="J17" s="37">
        <v>0.77</v>
      </c>
      <c r="K17" s="39">
        <f t="shared" si="4"/>
        <v>8.7163232963549924E-3</v>
      </c>
      <c r="L17" s="40">
        <f t="shared" si="2"/>
        <v>2.7999999999999932</v>
      </c>
      <c r="M17" s="41">
        <f t="shared" si="3"/>
        <v>3.1695721077654435E-2</v>
      </c>
      <c r="N17" s="42">
        <f t="shared" si="0"/>
        <v>1039.1919999999975</v>
      </c>
      <c r="O17" s="43" t="s">
        <v>57</v>
      </c>
      <c r="P17" s="69" t="s">
        <v>235</v>
      </c>
      <c r="Q17" s="44"/>
      <c r="R17" s="45" t="s">
        <v>58</v>
      </c>
    </row>
    <row r="18" spans="1:18" s="46" customFormat="1" ht="24.95" customHeight="1" x14ac:dyDescent="0.25">
      <c r="A18" s="47">
        <v>7</v>
      </c>
      <c r="B18" s="35" t="s">
        <v>164</v>
      </c>
      <c r="C18" s="36">
        <v>285.02029999999996</v>
      </c>
      <c r="D18" s="37">
        <v>249.62</v>
      </c>
      <c r="E18" s="37">
        <v>240.37</v>
      </c>
      <c r="F18" s="37">
        <v>15.5</v>
      </c>
      <c r="G18" s="36">
        <v>66.13</v>
      </c>
      <c r="H18" s="38">
        <f t="shared" si="1"/>
        <v>1.0250380578479288</v>
      </c>
      <c r="I18" s="36">
        <v>413.3125</v>
      </c>
      <c r="J18" s="37">
        <v>4.3099999999999996</v>
      </c>
      <c r="K18" s="39">
        <f t="shared" si="4"/>
        <v>1.7266244691931734E-2</v>
      </c>
      <c r="L18" s="40">
        <f>((E18+F18)-D18)-J18</f>
        <v>1.9400000000000004</v>
      </c>
      <c r="M18" s="41">
        <f t="shared" si="3"/>
        <v>7.7718131559971169E-3</v>
      </c>
      <c r="N18" s="42">
        <f t="shared" si="0"/>
        <v>128.29220000000001</v>
      </c>
      <c r="O18" s="43" t="s">
        <v>57</v>
      </c>
      <c r="P18" s="69" t="s">
        <v>235</v>
      </c>
      <c r="Q18" s="44"/>
      <c r="R18" s="45" t="s">
        <v>165</v>
      </c>
    </row>
    <row r="19" spans="1:18" s="46" customFormat="1" ht="24.95" customHeight="1" x14ac:dyDescent="0.25">
      <c r="A19" s="34">
        <v>8</v>
      </c>
      <c r="B19" s="35" t="s">
        <v>120</v>
      </c>
      <c r="C19" s="36">
        <v>283.476</v>
      </c>
      <c r="D19" s="37">
        <v>14.74</v>
      </c>
      <c r="E19" s="37">
        <v>15.94</v>
      </c>
      <c r="F19" s="37">
        <v>0</v>
      </c>
      <c r="G19" s="36">
        <v>236.23</v>
      </c>
      <c r="H19" s="38">
        <f t="shared" si="1"/>
        <v>1.0814111261872454</v>
      </c>
      <c r="I19" s="36">
        <v>283.47599999999983</v>
      </c>
      <c r="J19" s="37">
        <v>1.2</v>
      </c>
      <c r="K19" s="39">
        <f t="shared" si="4"/>
        <v>8.141112618724558E-2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69" t="s">
        <v>67</v>
      </c>
      <c r="Q19" s="44"/>
      <c r="R19" s="45" t="s">
        <v>121</v>
      </c>
    </row>
    <row r="20" spans="1:18" s="46" customFormat="1" ht="24.95" customHeight="1" x14ac:dyDescent="0.25">
      <c r="A20" s="47">
        <v>9</v>
      </c>
      <c r="B20" s="35" t="s">
        <v>109</v>
      </c>
      <c r="C20" s="36">
        <v>279.464</v>
      </c>
      <c r="D20" s="37">
        <v>214.47</v>
      </c>
      <c r="E20" s="37">
        <v>216.4</v>
      </c>
      <c r="F20" s="37">
        <v>0</v>
      </c>
      <c r="G20" s="36">
        <v>144.80000000000001</v>
      </c>
      <c r="H20" s="38">
        <f t="shared" si="1"/>
        <v>1.0089989275889402</v>
      </c>
      <c r="I20" s="36">
        <v>279.46400000000102</v>
      </c>
      <c r="J20" s="37">
        <v>1.93</v>
      </c>
      <c r="K20" s="39">
        <f t="shared" si="4"/>
        <v>8.9989275889401782E-3</v>
      </c>
      <c r="L20" s="40">
        <f t="shared" si="2"/>
        <v>6.8833827526759706E-15</v>
      </c>
      <c r="M20" s="41">
        <f t="shared" si="3"/>
        <v>3.209485127372579E-17</v>
      </c>
      <c r="N20" s="42">
        <f t="shared" si="0"/>
        <v>9.9671382258748058E-13</v>
      </c>
      <c r="O20" s="43" t="s">
        <v>57</v>
      </c>
      <c r="P20" s="69" t="s">
        <v>235</v>
      </c>
      <c r="Q20" s="44"/>
      <c r="R20" s="45" t="s">
        <v>58</v>
      </c>
    </row>
    <row r="21" spans="1:18" s="46" customFormat="1" ht="24.95" customHeight="1" thickBot="1" x14ac:dyDescent="0.3">
      <c r="A21" s="48">
        <v>10</v>
      </c>
      <c r="B21" s="49" t="s">
        <v>147</v>
      </c>
      <c r="C21" s="50">
        <v>278.6848</v>
      </c>
      <c r="D21" s="51">
        <v>219.96</v>
      </c>
      <c r="E21" s="51">
        <v>222.88</v>
      </c>
      <c r="F21" s="51">
        <v>0</v>
      </c>
      <c r="G21" s="50">
        <v>95.44</v>
      </c>
      <c r="H21" s="52">
        <f t="shared" si="1"/>
        <v>1.0132751409347154</v>
      </c>
      <c r="I21" s="50">
        <v>278.6847999999988</v>
      </c>
      <c r="J21" s="51">
        <v>2.92</v>
      </c>
      <c r="K21" s="53">
        <f t="shared" si="4"/>
        <v>1.3275140934715402E-2</v>
      </c>
      <c r="L21" s="54">
        <f t="shared" si="2"/>
        <v>-1.2434497875801753E-14</v>
      </c>
      <c r="M21" s="55">
        <f t="shared" si="3"/>
        <v>-5.6530723203317664E-17</v>
      </c>
      <c r="N21" s="56">
        <f t="shared" si="0"/>
        <v>-1.1867484772665192E-12</v>
      </c>
      <c r="O21" s="57" t="s">
        <v>57</v>
      </c>
      <c r="P21" s="57" t="s">
        <v>235</v>
      </c>
      <c r="Q21" s="57"/>
      <c r="R21" s="58" t="s">
        <v>58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127</v>
      </c>
      <c r="C28" s="36">
        <v>2218.7880000000009</v>
      </c>
      <c r="D28" s="37">
        <v>90.22</v>
      </c>
      <c r="E28" s="37">
        <v>92.68</v>
      </c>
      <c r="F28" s="37">
        <v>5.6</v>
      </c>
      <c r="G28" s="36">
        <v>426.69</v>
      </c>
      <c r="H28" s="68">
        <f t="shared" ref="H28:H37" si="5">(E28+F28)/D28</f>
        <v>1.0893371757925072</v>
      </c>
      <c r="I28" s="36">
        <v>3439.1214000000009</v>
      </c>
      <c r="J28" s="37">
        <v>2.86</v>
      </c>
      <c r="K28" s="39">
        <f t="shared" ref="K28:K37" si="6">J28/D28</f>
        <v>3.1700288184438041E-2</v>
      </c>
      <c r="L28" s="42">
        <f t="shared" ref="L28:L37" si="7">J28*G28</f>
        <v>1220.3334</v>
      </c>
      <c r="M28" s="40">
        <f t="shared" ref="M28:M37" si="8">((E28+F28)-D28)-J28</f>
        <v>5.2000000000000028</v>
      </c>
      <c r="N28" s="41">
        <f t="shared" ref="N28:N37" si="9">M28/D28</f>
        <v>5.7636887608069197E-2</v>
      </c>
      <c r="O28" s="43" t="s">
        <v>83</v>
      </c>
      <c r="P28" s="69" t="s">
        <v>235</v>
      </c>
      <c r="Q28" s="44"/>
      <c r="R28" s="45" t="s">
        <v>128</v>
      </c>
    </row>
    <row r="29" spans="1:18" s="67" customFormat="1" ht="24.95" customHeight="1" x14ac:dyDescent="0.25">
      <c r="A29" s="47">
        <v>2</v>
      </c>
      <c r="B29" s="35" t="s">
        <v>56</v>
      </c>
      <c r="C29" s="36">
        <v>2081.2351999999964</v>
      </c>
      <c r="D29" s="37">
        <v>373.44</v>
      </c>
      <c r="E29" s="37">
        <v>368.32</v>
      </c>
      <c r="F29" s="37">
        <v>21.4</v>
      </c>
      <c r="G29" s="36">
        <v>127.84</v>
      </c>
      <c r="H29" s="68">
        <f t="shared" si="5"/>
        <v>1.0435946872322193</v>
      </c>
      <c r="I29" s="36">
        <v>2081.2351999999964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16.279999999999973</v>
      </c>
      <c r="N29" s="41">
        <f t="shared" si="9"/>
        <v>4.3594687232219292E-2</v>
      </c>
      <c r="O29" s="43" t="s">
        <v>83</v>
      </c>
      <c r="P29" s="69" t="s">
        <v>235</v>
      </c>
      <c r="Q29" s="44"/>
      <c r="R29" s="45" t="s">
        <v>58</v>
      </c>
    </row>
    <row r="30" spans="1:18" s="67" customFormat="1" ht="24.95" customHeight="1" x14ac:dyDescent="0.25">
      <c r="A30" s="47">
        <v>3</v>
      </c>
      <c r="B30" s="35" t="s">
        <v>86</v>
      </c>
      <c r="C30" s="36">
        <v>1962.8037000000165</v>
      </c>
      <c r="D30" s="37">
        <v>3793.47</v>
      </c>
      <c r="E30" s="37">
        <v>3785.96</v>
      </c>
      <c r="F30" s="37">
        <v>58.8</v>
      </c>
      <c r="G30" s="36">
        <v>39.39</v>
      </c>
      <c r="H30" s="68">
        <f t="shared" si="5"/>
        <v>1.0135206025090486</v>
      </c>
      <c r="I30" s="36">
        <v>2020.3131000000164</v>
      </c>
      <c r="J30" s="37">
        <v>1.46</v>
      </c>
      <c r="K30" s="39">
        <f t="shared" si="6"/>
        <v>3.8487189828837452E-4</v>
      </c>
      <c r="L30" s="42">
        <f t="shared" si="7"/>
        <v>57.509399999999999</v>
      </c>
      <c r="M30" s="40">
        <f t="shared" si="8"/>
        <v>49.830000000000418</v>
      </c>
      <c r="N30" s="41">
        <f t="shared" si="9"/>
        <v>1.313573061076018E-2</v>
      </c>
      <c r="O30" s="43" t="s">
        <v>83</v>
      </c>
      <c r="P30" s="44" t="s">
        <v>60</v>
      </c>
      <c r="Q30" s="44" t="s">
        <v>87</v>
      </c>
      <c r="R30" s="45" t="s">
        <v>58</v>
      </c>
    </row>
    <row r="31" spans="1:18" s="67" customFormat="1" ht="24.95" customHeight="1" x14ac:dyDescent="0.25">
      <c r="A31" s="34">
        <v>4</v>
      </c>
      <c r="B31" s="35" t="s">
        <v>82</v>
      </c>
      <c r="C31" s="36">
        <v>1310.652699999998</v>
      </c>
      <c r="D31" s="37">
        <v>515.97</v>
      </c>
      <c r="E31" s="37">
        <v>512.1</v>
      </c>
      <c r="F31" s="37">
        <v>12.76</v>
      </c>
      <c r="G31" s="36">
        <v>147.43</v>
      </c>
      <c r="H31" s="68">
        <f t="shared" si="5"/>
        <v>1.0172296838963506</v>
      </c>
      <c r="I31" s="36">
        <v>1310.652699999998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8.8899999999999864</v>
      </c>
      <c r="N31" s="41">
        <f t="shared" si="9"/>
        <v>1.7229683896350535E-2</v>
      </c>
      <c r="O31" s="43" t="s">
        <v>83</v>
      </c>
      <c r="P31" s="69" t="s">
        <v>84</v>
      </c>
      <c r="Q31" s="44" t="s">
        <v>85</v>
      </c>
      <c r="R31" s="45" t="s">
        <v>58</v>
      </c>
    </row>
    <row r="32" spans="1:18" s="67" customFormat="1" ht="24.95" customHeight="1" x14ac:dyDescent="0.25">
      <c r="A32" s="47">
        <v>5</v>
      </c>
      <c r="B32" s="35" t="s">
        <v>90</v>
      </c>
      <c r="C32" s="36">
        <v>1068.2531000000017</v>
      </c>
      <c r="D32" s="37">
        <v>38.35</v>
      </c>
      <c r="E32" s="37">
        <v>37.56</v>
      </c>
      <c r="F32" s="37">
        <v>2.42</v>
      </c>
      <c r="G32" s="36">
        <v>655.37</v>
      </c>
      <c r="H32" s="68">
        <f t="shared" si="5"/>
        <v>1.042503259452412</v>
      </c>
      <c r="I32" s="36">
        <v>1068.2531000000017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1.6300000000000026</v>
      </c>
      <c r="N32" s="41">
        <f t="shared" si="9"/>
        <v>4.2503259452412061E-2</v>
      </c>
      <c r="O32" s="43" t="s">
        <v>83</v>
      </c>
      <c r="P32" s="69" t="s">
        <v>235</v>
      </c>
      <c r="Q32" s="44"/>
      <c r="R32" s="45" t="s">
        <v>77</v>
      </c>
    </row>
    <row r="33" spans="1:18" s="67" customFormat="1" ht="24.95" customHeight="1" x14ac:dyDescent="0.25">
      <c r="A33" s="34">
        <v>6</v>
      </c>
      <c r="B33" s="35" t="s">
        <v>110</v>
      </c>
      <c r="C33" s="36">
        <v>1039.1919999999973</v>
      </c>
      <c r="D33" s="37">
        <v>88.34</v>
      </c>
      <c r="E33" s="37">
        <v>88.55</v>
      </c>
      <c r="F33" s="37">
        <v>3.36</v>
      </c>
      <c r="G33" s="36">
        <v>371.14</v>
      </c>
      <c r="H33" s="68">
        <f t="shared" si="5"/>
        <v>1.0404120443740095</v>
      </c>
      <c r="I33" s="36">
        <v>1324.9697999999973</v>
      </c>
      <c r="J33" s="37">
        <v>0.77</v>
      </c>
      <c r="K33" s="39">
        <f t="shared" si="6"/>
        <v>8.7163232963549924E-3</v>
      </c>
      <c r="L33" s="42">
        <f t="shared" si="7"/>
        <v>285.77780000000001</v>
      </c>
      <c r="M33" s="40">
        <f t="shared" si="8"/>
        <v>2.7999999999999932</v>
      </c>
      <c r="N33" s="41">
        <f t="shared" si="9"/>
        <v>3.1695721077654435E-2</v>
      </c>
      <c r="O33" s="43" t="s">
        <v>83</v>
      </c>
      <c r="P33" s="69" t="s">
        <v>235</v>
      </c>
      <c r="Q33" s="44"/>
      <c r="R33" s="45" t="s">
        <v>58</v>
      </c>
    </row>
    <row r="34" spans="1:18" s="67" customFormat="1" ht="24.95" customHeight="1" x14ac:dyDescent="0.25">
      <c r="A34" s="47">
        <v>7</v>
      </c>
      <c r="B34" s="35" t="s">
        <v>124</v>
      </c>
      <c r="C34" s="36">
        <v>1038.885</v>
      </c>
      <c r="D34" s="37">
        <v>33.159999999999997</v>
      </c>
      <c r="E34" s="37">
        <v>32.86</v>
      </c>
      <c r="F34" s="37">
        <v>1.8</v>
      </c>
      <c r="G34" s="36">
        <v>692.59</v>
      </c>
      <c r="H34" s="68">
        <f t="shared" si="5"/>
        <v>1.0452352231604343</v>
      </c>
      <c r="I34" s="36">
        <v>1038.885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1.5</v>
      </c>
      <c r="N34" s="41">
        <f t="shared" si="9"/>
        <v>4.5235223160434261E-2</v>
      </c>
      <c r="O34" s="43" t="s">
        <v>83</v>
      </c>
      <c r="P34" s="69" t="s">
        <v>235</v>
      </c>
      <c r="Q34" s="44"/>
      <c r="R34" s="45" t="s">
        <v>121</v>
      </c>
    </row>
    <row r="35" spans="1:18" s="67" customFormat="1" ht="24.95" customHeight="1" x14ac:dyDescent="0.25">
      <c r="A35" s="34">
        <v>8</v>
      </c>
      <c r="B35" s="35" t="s">
        <v>89</v>
      </c>
      <c r="C35" s="36">
        <v>960.53800000000194</v>
      </c>
      <c r="D35" s="37">
        <v>44.18</v>
      </c>
      <c r="E35" s="37">
        <v>44.71</v>
      </c>
      <c r="F35" s="37">
        <v>0.92</v>
      </c>
      <c r="G35" s="36">
        <v>662.44</v>
      </c>
      <c r="H35" s="68">
        <f t="shared" si="5"/>
        <v>1.0328202806699864</v>
      </c>
      <c r="I35" s="36">
        <v>960.53800000000194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1.4500000000000028</v>
      </c>
      <c r="N35" s="41">
        <f t="shared" si="9"/>
        <v>3.2820280669986483E-2</v>
      </c>
      <c r="O35" s="43" t="s">
        <v>83</v>
      </c>
      <c r="P35" s="69" t="s">
        <v>235</v>
      </c>
      <c r="Q35" s="44"/>
      <c r="R35" s="45" t="s">
        <v>58</v>
      </c>
    </row>
    <row r="36" spans="1:18" s="67" customFormat="1" ht="24.95" customHeight="1" x14ac:dyDescent="0.25">
      <c r="A36" s="47">
        <v>9</v>
      </c>
      <c r="B36" s="35" t="s">
        <v>196</v>
      </c>
      <c r="C36" s="36">
        <v>826.58150000000023</v>
      </c>
      <c r="D36" s="37">
        <v>65.16</v>
      </c>
      <c r="E36" s="37">
        <v>64.05</v>
      </c>
      <c r="F36" s="37">
        <v>3.5</v>
      </c>
      <c r="G36" s="36">
        <v>345.85</v>
      </c>
      <c r="H36" s="68">
        <f t="shared" si="5"/>
        <v>1.0366789441375077</v>
      </c>
      <c r="I36" s="36">
        <v>826.58150000000023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2.3900000000000006</v>
      </c>
      <c r="N36" s="41">
        <f t="shared" si="9"/>
        <v>3.6678944137507684E-2</v>
      </c>
      <c r="O36" s="43" t="s">
        <v>97</v>
      </c>
      <c r="P36" s="69" t="s">
        <v>235</v>
      </c>
      <c r="Q36" s="44"/>
      <c r="R36" s="45" t="s">
        <v>197</v>
      </c>
    </row>
    <row r="37" spans="1:18" s="67" customFormat="1" ht="24.95" customHeight="1" thickBot="1" x14ac:dyDescent="0.3">
      <c r="A37" s="48">
        <v>10</v>
      </c>
      <c r="B37" s="49" t="s">
        <v>137</v>
      </c>
      <c r="C37" s="50">
        <v>805.06880000000081</v>
      </c>
      <c r="D37" s="51">
        <v>44.99</v>
      </c>
      <c r="E37" s="51">
        <v>45.13</v>
      </c>
      <c r="F37" s="51">
        <v>1.1399999999999999</v>
      </c>
      <c r="G37" s="50">
        <v>628.96</v>
      </c>
      <c r="H37" s="70">
        <f t="shared" si="5"/>
        <v>1.028450766837075</v>
      </c>
      <c r="I37" s="50">
        <v>805.06880000000081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1.2800000000000011</v>
      </c>
      <c r="N37" s="55">
        <f t="shared" si="9"/>
        <v>2.8450766837074929E-2</v>
      </c>
      <c r="O37" s="57" t="s">
        <v>97</v>
      </c>
      <c r="P37" s="71" t="s">
        <v>235</v>
      </c>
      <c r="Q37" s="72"/>
      <c r="R37" s="58" t="s">
        <v>138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110</v>
      </c>
      <c r="C44" s="36">
        <v>285.77780000000001</v>
      </c>
      <c r="D44" s="78">
        <f t="shared" ref="D44:D53" si="10">C44/$L$5</f>
        <v>0.13100719582435072</v>
      </c>
      <c r="E44" s="79"/>
    </row>
    <row r="45" spans="1:18" s="80" customFormat="1" ht="24.95" customHeight="1" x14ac:dyDescent="0.25">
      <c r="A45" s="81">
        <v>2</v>
      </c>
      <c r="B45" s="35" t="s">
        <v>109</v>
      </c>
      <c r="C45" s="36">
        <v>279.464</v>
      </c>
      <c r="D45" s="78">
        <f t="shared" si="10"/>
        <v>0.12811280293240535</v>
      </c>
      <c r="E45" s="79"/>
    </row>
    <row r="46" spans="1:18" s="80" customFormat="1" ht="24.95" customHeight="1" x14ac:dyDescent="0.25">
      <c r="A46" s="81">
        <v>3</v>
      </c>
      <c r="B46" s="35" t="s">
        <v>147</v>
      </c>
      <c r="C46" s="36">
        <v>278.6848</v>
      </c>
      <c r="D46" s="78">
        <f t="shared" si="10"/>
        <v>0.12775559951427304</v>
      </c>
      <c r="E46" s="79"/>
    </row>
    <row r="47" spans="1:18" s="80" customFormat="1" ht="24.95" customHeight="1" x14ac:dyDescent="0.25">
      <c r="A47" s="77">
        <v>4</v>
      </c>
      <c r="B47" s="35" t="s">
        <v>105</v>
      </c>
      <c r="C47" s="36">
        <v>274.40000000000003</v>
      </c>
      <c r="D47" s="78">
        <f t="shared" si="10"/>
        <v>0.12579134745316761</v>
      </c>
      <c r="E47" s="79"/>
    </row>
    <row r="48" spans="1:18" s="80" customFormat="1" ht="24.95" customHeight="1" x14ac:dyDescent="0.25">
      <c r="A48" s="81">
        <v>5</v>
      </c>
      <c r="B48" s="35" t="s">
        <v>104</v>
      </c>
      <c r="C48" s="36">
        <v>235.17</v>
      </c>
      <c r="D48" s="78">
        <f t="shared" si="10"/>
        <v>0.1078074022615212</v>
      </c>
      <c r="E48" s="79"/>
    </row>
    <row r="49" spans="1:5" s="80" customFormat="1" ht="24.95" customHeight="1" x14ac:dyDescent="0.25">
      <c r="A49" s="77">
        <v>6</v>
      </c>
      <c r="B49" s="35" t="s">
        <v>108</v>
      </c>
      <c r="C49" s="36">
        <v>172.0575</v>
      </c>
      <c r="D49" s="78">
        <f t="shared" si="10"/>
        <v>7.8875163135653723E-2</v>
      </c>
      <c r="E49" s="79"/>
    </row>
    <row r="50" spans="1:5" s="80" customFormat="1" ht="24.95" customHeight="1" x14ac:dyDescent="0.25">
      <c r="A50" s="81">
        <v>7</v>
      </c>
      <c r="B50" s="35" t="s">
        <v>125</v>
      </c>
      <c r="C50" s="36">
        <v>138</v>
      </c>
      <c r="D50" s="78">
        <f t="shared" si="10"/>
        <v>6.3262412348896235E-2</v>
      </c>
      <c r="E50" s="79"/>
    </row>
    <row r="51" spans="1:5" s="80" customFormat="1" ht="24.95" customHeight="1" x14ac:dyDescent="0.25">
      <c r="A51" s="77">
        <v>8</v>
      </c>
      <c r="B51" s="35" t="s">
        <v>103</v>
      </c>
      <c r="C51" s="36">
        <v>129.19920000000002</v>
      </c>
      <c r="D51" s="78">
        <f t="shared" si="10"/>
        <v>5.9227920764837072E-2</v>
      </c>
      <c r="E51" s="79"/>
    </row>
    <row r="52" spans="1:5" s="80" customFormat="1" ht="24.95" customHeight="1" x14ac:dyDescent="0.25">
      <c r="A52" s="81">
        <v>9</v>
      </c>
      <c r="B52" s="35" t="s">
        <v>168</v>
      </c>
      <c r="C52" s="36">
        <v>88.892999999999986</v>
      </c>
      <c r="D52" s="78">
        <f t="shared" si="10"/>
        <v>4.0750620441524874E-2</v>
      </c>
      <c r="E52" s="79"/>
    </row>
    <row r="53" spans="1:5" s="80" customFormat="1" ht="24.95" customHeight="1" thickBot="1" x14ac:dyDescent="0.3">
      <c r="A53" s="82">
        <v>10</v>
      </c>
      <c r="B53" s="49" t="s">
        <v>73</v>
      </c>
      <c r="C53" s="50">
        <v>78.935000000000002</v>
      </c>
      <c r="D53" s="83">
        <f t="shared" si="10"/>
        <v>3.618564144029076E-2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79" priority="34" operator="containsText" text="中華">
      <formula>NOT(ISERROR(SEARCH("中華",A12)))</formula>
    </cfRule>
    <cfRule type="containsText" dxfId="678" priority="33" operator="containsText" text="湯凍">
      <formula>NOT(ISERROR(SEARCH("湯凍",A12)))</formula>
    </cfRule>
    <cfRule type="containsText" dxfId="677" priority="32" operator="containsText" text=")川燙小青花菜">
      <formula>NOT(ISERROR(SEARCH(")川燙小青花菜",A12)))</formula>
    </cfRule>
    <cfRule type="containsText" dxfId="676" priority="31" operator="containsText" text="青蔥">
      <formula>NOT(ISERROR(SEARCH("青蔥",A12)))</formula>
    </cfRule>
    <cfRule type="containsText" dxfId="675" priority="30" operator="containsText" text="白醬">
      <formula>NOT(ISERROR(SEARCH("白醬",A12)))</formula>
    </cfRule>
    <cfRule type="containsText" dxfId="674" priority="29" operator="containsText" text="024">
      <formula>NOT(ISERROR(SEARCH("024",A12)))</formula>
    </cfRule>
    <cfRule type="containsText" dxfId="673" priority="28" operator="containsText" text="煮白細麵生(方#12)">
      <formula>NOT(ISERROR(SEARCH("煮白細麵生(方#12)",A12)))</formula>
    </cfRule>
    <cfRule type="containsText" dxfId="672" priority="27" operator="containsText" text="綠豆芽">
      <formula>NOT(ISERROR(SEARCH("綠豆芽",A12)))</formula>
    </cfRule>
  </conditionalFormatting>
  <conditionalFormatting sqref="A28:A37">
    <cfRule type="containsText" dxfId="671" priority="5" operator="containsText" text="綠豆芽">
      <formula>NOT(ISERROR(SEARCH("綠豆芽",A28)))</formula>
    </cfRule>
    <cfRule type="containsText" dxfId="670" priority="6" operator="containsText" text="煮白細麵生(方#12)">
      <formula>NOT(ISERROR(SEARCH("煮白細麵生(方#12)",A28)))</formula>
    </cfRule>
    <cfRule type="containsText" dxfId="669" priority="7" operator="containsText" text="024">
      <formula>NOT(ISERROR(SEARCH("024",A28)))</formula>
    </cfRule>
    <cfRule type="containsText" dxfId="668" priority="8" operator="containsText" text="白醬">
      <formula>NOT(ISERROR(SEARCH("白醬",A28)))</formula>
    </cfRule>
    <cfRule type="containsText" dxfId="667" priority="9" operator="containsText" text="青蔥">
      <formula>NOT(ISERROR(SEARCH("青蔥",A28)))</formula>
    </cfRule>
    <cfRule type="containsText" dxfId="666" priority="10" operator="containsText" text=")川燙小青花菜">
      <formula>NOT(ISERROR(SEARCH(")川燙小青花菜",A28)))</formula>
    </cfRule>
    <cfRule type="containsText" dxfId="665" priority="11" operator="containsText" text="湯凍">
      <formula>NOT(ISERROR(SEARCH("湯凍",A28)))</formula>
    </cfRule>
    <cfRule type="containsText" dxfId="664" priority="12" operator="containsText" text="中華">
      <formula>NOT(ISERROR(SEARCH("中華",A28)))</formula>
    </cfRule>
  </conditionalFormatting>
  <conditionalFormatting sqref="A44:A53">
    <cfRule type="containsText" dxfId="663" priority="17" operator="containsText" text="綠豆芽">
      <formula>NOT(ISERROR(SEARCH("綠豆芽",A44)))</formula>
    </cfRule>
    <cfRule type="containsText" dxfId="662" priority="18" operator="containsText" text="煮白細麵生(方#12)">
      <formula>NOT(ISERROR(SEARCH("煮白細麵生(方#12)",A44)))</formula>
    </cfRule>
    <cfRule type="containsText" dxfId="661" priority="19" operator="containsText" text="024">
      <formula>NOT(ISERROR(SEARCH("024",A44)))</formula>
    </cfRule>
    <cfRule type="containsText" dxfId="660" priority="20" operator="containsText" text="白醬">
      <formula>NOT(ISERROR(SEARCH("白醬",A44)))</formula>
    </cfRule>
    <cfRule type="containsText" dxfId="659" priority="21" operator="containsText" text="青蔥">
      <formula>NOT(ISERROR(SEARCH("青蔥",A44)))</formula>
    </cfRule>
    <cfRule type="containsText" dxfId="658" priority="22" operator="containsText" text=")川燙小青花菜">
      <formula>NOT(ISERROR(SEARCH(")川燙小青花菜",A44)))</formula>
    </cfRule>
    <cfRule type="containsText" dxfId="657" priority="23" operator="containsText" text="湯凍">
      <formula>NOT(ISERROR(SEARCH("湯凍",A44)))</formula>
    </cfRule>
    <cfRule type="containsText" dxfId="656" priority="24" operator="containsText" text="中華">
      <formula>NOT(ISERROR(SEARCH("中華",A44)))</formula>
    </cfRule>
  </conditionalFormatting>
  <conditionalFormatting sqref="D44:D53">
    <cfRule type="cellIs" dxfId="655" priority="16" operator="greaterThan">
      <formula>0.146</formula>
    </cfRule>
  </conditionalFormatting>
  <conditionalFormatting sqref="E5">
    <cfRule type="cellIs" dxfId="654" priority="25" operator="greaterThan">
      <formula>0.072</formula>
    </cfRule>
    <cfRule type="cellIs" dxfId="653" priority="26" operator="greaterThan">
      <formula>7.2</formula>
    </cfRule>
    <cfRule type="cellIs" dxfId="652" priority="14" operator="greaterThan">
      <formula>0.0025</formula>
    </cfRule>
  </conditionalFormatting>
  <conditionalFormatting sqref="G5">
    <cfRule type="cellIs" dxfId="651" priority="3" operator="greaterThan">
      <formula>7.2</formula>
    </cfRule>
    <cfRule type="cellIs" dxfId="650" priority="2" operator="greaterThan">
      <formula>0.072</formula>
    </cfRule>
    <cfRule type="cellIs" dxfId="649" priority="1" operator="greaterThan">
      <formula>0.0025</formula>
    </cfRule>
  </conditionalFormatting>
  <conditionalFormatting sqref="H12:H22">
    <cfRule type="cellIs" dxfId="648" priority="15" operator="greaterThan">
      <formula>1.1</formula>
    </cfRule>
  </conditionalFormatting>
  <conditionalFormatting sqref="H28:H37">
    <cfRule type="cellIs" dxfId="647" priority="4" operator="greaterThan">
      <formula>1.1</formula>
    </cfRule>
  </conditionalFormatting>
  <conditionalFormatting sqref="I5">
    <cfRule type="cellIs" dxfId="64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02A8-C68F-463C-BB92-F72657D19DD0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45918</v>
      </c>
      <c r="B3" s="149"/>
      <c r="C3" s="150">
        <v>7356980.9800000004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17831.617799999993</v>
      </c>
      <c r="E5" s="24">
        <f>D5/C3</f>
        <v>2.4237683702697287E-3</v>
      </c>
      <c r="F5" s="23">
        <v>53044.101300000097</v>
      </c>
      <c r="G5" s="25">
        <f>F5/C3</f>
        <v>7.2100364870047676E-3</v>
      </c>
      <c r="H5" s="26">
        <f>SUM(C12:C21)</f>
        <v>5863.3725000000004</v>
      </c>
      <c r="I5" s="27">
        <f>H5/D5</f>
        <v>0.32881887475179078</v>
      </c>
      <c r="J5" s="26">
        <f>SUM(C28:C37)</f>
        <v>23351.342500000057</v>
      </c>
      <c r="K5" s="28">
        <f>J5/F5</f>
        <v>0.44022505665488604</v>
      </c>
      <c r="L5" s="29">
        <v>3415.2734000000005</v>
      </c>
      <c r="M5" s="30">
        <f>L5/D5</f>
        <v>0.19152908268368121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177</v>
      </c>
      <c r="C12" s="36">
        <v>1123.5576000000001</v>
      </c>
      <c r="D12" s="37">
        <v>103.75</v>
      </c>
      <c r="E12" s="37">
        <v>110.11</v>
      </c>
      <c r="F12" s="37">
        <v>0</v>
      </c>
      <c r="G12" s="36">
        <v>176.66</v>
      </c>
      <c r="H12" s="38">
        <f>(E12+F12)/D12</f>
        <v>1.0613012048192771</v>
      </c>
      <c r="I12" s="36">
        <v>1123.5575999999999</v>
      </c>
      <c r="J12" s="37">
        <v>6.36</v>
      </c>
      <c r="K12" s="39">
        <f>J12/D12</f>
        <v>6.1301204819277109E-2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69" t="s">
        <v>67</v>
      </c>
      <c r="Q12" s="44"/>
      <c r="R12" s="45" t="s">
        <v>178</v>
      </c>
    </row>
    <row r="13" spans="1:18" s="46" customFormat="1" ht="24.95" customHeight="1" x14ac:dyDescent="0.25">
      <c r="A13" s="47">
        <v>2</v>
      </c>
      <c r="B13" s="35" t="s">
        <v>59</v>
      </c>
      <c r="C13" s="36">
        <v>1112.3999999999999</v>
      </c>
      <c r="D13" s="37">
        <v>4194</v>
      </c>
      <c r="E13" s="37">
        <v>4266</v>
      </c>
      <c r="F13" s="37">
        <v>0</v>
      </c>
      <c r="G13" s="36">
        <v>15.45</v>
      </c>
      <c r="H13" s="38">
        <f t="shared" ref="H13:H21" si="1">(E13+F13)/D13</f>
        <v>1.0171673819742488</v>
      </c>
      <c r="I13" s="36">
        <v>1112.3999999999999</v>
      </c>
      <c r="J13" s="37">
        <v>72</v>
      </c>
      <c r="K13" s="39">
        <f>J13/D13</f>
        <v>1.7167381974248927E-2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60</v>
      </c>
      <c r="Q13" s="44" t="s">
        <v>61</v>
      </c>
      <c r="R13" s="45" t="s">
        <v>62</v>
      </c>
    </row>
    <row r="14" spans="1:18" s="46" customFormat="1" ht="24.95" customHeight="1" x14ac:dyDescent="0.25">
      <c r="A14" s="47">
        <v>3</v>
      </c>
      <c r="B14" s="35" t="s">
        <v>73</v>
      </c>
      <c r="C14" s="36">
        <v>737.25289999999995</v>
      </c>
      <c r="D14" s="37">
        <v>320</v>
      </c>
      <c r="E14" s="37">
        <v>324.67</v>
      </c>
      <c r="F14" s="37">
        <v>0</v>
      </c>
      <c r="G14" s="36">
        <v>157.87</v>
      </c>
      <c r="H14" s="38">
        <f>(E14+F14)/D14</f>
        <v>1.01459375</v>
      </c>
      <c r="I14" s="36">
        <v>737.25290000000257</v>
      </c>
      <c r="J14" s="37">
        <v>4.67</v>
      </c>
      <c r="K14" s="39">
        <f t="shared" ref="K14:K21" si="4">J14/D14</f>
        <v>1.4593749999999999E-2</v>
      </c>
      <c r="L14" s="40">
        <f t="shared" si="2"/>
        <v>1.5987211554602254E-14</v>
      </c>
      <c r="M14" s="41">
        <f t="shared" si="3"/>
        <v>4.9960036108132046E-17</v>
      </c>
      <c r="N14" s="42">
        <f t="shared" si="0"/>
        <v>2.5239010881250577E-12</v>
      </c>
      <c r="O14" s="43" t="s">
        <v>57</v>
      </c>
      <c r="P14" s="69" t="s">
        <v>235</v>
      </c>
      <c r="Q14" s="44"/>
      <c r="R14" s="45" t="s">
        <v>58</v>
      </c>
    </row>
    <row r="15" spans="1:18" s="46" customFormat="1" ht="24.95" customHeight="1" x14ac:dyDescent="0.25">
      <c r="A15" s="34">
        <v>4</v>
      </c>
      <c r="B15" s="35" t="s">
        <v>133</v>
      </c>
      <c r="C15" s="36">
        <v>638.495</v>
      </c>
      <c r="D15" s="37">
        <v>182.31</v>
      </c>
      <c r="E15" s="37">
        <v>187.69</v>
      </c>
      <c r="F15" s="37">
        <v>0</v>
      </c>
      <c r="G15" s="36">
        <v>152.75</v>
      </c>
      <c r="H15" s="38">
        <f>(E15+F15)/D15</f>
        <v>1.029510174976688</v>
      </c>
      <c r="I15" s="36">
        <v>821.79499999999928</v>
      </c>
      <c r="J15" s="37">
        <v>4.18</v>
      </c>
      <c r="K15" s="39">
        <f t="shared" si="4"/>
        <v>2.2927979814601502E-2</v>
      </c>
      <c r="L15" s="40">
        <f t="shared" si="2"/>
        <v>1.1999999999999957</v>
      </c>
      <c r="M15" s="41">
        <f t="shared" si="3"/>
        <v>6.5821951620865325E-3</v>
      </c>
      <c r="N15" s="42">
        <f t="shared" si="0"/>
        <v>183.29999999999936</v>
      </c>
      <c r="O15" s="43" t="s">
        <v>57</v>
      </c>
      <c r="P15" s="69" t="s">
        <v>235</v>
      </c>
      <c r="Q15" s="44"/>
      <c r="R15" s="45" t="s">
        <v>128</v>
      </c>
    </row>
    <row r="16" spans="1:18" s="46" customFormat="1" ht="24.95" customHeight="1" x14ac:dyDescent="0.25">
      <c r="A16" s="47">
        <v>5</v>
      </c>
      <c r="B16" s="35" t="s">
        <v>181</v>
      </c>
      <c r="C16" s="36">
        <v>506.71559999999999</v>
      </c>
      <c r="D16" s="37">
        <v>65.19</v>
      </c>
      <c r="E16" s="37">
        <v>62.8</v>
      </c>
      <c r="F16" s="37">
        <v>6.6</v>
      </c>
      <c r="G16" s="36">
        <v>120.36</v>
      </c>
      <c r="H16" s="38">
        <f t="shared" si="1"/>
        <v>1.0645804571253259</v>
      </c>
      <c r="I16" s="36">
        <v>506.71559999999926</v>
      </c>
      <c r="J16" s="37">
        <v>4.21</v>
      </c>
      <c r="K16" s="39">
        <f t="shared" si="4"/>
        <v>6.4580457125325966E-2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69" t="s">
        <v>67</v>
      </c>
      <c r="Q16" s="44"/>
      <c r="R16" s="45" t="s">
        <v>182</v>
      </c>
    </row>
    <row r="17" spans="1:18" s="46" customFormat="1" ht="24.95" customHeight="1" x14ac:dyDescent="0.25">
      <c r="A17" s="34">
        <v>6</v>
      </c>
      <c r="B17" s="35" t="s">
        <v>86</v>
      </c>
      <c r="C17" s="36">
        <v>384.84030000000001</v>
      </c>
      <c r="D17" s="37">
        <v>4359.3599999999997</v>
      </c>
      <c r="E17" s="37">
        <v>4342.3</v>
      </c>
      <c r="F17" s="37">
        <v>78.599999999999994</v>
      </c>
      <c r="G17" s="36">
        <v>39.39</v>
      </c>
      <c r="H17" s="38">
        <f t="shared" si="1"/>
        <v>1.014116751082728</v>
      </c>
      <c r="I17" s="36">
        <v>2424.0606000000344</v>
      </c>
      <c r="J17" s="37">
        <v>9.77</v>
      </c>
      <c r="K17" s="39">
        <f t="shared" si="4"/>
        <v>2.2411546649049401E-3</v>
      </c>
      <c r="L17" s="40">
        <f t="shared" si="2"/>
        <v>51.770000000000877</v>
      </c>
      <c r="M17" s="41">
        <f t="shared" si="3"/>
        <v>1.1875596417823002E-2</v>
      </c>
      <c r="N17" s="42">
        <f t="shared" si="0"/>
        <v>2039.2203000000345</v>
      </c>
      <c r="O17" s="43" t="s">
        <v>57</v>
      </c>
      <c r="P17" s="69" t="s">
        <v>235</v>
      </c>
      <c r="Q17" s="44"/>
      <c r="R17" s="45" t="s">
        <v>58</v>
      </c>
    </row>
    <row r="18" spans="1:18" s="46" customFormat="1" ht="24.95" customHeight="1" x14ac:dyDescent="0.25">
      <c r="A18" s="47">
        <v>7</v>
      </c>
      <c r="B18" s="35" t="s">
        <v>74</v>
      </c>
      <c r="C18" s="36">
        <v>370.7928</v>
      </c>
      <c r="D18" s="37">
        <v>76.36</v>
      </c>
      <c r="E18" s="37">
        <v>78.319999999999993</v>
      </c>
      <c r="F18" s="37">
        <v>0</v>
      </c>
      <c r="G18" s="36">
        <v>189.18</v>
      </c>
      <c r="H18" s="38">
        <f t="shared" si="1"/>
        <v>1.0256678889470927</v>
      </c>
      <c r="I18" s="36">
        <v>370.79279999999881</v>
      </c>
      <c r="J18" s="37">
        <v>1.96</v>
      </c>
      <c r="K18" s="39">
        <f t="shared" si="4"/>
        <v>2.566788894709272E-2</v>
      </c>
      <c r="L18" s="40">
        <f>((E18+F18)-D18)-J18</f>
        <v>-6.2172489379008766E-15</v>
      </c>
      <c r="M18" s="41">
        <f t="shared" si="3"/>
        <v>-8.1420232293096866E-17</v>
      </c>
      <c r="N18" s="42">
        <f t="shared" si="0"/>
        <v>-1.1761791540720878E-12</v>
      </c>
      <c r="O18" s="43" t="s">
        <v>57</v>
      </c>
      <c r="P18" s="69" t="s">
        <v>235</v>
      </c>
      <c r="Q18" s="44"/>
      <c r="R18" s="45" t="s">
        <v>75</v>
      </c>
    </row>
    <row r="19" spans="1:18" s="46" customFormat="1" ht="24.95" customHeight="1" x14ac:dyDescent="0.25">
      <c r="A19" s="34">
        <v>8</v>
      </c>
      <c r="B19" s="35" t="s">
        <v>82</v>
      </c>
      <c r="C19" s="36">
        <v>334.66610000000003</v>
      </c>
      <c r="D19" s="37">
        <v>719.53</v>
      </c>
      <c r="E19" s="37">
        <v>719.53</v>
      </c>
      <c r="F19" s="37">
        <v>23.62</v>
      </c>
      <c r="G19" s="36">
        <v>147.43</v>
      </c>
      <c r="H19" s="38">
        <f t="shared" si="1"/>
        <v>1.032826984281406</v>
      </c>
      <c r="I19" s="36">
        <v>3482.296600000001</v>
      </c>
      <c r="J19" s="37">
        <v>2.27</v>
      </c>
      <c r="K19" s="39">
        <f t="shared" si="4"/>
        <v>3.1548371853849042E-3</v>
      </c>
      <c r="L19" s="40">
        <f t="shared" si="2"/>
        <v>21.350000000000005</v>
      </c>
      <c r="M19" s="41">
        <f t="shared" si="3"/>
        <v>2.967214709602102E-2</v>
      </c>
      <c r="N19" s="42">
        <f t="shared" si="0"/>
        <v>3147.6305000000007</v>
      </c>
      <c r="O19" s="43" t="s">
        <v>57</v>
      </c>
      <c r="P19" s="69" t="s">
        <v>84</v>
      </c>
      <c r="Q19" s="44" t="s">
        <v>85</v>
      </c>
      <c r="R19" s="45" t="s">
        <v>58</v>
      </c>
    </row>
    <row r="20" spans="1:18" s="46" customFormat="1" ht="24.95" customHeight="1" x14ac:dyDescent="0.25">
      <c r="A20" s="47">
        <v>9</v>
      </c>
      <c r="B20" s="35" t="s">
        <v>191</v>
      </c>
      <c r="C20" s="36">
        <v>327.39449999999994</v>
      </c>
      <c r="D20" s="37">
        <v>114.92</v>
      </c>
      <c r="E20" s="37">
        <v>113.11999999999999</v>
      </c>
      <c r="F20" s="37">
        <v>4.3499999999999996</v>
      </c>
      <c r="G20" s="36">
        <v>128.38999999999999</v>
      </c>
      <c r="H20" s="38">
        <f t="shared" si="1"/>
        <v>1.0221893491124259</v>
      </c>
      <c r="I20" s="36">
        <v>327.39449999999778</v>
      </c>
      <c r="J20" s="37">
        <v>2.5499999999999998</v>
      </c>
      <c r="K20" s="39">
        <f t="shared" si="4"/>
        <v>2.2189349112426034E-2</v>
      </c>
      <c r="L20" s="40">
        <f t="shared" si="2"/>
        <v>-1.6875389974302379E-14</v>
      </c>
      <c r="M20" s="41">
        <f t="shared" si="3"/>
        <v>-1.4684467433259989E-16</v>
      </c>
      <c r="N20" s="42">
        <f t="shared" si="0"/>
        <v>-2.1666313188006824E-12</v>
      </c>
      <c r="O20" s="43" t="s">
        <v>57</v>
      </c>
      <c r="P20" s="69" t="s">
        <v>235</v>
      </c>
      <c r="Q20" s="44"/>
      <c r="R20" s="45" t="s">
        <v>68</v>
      </c>
    </row>
    <row r="21" spans="1:18" s="46" customFormat="1" ht="24.95" customHeight="1" thickBot="1" x14ac:dyDescent="0.3">
      <c r="A21" s="48">
        <v>10</v>
      </c>
      <c r="B21" s="49" t="s">
        <v>114</v>
      </c>
      <c r="C21" s="50">
        <v>327.2577</v>
      </c>
      <c r="D21" s="51">
        <v>89.98</v>
      </c>
      <c r="E21" s="51">
        <v>93.21</v>
      </c>
      <c r="F21" s="51">
        <v>0</v>
      </c>
      <c r="G21" s="50">
        <v>141.66999999999999</v>
      </c>
      <c r="H21" s="52">
        <f t="shared" si="1"/>
        <v>1.0358968659702155</v>
      </c>
      <c r="I21" s="50">
        <v>457.59409999999849</v>
      </c>
      <c r="J21" s="51">
        <v>2.31</v>
      </c>
      <c r="K21" s="53">
        <f t="shared" si="4"/>
        <v>2.567237163814181E-2</v>
      </c>
      <c r="L21" s="54">
        <f t="shared" si="2"/>
        <v>0.91999999999998971</v>
      </c>
      <c r="M21" s="55">
        <f t="shared" si="3"/>
        <v>1.022449433207368E-2</v>
      </c>
      <c r="N21" s="56">
        <f t="shared" si="0"/>
        <v>130.33639999999852</v>
      </c>
      <c r="O21" s="57" t="s">
        <v>57</v>
      </c>
      <c r="P21" s="57" t="s">
        <v>235</v>
      </c>
      <c r="Q21" s="57"/>
      <c r="R21" s="58" t="s">
        <v>95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188</v>
      </c>
      <c r="C28" s="36">
        <v>3459.4890000000028</v>
      </c>
      <c r="D28" s="37">
        <v>65.19</v>
      </c>
      <c r="E28" s="37">
        <v>60</v>
      </c>
      <c r="F28" s="37">
        <v>13.09</v>
      </c>
      <c r="G28" s="36">
        <v>437.91</v>
      </c>
      <c r="H28" s="68">
        <f t="shared" ref="H28:H37" si="5">(E28+F28)/D28</f>
        <v>1.1211842307102318</v>
      </c>
      <c r="I28" s="36">
        <v>3459.4890000000028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7.9000000000000057</v>
      </c>
      <c r="N28" s="41">
        <f t="shared" ref="N28:N37" si="9">M28/D28</f>
        <v>0.12118423071023172</v>
      </c>
      <c r="O28" s="43" t="s">
        <v>83</v>
      </c>
      <c r="P28" s="69" t="s">
        <v>235</v>
      </c>
      <c r="Q28" s="44"/>
      <c r="R28" s="45" t="s">
        <v>182</v>
      </c>
    </row>
    <row r="29" spans="1:18" s="67" customFormat="1" ht="24.95" customHeight="1" x14ac:dyDescent="0.25">
      <c r="A29" s="47">
        <v>2</v>
      </c>
      <c r="B29" s="35" t="s">
        <v>82</v>
      </c>
      <c r="C29" s="36">
        <v>3147.6305000000011</v>
      </c>
      <c r="D29" s="37">
        <v>719.53</v>
      </c>
      <c r="E29" s="37">
        <v>719.53</v>
      </c>
      <c r="F29" s="37">
        <v>23.62</v>
      </c>
      <c r="G29" s="36">
        <v>147.43</v>
      </c>
      <c r="H29" s="68">
        <f t="shared" si="5"/>
        <v>1.032826984281406</v>
      </c>
      <c r="I29" s="36">
        <v>3482.296600000001</v>
      </c>
      <c r="J29" s="37">
        <v>2.27</v>
      </c>
      <c r="K29" s="39">
        <f t="shared" si="6"/>
        <v>3.1548371853849042E-3</v>
      </c>
      <c r="L29" s="42">
        <f t="shared" si="7"/>
        <v>334.66610000000003</v>
      </c>
      <c r="M29" s="40">
        <f t="shared" si="8"/>
        <v>21.350000000000005</v>
      </c>
      <c r="N29" s="41">
        <f t="shared" si="9"/>
        <v>2.967214709602102E-2</v>
      </c>
      <c r="O29" s="43" t="s">
        <v>83</v>
      </c>
      <c r="P29" s="69" t="s">
        <v>84</v>
      </c>
      <c r="Q29" s="44" t="s">
        <v>85</v>
      </c>
      <c r="R29" s="45" t="s">
        <v>58</v>
      </c>
    </row>
    <row r="30" spans="1:18" s="67" customFormat="1" ht="24.95" customHeight="1" x14ac:dyDescent="0.25">
      <c r="A30" s="47">
        <v>3</v>
      </c>
      <c r="B30" s="35" t="s">
        <v>132</v>
      </c>
      <c r="C30" s="36">
        <v>2704.7000000000025</v>
      </c>
      <c r="D30" s="37">
        <v>55.64</v>
      </c>
      <c r="E30" s="37">
        <v>58.34</v>
      </c>
      <c r="F30" s="37">
        <v>1.6</v>
      </c>
      <c r="G30" s="36">
        <v>629</v>
      </c>
      <c r="H30" s="68">
        <f t="shared" si="5"/>
        <v>1.0772825305535587</v>
      </c>
      <c r="I30" s="36">
        <v>2704.7000000000025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4.3000000000000043</v>
      </c>
      <c r="N30" s="41">
        <f t="shared" si="9"/>
        <v>7.7282530553558673E-2</v>
      </c>
      <c r="O30" s="43" t="s">
        <v>83</v>
      </c>
      <c r="P30" s="69" t="s">
        <v>235</v>
      </c>
      <c r="Q30" s="44"/>
      <c r="R30" s="45" t="s">
        <v>70</v>
      </c>
    </row>
    <row r="31" spans="1:18" s="67" customFormat="1" ht="24.95" customHeight="1" x14ac:dyDescent="0.25">
      <c r="A31" s="34">
        <v>4</v>
      </c>
      <c r="B31" s="35" t="s">
        <v>127</v>
      </c>
      <c r="C31" s="36">
        <v>2632.6773000000007</v>
      </c>
      <c r="D31" s="37">
        <v>112.19</v>
      </c>
      <c r="E31" s="37">
        <v>111.96</v>
      </c>
      <c r="F31" s="37">
        <v>6.4</v>
      </c>
      <c r="G31" s="36">
        <v>426.69</v>
      </c>
      <c r="H31" s="68">
        <f t="shared" si="5"/>
        <v>1.0549959889473215</v>
      </c>
      <c r="I31" s="36">
        <v>2632.6773000000007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6.1700000000000017</v>
      </c>
      <c r="N31" s="41">
        <f t="shared" si="9"/>
        <v>5.4995988947321522E-2</v>
      </c>
      <c r="O31" s="43" t="s">
        <v>83</v>
      </c>
      <c r="P31" s="69" t="s">
        <v>235</v>
      </c>
      <c r="Q31" s="44"/>
      <c r="R31" s="45" t="s">
        <v>128</v>
      </c>
    </row>
    <row r="32" spans="1:18" s="67" customFormat="1" ht="24.95" customHeight="1" x14ac:dyDescent="0.25">
      <c r="A32" s="47">
        <v>5</v>
      </c>
      <c r="B32" s="35" t="s">
        <v>94</v>
      </c>
      <c r="C32" s="36">
        <v>2598.7961999999952</v>
      </c>
      <c r="D32" s="37">
        <v>161.21</v>
      </c>
      <c r="E32" s="37">
        <v>160.77000000000001</v>
      </c>
      <c r="F32" s="37">
        <v>4.7300000000000004</v>
      </c>
      <c r="G32" s="36">
        <v>605.78</v>
      </c>
      <c r="H32" s="68">
        <f t="shared" si="5"/>
        <v>1.026611252403697</v>
      </c>
      <c r="I32" s="36">
        <v>2598.7961999999952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4.289999999999992</v>
      </c>
      <c r="N32" s="41">
        <f t="shared" si="9"/>
        <v>2.6611252403696991E-2</v>
      </c>
      <c r="O32" s="43" t="s">
        <v>83</v>
      </c>
      <c r="P32" s="44" t="s">
        <v>60</v>
      </c>
      <c r="Q32" s="44" t="s">
        <v>87</v>
      </c>
      <c r="R32" s="45" t="s">
        <v>95</v>
      </c>
    </row>
    <row r="33" spans="1:18" s="67" customFormat="1" ht="24.95" customHeight="1" x14ac:dyDescent="0.25">
      <c r="A33" s="34">
        <v>6</v>
      </c>
      <c r="B33" s="35" t="s">
        <v>189</v>
      </c>
      <c r="C33" s="36">
        <v>2240</v>
      </c>
      <c r="D33" s="37">
        <v>55.74</v>
      </c>
      <c r="E33" s="37">
        <v>55.74</v>
      </c>
      <c r="F33" s="37">
        <v>2.5</v>
      </c>
      <c r="G33" s="36">
        <v>896</v>
      </c>
      <c r="H33" s="68">
        <f t="shared" si="5"/>
        <v>1.0448510943667026</v>
      </c>
      <c r="I33" s="36">
        <v>2240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2.5</v>
      </c>
      <c r="N33" s="41">
        <f t="shared" si="9"/>
        <v>4.4851094366702544E-2</v>
      </c>
      <c r="O33" s="43" t="s">
        <v>83</v>
      </c>
      <c r="P33" s="69" t="s">
        <v>235</v>
      </c>
      <c r="Q33" s="44"/>
      <c r="R33" s="45" t="s">
        <v>190</v>
      </c>
    </row>
    <row r="34" spans="1:18" s="67" customFormat="1" ht="24.95" customHeight="1" x14ac:dyDescent="0.25">
      <c r="A34" s="47">
        <v>7</v>
      </c>
      <c r="B34" s="35" t="s">
        <v>86</v>
      </c>
      <c r="C34" s="36">
        <v>2039.2203000000343</v>
      </c>
      <c r="D34" s="37">
        <v>4359.3599999999997</v>
      </c>
      <c r="E34" s="37">
        <v>4342.3</v>
      </c>
      <c r="F34" s="37">
        <v>78.599999999999994</v>
      </c>
      <c r="G34" s="36">
        <v>39.39</v>
      </c>
      <c r="H34" s="68">
        <f t="shared" si="5"/>
        <v>1.014116751082728</v>
      </c>
      <c r="I34" s="36">
        <v>2424.0606000000344</v>
      </c>
      <c r="J34" s="37">
        <v>9.77</v>
      </c>
      <c r="K34" s="39">
        <f t="shared" si="6"/>
        <v>2.2411546649049401E-3</v>
      </c>
      <c r="L34" s="42">
        <f t="shared" si="7"/>
        <v>384.84030000000001</v>
      </c>
      <c r="M34" s="40">
        <f t="shared" si="8"/>
        <v>51.770000000000877</v>
      </c>
      <c r="N34" s="41">
        <f t="shared" si="9"/>
        <v>1.1875596417823002E-2</v>
      </c>
      <c r="O34" s="43" t="s">
        <v>83</v>
      </c>
      <c r="P34" s="44" t="s">
        <v>60</v>
      </c>
      <c r="Q34" s="44" t="s">
        <v>87</v>
      </c>
      <c r="R34" s="45" t="s">
        <v>58</v>
      </c>
    </row>
    <row r="35" spans="1:18" s="67" customFormat="1" ht="24.95" customHeight="1" x14ac:dyDescent="0.25">
      <c r="A35" s="34">
        <v>8</v>
      </c>
      <c r="B35" s="35" t="s">
        <v>150</v>
      </c>
      <c r="C35" s="36">
        <v>1901.2392000000114</v>
      </c>
      <c r="D35" s="37">
        <v>349.32</v>
      </c>
      <c r="E35" s="37">
        <v>347.91</v>
      </c>
      <c r="F35" s="37">
        <v>8.5500000000000007</v>
      </c>
      <c r="G35" s="36">
        <v>266.27999999999997</v>
      </c>
      <c r="H35" s="68">
        <f t="shared" si="5"/>
        <v>1.020439711439368</v>
      </c>
      <c r="I35" s="36">
        <v>1901.2392000000114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7.1400000000000432</v>
      </c>
      <c r="N35" s="41">
        <f t="shared" si="9"/>
        <v>2.0439711439368038E-2</v>
      </c>
      <c r="O35" s="43" t="s">
        <v>83</v>
      </c>
      <c r="P35" s="69" t="s">
        <v>235</v>
      </c>
      <c r="Q35" s="44"/>
      <c r="R35" s="45" t="s">
        <v>151</v>
      </c>
    </row>
    <row r="36" spans="1:18" s="67" customFormat="1" ht="24.95" customHeight="1" x14ac:dyDescent="0.25">
      <c r="A36" s="47">
        <v>9</v>
      </c>
      <c r="B36" s="35" t="s">
        <v>110</v>
      </c>
      <c r="C36" s="36">
        <v>1462.2916000000096</v>
      </c>
      <c r="D36" s="37">
        <v>128.53</v>
      </c>
      <c r="E36" s="37">
        <v>129.11000000000001</v>
      </c>
      <c r="F36" s="37">
        <v>3.36</v>
      </c>
      <c r="G36" s="36">
        <v>371.14</v>
      </c>
      <c r="H36" s="68">
        <f t="shared" si="5"/>
        <v>1.0306543219481834</v>
      </c>
      <c r="I36" s="36">
        <v>1462.2916000000096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3.9400000000000261</v>
      </c>
      <c r="N36" s="41">
        <f t="shared" si="9"/>
        <v>3.0654321948183506E-2</v>
      </c>
      <c r="O36" s="43" t="s">
        <v>97</v>
      </c>
      <c r="P36" s="69" t="s">
        <v>235</v>
      </c>
      <c r="Q36" s="44"/>
      <c r="R36" s="45" t="s">
        <v>58</v>
      </c>
    </row>
    <row r="37" spans="1:18" s="67" customFormat="1" ht="24.95" customHeight="1" thickBot="1" x14ac:dyDescent="0.3">
      <c r="A37" s="48">
        <v>10</v>
      </c>
      <c r="B37" s="49" t="s">
        <v>91</v>
      </c>
      <c r="C37" s="50">
        <v>1165.298400000001</v>
      </c>
      <c r="D37" s="51">
        <v>463.59</v>
      </c>
      <c r="E37" s="51">
        <v>447.87</v>
      </c>
      <c r="F37" s="51">
        <v>51</v>
      </c>
      <c r="G37" s="50">
        <v>33.03</v>
      </c>
      <c r="H37" s="70">
        <f t="shared" si="5"/>
        <v>1.0761017278198408</v>
      </c>
      <c r="I37" s="50">
        <v>1165.298400000001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35.28000000000003</v>
      </c>
      <c r="N37" s="55">
        <f t="shared" si="9"/>
        <v>7.610172781984087E-2</v>
      </c>
      <c r="O37" s="57" t="s">
        <v>97</v>
      </c>
      <c r="P37" s="71" t="s">
        <v>235</v>
      </c>
      <c r="Q37" s="72"/>
      <c r="R37" s="58" t="s">
        <v>77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73</v>
      </c>
      <c r="C44" s="36">
        <v>737.25289999999995</v>
      </c>
      <c r="D44" s="78">
        <f t="shared" ref="D44:D53" si="10">C44/$L$5</f>
        <v>0.2158693649533299</v>
      </c>
      <c r="E44" s="79"/>
    </row>
    <row r="45" spans="1:18" s="80" customFormat="1" ht="24.95" customHeight="1" x14ac:dyDescent="0.25">
      <c r="A45" s="81">
        <v>2</v>
      </c>
      <c r="B45" s="35" t="s">
        <v>86</v>
      </c>
      <c r="C45" s="36">
        <v>384.84030000000001</v>
      </c>
      <c r="D45" s="78">
        <f t="shared" si="10"/>
        <v>0.11268213549170029</v>
      </c>
      <c r="E45" s="79"/>
    </row>
    <row r="46" spans="1:18" s="80" customFormat="1" ht="24.95" customHeight="1" x14ac:dyDescent="0.25">
      <c r="A46" s="81">
        <v>3</v>
      </c>
      <c r="B46" s="35" t="s">
        <v>82</v>
      </c>
      <c r="C46" s="36">
        <v>334.66610000000003</v>
      </c>
      <c r="D46" s="78">
        <f t="shared" si="10"/>
        <v>9.7991012959606688E-2</v>
      </c>
      <c r="E46" s="79"/>
    </row>
    <row r="47" spans="1:18" s="80" customFormat="1" ht="24.95" customHeight="1" x14ac:dyDescent="0.25">
      <c r="A47" s="77">
        <v>4</v>
      </c>
      <c r="B47" s="35" t="s">
        <v>105</v>
      </c>
      <c r="C47" s="36">
        <v>325.85000000000002</v>
      </c>
      <c r="D47" s="78">
        <f t="shared" si="10"/>
        <v>9.5409638361602322E-2</v>
      </c>
      <c r="E47" s="79"/>
    </row>
    <row r="48" spans="1:18" s="80" customFormat="1" ht="24.95" customHeight="1" x14ac:dyDescent="0.25">
      <c r="A48" s="81">
        <v>5</v>
      </c>
      <c r="B48" s="35" t="s">
        <v>104</v>
      </c>
      <c r="C48" s="36">
        <v>322.91999999999996</v>
      </c>
      <c r="D48" s="78">
        <f t="shared" si="10"/>
        <v>9.4551727542515313E-2</v>
      </c>
      <c r="E48" s="79"/>
    </row>
    <row r="49" spans="1:5" s="80" customFormat="1" ht="24.95" customHeight="1" x14ac:dyDescent="0.25">
      <c r="A49" s="77">
        <v>6</v>
      </c>
      <c r="B49" s="35" t="s">
        <v>126</v>
      </c>
      <c r="C49" s="36">
        <v>276.77999999999997</v>
      </c>
      <c r="D49" s="78">
        <f t="shared" si="10"/>
        <v>8.1041828159350265E-2</v>
      </c>
      <c r="E49" s="79"/>
    </row>
    <row r="50" spans="1:5" s="80" customFormat="1" ht="24.95" customHeight="1" x14ac:dyDescent="0.25">
      <c r="A50" s="81">
        <v>7</v>
      </c>
      <c r="B50" s="35" t="s">
        <v>147</v>
      </c>
      <c r="C50" s="36">
        <v>203.28719999999998</v>
      </c>
      <c r="D50" s="78">
        <f t="shared" si="10"/>
        <v>5.9522965277099035E-2</v>
      </c>
      <c r="E50" s="79"/>
    </row>
    <row r="51" spans="1:5" s="80" customFormat="1" ht="24.95" customHeight="1" x14ac:dyDescent="0.25">
      <c r="A51" s="77">
        <v>8</v>
      </c>
      <c r="B51" s="35" t="s">
        <v>109</v>
      </c>
      <c r="C51" s="36">
        <v>179.55200000000002</v>
      </c>
      <c r="D51" s="78">
        <f t="shared" si="10"/>
        <v>5.2573243477374312E-2</v>
      </c>
      <c r="E51" s="79"/>
    </row>
    <row r="52" spans="1:5" s="80" customFormat="1" ht="24.95" customHeight="1" x14ac:dyDescent="0.25">
      <c r="A52" s="81">
        <v>9</v>
      </c>
      <c r="B52" s="35" t="s">
        <v>103</v>
      </c>
      <c r="C52" s="36">
        <v>173.922</v>
      </c>
      <c r="D52" s="78">
        <f t="shared" si="10"/>
        <v>5.0924766374487021E-2</v>
      </c>
      <c r="E52" s="79"/>
    </row>
    <row r="53" spans="1:5" s="80" customFormat="1" ht="24.95" customHeight="1" thickBot="1" x14ac:dyDescent="0.3">
      <c r="A53" s="82">
        <v>10</v>
      </c>
      <c r="B53" s="49" t="s">
        <v>125</v>
      </c>
      <c r="C53" s="50">
        <v>170</v>
      </c>
      <c r="D53" s="83">
        <f t="shared" si="10"/>
        <v>4.9776395646685262E-2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45" priority="34" operator="containsText" text="中華">
      <formula>NOT(ISERROR(SEARCH("中華",A12)))</formula>
    </cfRule>
    <cfRule type="containsText" dxfId="644" priority="33" operator="containsText" text="湯凍">
      <formula>NOT(ISERROR(SEARCH("湯凍",A12)))</formula>
    </cfRule>
    <cfRule type="containsText" dxfId="643" priority="32" operator="containsText" text=")川燙小青花菜">
      <formula>NOT(ISERROR(SEARCH(")川燙小青花菜",A12)))</formula>
    </cfRule>
    <cfRule type="containsText" dxfId="642" priority="31" operator="containsText" text="青蔥">
      <formula>NOT(ISERROR(SEARCH("青蔥",A12)))</formula>
    </cfRule>
    <cfRule type="containsText" dxfId="641" priority="30" operator="containsText" text="白醬">
      <formula>NOT(ISERROR(SEARCH("白醬",A12)))</formula>
    </cfRule>
    <cfRule type="containsText" dxfId="640" priority="29" operator="containsText" text="024">
      <formula>NOT(ISERROR(SEARCH("024",A12)))</formula>
    </cfRule>
    <cfRule type="containsText" dxfId="639" priority="28" operator="containsText" text="煮白細麵生(方#12)">
      <formula>NOT(ISERROR(SEARCH("煮白細麵生(方#12)",A12)))</formula>
    </cfRule>
    <cfRule type="containsText" dxfId="638" priority="27" operator="containsText" text="綠豆芽">
      <formula>NOT(ISERROR(SEARCH("綠豆芽",A12)))</formula>
    </cfRule>
  </conditionalFormatting>
  <conditionalFormatting sqref="A28:A37">
    <cfRule type="containsText" dxfId="637" priority="5" operator="containsText" text="綠豆芽">
      <formula>NOT(ISERROR(SEARCH("綠豆芽",A28)))</formula>
    </cfRule>
    <cfRule type="containsText" dxfId="636" priority="6" operator="containsText" text="煮白細麵生(方#12)">
      <formula>NOT(ISERROR(SEARCH("煮白細麵生(方#12)",A28)))</formula>
    </cfRule>
    <cfRule type="containsText" dxfId="635" priority="7" operator="containsText" text="024">
      <formula>NOT(ISERROR(SEARCH("024",A28)))</formula>
    </cfRule>
    <cfRule type="containsText" dxfId="634" priority="8" operator="containsText" text="白醬">
      <formula>NOT(ISERROR(SEARCH("白醬",A28)))</formula>
    </cfRule>
    <cfRule type="containsText" dxfId="633" priority="9" operator="containsText" text="青蔥">
      <formula>NOT(ISERROR(SEARCH("青蔥",A28)))</formula>
    </cfRule>
    <cfRule type="containsText" dxfId="632" priority="10" operator="containsText" text=")川燙小青花菜">
      <formula>NOT(ISERROR(SEARCH(")川燙小青花菜",A28)))</formula>
    </cfRule>
    <cfRule type="containsText" dxfId="631" priority="11" operator="containsText" text="湯凍">
      <formula>NOT(ISERROR(SEARCH("湯凍",A28)))</formula>
    </cfRule>
    <cfRule type="containsText" dxfId="630" priority="12" operator="containsText" text="中華">
      <formula>NOT(ISERROR(SEARCH("中華",A28)))</formula>
    </cfRule>
  </conditionalFormatting>
  <conditionalFormatting sqref="A44:A53">
    <cfRule type="containsText" dxfId="629" priority="17" operator="containsText" text="綠豆芽">
      <formula>NOT(ISERROR(SEARCH("綠豆芽",A44)))</formula>
    </cfRule>
    <cfRule type="containsText" dxfId="628" priority="18" operator="containsText" text="煮白細麵生(方#12)">
      <formula>NOT(ISERROR(SEARCH("煮白細麵生(方#12)",A44)))</formula>
    </cfRule>
    <cfRule type="containsText" dxfId="627" priority="19" operator="containsText" text="024">
      <formula>NOT(ISERROR(SEARCH("024",A44)))</formula>
    </cfRule>
    <cfRule type="containsText" dxfId="626" priority="20" operator="containsText" text="白醬">
      <formula>NOT(ISERROR(SEARCH("白醬",A44)))</formula>
    </cfRule>
    <cfRule type="containsText" dxfId="625" priority="21" operator="containsText" text="青蔥">
      <formula>NOT(ISERROR(SEARCH("青蔥",A44)))</formula>
    </cfRule>
    <cfRule type="containsText" dxfId="624" priority="22" operator="containsText" text=")川燙小青花菜">
      <formula>NOT(ISERROR(SEARCH(")川燙小青花菜",A44)))</formula>
    </cfRule>
    <cfRule type="containsText" dxfId="623" priority="23" operator="containsText" text="湯凍">
      <formula>NOT(ISERROR(SEARCH("湯凍",A44)))</formula>
    </cfRule>
    <cfRule type="containsText" dxfId="622" priority="24" operator="containsText" text="中華">
      <formula>NOT(ISERROR(SEARCH("中華",A44)))</formula>
    </cfRule>
  </conditionalFormatting>
  <conditionalFormatting sqref="D44:D53">
    <cfRule type="cellIs" dxfId="621" priority="16" operator="greaterThan">
      <formula>0.146</formula>
    </cfRule>
  </conditionalFormatting>
  <conditionalFormatting sqref="E5">
    <cfRule type="cellIs" dxfId="620" priority="25" operator="greaterThan">
      <formula>0.072</formula>
    </cfRule>
    <cfRule type="cellIs" dxfId="619" priority="26" operator="greaterThan">
      <formula>7.2</formula>
    </cfRule>
    <cfRule type="cellIs" dxfId="618" priority="14" operator="greaterThan">
      <formula>0.0025</formula>
    </cfRule>
  </conditionalFormatting>
  <conditionalFormatting sqref="G5">
    <cfRule type="cellIs" dxfId="617" priority="3" operator="greaterThan">
      <formula>7.2</formula>
    </cfRule>
    <cfRule type="cellIs" dxfId="616" priority="2" operator="greaterThan">
      <formula>0.072</formula>
    </cfRule>
    <cfRule type="cellIs" dxfId="615" priority="1" operator="greaterThan">
      <formula>0.0025</formula>
    </cfRule>
  </conditionalFormatting>
  <conditionalFormatting sqref="H12:H22">
    <cfRule type="cellIs" dxfId="614" priority="15" operator="greaterThan">
      <formula>1.1</formula>
    </cfRule>
  </conditionalFormatting>
  <conditionalFormatting sqref="H28:H37">
    <cfRule type="cellIs" dxfId="613" priority="4" operator="greaterThan">
      <formula>1.1</formula>
    </cfRule>
  </conditionalFormatting>
  <conditionalFormatting sqref="I5">
    <cfRule type="cellIs" dxfId="61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E6BC-DC5A-4476-B410-0A5A91704628}">
  <sheetPr>
    <tabColor rgb="FFFF0000"/>
    <pageSetUpPr fitToPage="1"/>
  </sheetPr>
  <dimension ref="A1:R56"/>
  <sheetViews>
    <sheetView topLeftCell="B1"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45917</v>
      </c>
      <c r="B3" s="149"/>
      <c r="C3" s="150">
        <v>8026958.5199999996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19476.86129999999</v>
      </c>
      <c r="E5" s="24">
        <f>D5/C3</f>
        <v>2.4264310387890221E-3</v>
      </c>
      <c r="F5" s="23">
        <v>57892.892099999968</v>
      </c>
      <c r="G5" s="25">
        <f>F5/C3</f>
        <v>7.2123073709368032E-3</v>
      </c>
      <c r="H5" s="26">
        <f>SUM(C12:C21)</f>
        <v>5695.6570000000002</v>
      </c>
      <c r="I5" s="27">
        <f>H5/D5</f>
        <v>0.29243197413948846</v>
      </c>
      <c r="J5" s="26">
        <f>SUM(C28:C37)</f>
        <v>25858.326199999989</v>
      </c>
      <c r="K5" s="28">
        <f>J5/F5</f>
        <v>0.44665804837205575</v>
      </c>
      <c r="L5" s="29">
        <v>3625.0326</v>
      </c>
      <c r="M5" s="30">
        <f>L5/D5</f>
        <v>0.18611995763403633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59</v>
      </c>
      <c r="C12" s="36">
        <v>1313.25</v>
      </c>
      <c r="D12" s="37">
        <v>4425</v>
      </c>
      <c r="E12" s="37">
        <v>4510</v>
      </c>
      <c r="F12" s="37">
        <v>0</v>
      </c>
      <c r="G12" s="36">
        <v>15.45</v>
      </c>
      <c r="H12" s="38">
        <f>(E12+F12)/D12</f>
        <v>1.0192090395480227</v>
      </c>
      <c r="I12" s="36">
        <v>1313.25</v>
      </c>
      <c r="J12" s="37">
        <v>85</v>
      </c>
      <c r="K12" s="39">
        <f>J12/D12</f>
        <v>1.92090395480226E-2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103</v>
      </c>
      <c r="C13" s="36">
        <v>894.45600000000002</v>
      </c>
      <c r="D13" s="37">
        <v>45.48</v>
      </c>
      <c r="E13" s="37">
        <v>49.08</v>
      </c>
      <c r="F13" s="37">
        <v>0</v>
      </c>
      <c r="G13" s="36">
        <v>248.46</v>
      </c>
      <c r="H13" s="38">
        <f t="shared" ref="H13:H21" si="1">(E13+F13)/D13</f>
        <v>1.079155672823219</v>
      </c>
      <c r="I13" s="36">
        <v>894.45600000000036</v>
      </c>
      <c r="J13" s="37">
        <v>3.6</v>
      </c>
      <c r="K13" s="39">
        <f>J13/D13</f>
        <v>7.9155672823219003E-2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69" t="s">
        <v>67</v>
      </c>
      <c r="Q13" s="44"/>
      <c r="R13" s="45" t="s">
        <v>58</v>
      </c>
    </row>
    <row r="14" spans="1:18" s="46" customFormat="1" ht="24.95" customHeight="1" x14ac:dyDescent="0.25">
      <c r="A14" s="47">
        <v>3</v>
      </c>
      <c r="B14" s="35" t="s">
        <v>69</v>
      </c>
      <c r="C14" s="36">
        <v>791.9923</v>
      </c>
      <c r="D14" s="37">
        <v>52.5</v>
      </c>
      <c r="E14" s="37">
        <v>58.27</v>
      </c>
      <c r="F14" s="37">
        <v>0</v>
      </c>
      <c r="G14" s="36">
        <v>153.19</v>
      </c>
      <c r="H14" s="38">
        <f>(E14+F14)/D14</f>
        <v>1.1099047619047619</v>
      </c>
      <c r="I14" s="36">
        <v>883.90630000000044</v>
      </c>
      <c r="J14" s="37">
        <v>5.17</v>
      </c>
      <c r="K14" s="39">
        <f t="shared" ref="K14:K21" si="4">J14/D14</f>
        <v>9.8476190476190481E-2</v>
      </c>
      <c r="L14" s="40">
        <f t="shared" si="2"/>
        <v>0.6000000000000032</v>
      </c>
      <c r="M14" s="41">
        <f t="shared" si="3"/>
        <v>1.1428571428571489E-2</v>
      </c>
      <c r="N14" s="42">
        <f t="shared" si="0"/>
        <v>91.914000000000485</v>
      </c>
      <c r="O14" s="43" t="s">
        <v>57</v>
      </c>
      <c r="P14" s="69" t="s">
        <v>67</v>
      </c>
      <c r="Q14" s="44"/>
      <c r="R14" s="45" t="s">
        <v>70</v>
      </c>
    </row>
    <row r="15" spans="1:18" s="46" customFormat="1" ht="24.95" customHeight="1" x14ac:dyDescent="0.25">
      <c r="A15" s="34">
        <v>4</v>
      </c>
      <c r="B15" s="35" t="s">
        <v>109</v>
      </c>
      <c r="C15" s="36">
        <v>758.75200000000007</v>
      </c>
      <c r="D15" s="37">
        <v>262.87</v>
      </c>
      <c r="E15" s="37">
        <v>268.11</v>
      </c>
      <c r="F15" s="37">
        <v>0</v>
      </c>
      <c r="G15" s="36">
        <v>144.80000000000001</v>
      </c>
      <c r="H15" s="38">
        <f>(E15+F15)/D15</f>
        <v>1.0199338075854987</v>
      </c>
      <c r="I15" s="36">
        <v>758.75200000000143</v>
      </c>
      <c r="J15" s="37">
        <v>5.24</v>
      </c>
      <c r="K15" s="39">
        <f t="shared" si="4"/>
        <v>1.9933807585498536E-2</v>
      </c>
      <c r="L15" s="40">
        <f t="shared" si="2"/>
        <v>8.8817841970012523E-15</v>
      </c>
      <c r="M15" s="41">
        <f t="shared" si="3"/>
        <v>3.3787743740256596E-17</v>
      </c>
      <c r="N15" s="42">
        <f t="shared" si="0"/>
        <v>1.2860823517257813E-12</v>
      </c>
      <c r="O15" s="43" t="s">
        <v>57</v>
      </c>
      <c r="P15" s="69" t="s">
        <v>235</v>
      </c>
      <c r="Q15" s="44"/>
      <c r="R15" s="45" t="s">
        <v>58</v>
      </c>
    </row>
    <row r="16" spans="1:18" s="46" customFormat="1" ht="24.95" customHeight="1" x14ac:dyDescent="0.25">
      <c r="A16" s="47">
        <v>5</v>
      </c>
      <c r="B16" s="35" t="s">
        <v>186</v>
      </c>
      <c r="C16" s="36">
        <v>440.29999999999995</v>
      </c>
      <c r="D16" s="37">
        <v>28.79</v>
      </c>
      <c r="E16" s="37">
        <v>31.169999999999998</v>
      </c>
      <c r="F16" s="37">
        <v>0</v>
      </c>
      <c r="G16" s="36">
        <v>185</v>
      </c>
      <c r="H16" s="38">
        <f t="shared" si="1"/>
        <v>1.0826675929142062</v>
      </c>
      <c r="I16" s="36">
        <v>440.29999999999984</v>
      </c>
      <c r="J16" s="37">
        <v>2.38</v>
      </c>
      <c r="K16" s="39">
        <f t="shared" si="4"/>
        <v>8.266759291420632E-2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69" t="s">
        <v>67</v>
      </c>
      <c r="Q16" s="44"/>
      <c r="R16" s="45" t="s">
        <v>187</v>
      </c>
    </row>
    <row r="17" spans="1:18" s="46" customFormat="1" ht="24.95" customHeight="1" x14ac:dyDescent="0.25">
      <c r="A17" s="34">
        <v>6</v>
      </c>
      <c r="B17" s="35" t="s">
        <v>211</v>
      </c>
      <c r="C17" s="36">
        <v>301.01579999999996</v>
      </c>
      <c r="D17" s="37">
        <v>28.34</v>
      </c>
      <c r="E17" s="37">
        <v>31.07</v>
      </c>
      <c r="F17" s="37">
        <v>0</v>
      </c>
      <c r="G17" s="36">
        <v>112.74</v>
      </c>
      <c r="H17" s="38">
        <f t="shared" si="1"/>
        <v>1.0963302752293578</v>
      </c>
      <c r="I17" s="36">
        <v>307.78020000000004</v>
      </c>
      <c r="J17" s="37">
        <v>2.67</v>
      </c>
      <c r="K17" s="39">
        <f t="shared" si="4"/>
        <v>9.4213126323218058E-2</v>
      </c>
      <c r="L17" s="40">
        <f t="shared" si="2"/>
        <v>6.0000000000000497E-2</v>
      </c>
      <c r="M17" s="41">
        <f t="shared" si="3"/>
        <v>2.1171489061397493E-3</v>
      </c>
      <c r="N17" s="42">
        <f t="shared" si="0"/>
        <v>6.7644000000000561</v>
      </c>
      <c r="O17" s="43" t="s">
        <v>57</v>
      </c>
      <c r="P17" s="69" t="s">
        <v>67</v>
      </c>
      <c r="Q17" s="44"/>
      <c r="R17" s="45" t="s">
        <v>180</v>
      </c>
    </row>
    <row r="18" spans="1:18" s="46" customFormat="1" ht="24.95" customHeight="1" x14ac:dyDescent="0.25">
      <c r="A18" s="47">
        <v>7</v>
      </c>
      <c r="B18" s="35" t="s">
        <v>76</v>
      </c>
      <c r="C18" s="36">
        <v>299.64</v>
      </c>
      <c r="D18" s="37">
        <v>55.27</v>
      </c>
      <c r="E18" s="37">
        <v>58.27</v>
      </c>
      <c r="F18" s="37">
        <v>0</v>
      </c>
      <c r="G18" s="36">
        <v>108.96</v>
      </c>
      <c r="H18" s="38">
        <f t="shared" si="1"/>
        <v>1.0542789940293107</v>
      </c>
      <c r="I18" s="36">
        <v>326.88</v>
      </c>
      <c r="J18" s="37">
        <v>2.75</v>
      </c>
      <c r="K18" s="39">
        <f t="shared" si="4"/>
        <v>4.9755744526868102E-2</v>
      </c>
      <c r="L18" s="40">
        <f>((E18+F18)-D18)-J18</f>
        <v>0.25</v>
      </c>
      <c r="M18" s="41">
        <f t="shared" si="3"/>
        <v>4.5232495024425546E-3</v>
      </c>
      <c r="N18" s="42">
        <f t="shared" si="0"/>
        <v>27.24</v>
      </c>
      <c r="O18" s="43" t="s">
        <v>57</v>
      </c>
      <c r="P18" s="69" t="s">
        <v>67</v>
      </c>
      <c r="Q18" s="44"/>
      <c r="R18" s="45" t="s">
        <v>77</v>
      </c>
    </row>
    <row r="19" spans="1:18" s="46" customFormat="1" ht="24.95" customHeight="1" x14ac:dyDescent="0.25">
      <c r="A19" s="34">
        <v>8</v>
      </c>
      <c r="B19" s="35" t="s">
        <v>82</v>
      </c>
      <c r="C19" s="36">
        <v>299.28289999999998</v>
      </c>
      <c r="D19" s="37">
        <v>794.37</v>
      </c>
      <c r="E19" s="37">
        <v>789.02</v>
      </c>
      <c r="F19" s="37">
        <v>35.799999999999997</v>
      </c>
      <c r="G19" s="36">
        <v>147.43</v>
      </c>
      <c r="H19" s="38">
        <f t="shared" si="1"/>
        <v>1.0383322633029948</v>
      </c>
      <c r="I19" s="36">
        <v>4489.2434999999905</v>
      </c>
      <c r="J19" s="37">
        <v>2.0299999999999998</v>
      </c>
      <c r="K19" s="39">
        <f t="shared" si="4"/>
        <v>2.5554842201996547E-3</v>
      </c>
      <c r="L19" s="40">
        <f t="shared" si="2"/>
        <v>28.419999999999931</v>
      </c>
      <c r="M19" s="41">
        <f t="shared" si="3"/>
        <v>3.5776779082795085E-2</v>
      </c>
      <c r="N19" s="42">
        <f t="shared" si="0"/>
        <v>4189.9605999999903</v>
      </c>
      <c r="O19" s="43" t="s">
        <v>57</v>
      </c>
      <c r="P19" s="69" t="s">
        <v>84</v>
      </c>
      <c r="Q19" s="44" t="s">
        <v>85</v>
      </c>
      <c r="R19" s="45" t="s">
        <v>58</v>
      </c>
    </row>
    <row r="20" spans="1:18" s="46" customFormat="1" ht="24.95" customHeight="1" x14ac:dyDescent="0.25">
      <c r="A20" s="47">
        <v>9</v>
      </c>
      <c r="B20" s="35" t="s">
        <v>147</v>
      </c>
      <c r="C20" s="36">
        <v>298.72719999999998</v>
      </c>
      <c r="D20" s="37">
        <v>270.02</v>
      </c>
      <c r="E20" s="37">
        <v>273.14999999999998</v>
      </c>
      <c r="F20" s="37">
        <v>0</v>
      </c>
      <c r="G20" s="36">
        <v>95.44</v>
      </c>
      <c r="H20" s="38">
        <f t="shared" si="1"/>
        <v>1.0115917339456337</v>
      </c>
      <c r="I20" s="36">
        <v>298.72719999999958</v>
      </c>
      <c r="J20" s="37">
        <v>3.13</v>
      </c>
      <c r="K20" s="39">
        <f t="shared" si="4"/>
        <v>1.1591733945633656E-2</v>
      </c>
      <c r="L20" s="40">
        <f t="shared" si="2"/>
        <v>-4.4408920985006262E-15</v>
      </c>
      <c r="M20" s="41">
        <f t="shared" si="3"/>
        <v>-1.6446530251465176E-17</v>
      </c>
      <c r="N20" s="42">
        <f t="shared" si="0"/>
        <v>-4.2383874188089975E-13</v>
      </c>
      <c r="O20" s="43" t="s">
        <v>57</v>
      </c>
      <c r="P20" s="69" t="s">
        <v>235</v>
      </c>
      <c r="Q20" s="44"/>
      <c r="R20" s="45" t="s">
        <v>58</v>
      </c>
    </row>
    <row r="21" spans="1:18" s="46" customFormat="1" ht="24.95" customHeight="1" thickBot="1" x14ac:dyDescent="0.3">
      <c r="A21" s="48">
        <v>10</v>
      </c>
      <c r="B21" s="49" t="s">
        <v>135</v>
      </c>
      <c r="C21" s="50">
        <v>298.24079999999998</v>
      </c>
      <c r="D21" s="51">
        <v>29.65</v>
      </c>
      <c r="E21" s="51">
        <v>31.650000000000002</v>
      </c>
      <c r="F21" s="51">
        <v>0</v>
      </c>
      <c r="G21" s="50">
        <v>208.56</v>
      </c>
      <c r="H21" s="52">
        <f t="shared" si="1"/>
        <v>1.0674536256323779</v>
      </c>
      <c r="I21" s="50">
        <v>417.12000000000074</v>
      </c>
      <c r="J21" s="51">
        <v>1.43</v>
      </c>
      <c r="K21" s="53">
        <f t="shared" si="4"/>
        <v>4.8229342327150086E-2</v>
      </c>
      <c r="L21" s="54">
        <f t="shared" si="2"/>
        <v>0.57000000000000361</v>
      </c>
      <c r="M21" s="55">
        <f t="shared" si="3"/>
        <v>1.9224283305227779E-2</v>
      </c>
      <c r="N21" s="56">
        <f t="shared" si="0"/>
        <v>118.87920000000075</v>
      </c>
      <c r="O21" s="57" t="s">
        <v>57</v>
      </c>
      <c r="P21" s="57" t="s">
        <v>67</v>
      </c>
      <c r="Q21" s="57"/>
      <c r="R21" s="58" t="s">
        <v>136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82</v>
      </c>
      <c r="C28" s="36">
        <v>4189.9605999999903</v>
      </c>
      <c r="D28" s="37">
        <v>794.37</v>
      </c>
      <c r="E28" s="37">
        <v>789.02</v>
      </c>
      <c r="F28" s="37">
        <v>35.799999999999997</v>
      </c>
      <c r="G28" s="36">
        <v>147.43</v>
      </c>
      <c r="H28" s="68">
        <f t="shared" ref="H28:H37" si="5">(E28+F28)/D28</f>
        <v>1.0383322633029948</v>
      </c>
      <c r="I28" s="36">
        <v>4489.2434999999905</v>
      </c>
      <c r="J28" s="37">
        <v>2.0299999999999998</v>
      </c>
      <c r="K28" s="39">
        <f t="shared" ref="K28:K37" si="6">J28/D28</f>
        <v>2.5554842201996547E-3</v>
      </c>
      <c r="L28" s="42">
        <f t="shared" ref="L28:L37" si="7">J28*G28</f>
        <v>299.28289999999998</v>
      </c>
      <c r="M28" s="40">
        <f t="shared" ref="M28:M37" si="8">((E28+F28)-D28)-J28</f>
        <v>28.419999999999931</v>
      </c>
      <c r="N28" s="41">
        <f t="shared" ref="N28:N37" si="9">M28/D28</f>
        <v>3.5776779082795085E-2</v>
      </c>
      <c r="O28" s="43" t="s">
        <v>83</v>
      </c>
      <c r="P28" s="69" t="s">
        <v>84</v>
      </c>
      <c r="Q28" s="44" t="s">
        <v>85</v>
      </c>
      <c r="R28" s="45" t="s">
        <v>58</v>
      </c>
    </row>
    <row r="29" spans="1:18" s="67" customFormat="1" ht="24.95" customHeight="1" x14ac:dyDescent="0.25">
      <c r="A29" s="47">
        <v>2</v>
      </c>
      <c r="B29" s="35" t="s">
        <v>188</v>
      </c>
      <c r="C29" s="36">
        <v>4160.1450000000004</v>
      </c>
      <c r="D29" s="37">
        <v>69.099999999999994</v>
      </c>
      <c r="E29" s="37">
        <v>67.599999999999994</v>
      </c>
      <c r="F29" s="37">
        <v>11</v>
      </c>
      <c r="G29" s="36">
        <v>437.91</v>
      </c>
      <c r="H29" s="68">
        <f t="shared" si="5"/>
        <v>1.1374819102749638</v>
      </c>
      <c r="I29" s="36">
        <v>4160.1450000000004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9.5</v>
      </c>
      <c r="N29" s="41">
        <f t="shared" si="9"/>
        <v>0.13748191027496384</v>
      </c>
      <c r="O29" s="43" t="s">
        <v>83</v>
      </c>
      <c r="P29" s="69" t="s">
        <v>235</v>
      </c>
      <c r="Q29" s="44"/>
      <c r="R29" s="45" t="s">
        <v>182</v>
      </c>
    </row>
    <row r="30" spans="1:18" s="67" customFormat="1" ht="24.95" customHeight="1" x14ac:dyDescent="0.25">
      <c r="A30" s="47">
        <v>3</v>
      </c>
      <c r="B30" s="35" t="s">
        <v>132</v>
      </c>
      <c r="C30" s="36">
        <v>3648.199999999998</v>
      </c>
      <c r="D30" s="37">
        <v>60</v>
      </c>
      <c r="E30" s="37">
        <v>62.6</v>
      </c>
      <c r="F30" s="37">
        <v>3.2</v>
      </c>
      <c r="G30" s="36">
        <v>629</v>
      </c>
      <c r="H30" s="68">
        <f t="shared" si="5"/>
        <v>1.0966666666666667</v>
      </c>
      <c r="I30" s="36">
        <v>3648.199999999998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5.7999999999999972</v>
      </c>
      <c r="N30" s="41">
        <f t="shared" si="9"/>
        <v>9.6666666666666623E-2</v>
      </c>
      <c r="O30" s="43" t="s">
        <v>83</v>
      </c>
      <c r="P30" s="69" t="s">
        <v>235</v>
      </c>
      <c r="Q30" s="44"/>
      <c r="R30" s="45" t="s">
        <v>70</v>
      </c>
    </row>
    <row r="31" spans="1:18" s="67" customFormat="1" ht="24.95" customHeight="1" x14ac:dyDescent="0.25">
      <c r="A31" s="34">
        <v>4</v>
      </c>
      <c r="B31" s="35" t="s">
        <v>90</v>
      </c>
      <c r="C31" s="36">
        <v>2477.298600000001</v>
      </c>
      <c r="D31" s="37">
        <v>47.38</v>
      </c>
      <c r="E31" s="37">
        <v>47.56</v>
      </c>
      <c r="F31" s="37">
        <v>3.6</v>
      </c>
      <c r="G31" s="36">
        <v>655.37</v>
      </c>
      <c r="H31" s="68">
        <f t="shared" si="5"/>
        <v>1.0797804981004644</v>
      </c>
      <c r="I31" s="36">
        <v>2477.298600000001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3.7800000000000011</v>
      </c>
      <c r="N31" s="41">
        <f t="shared" si="9"/>
        <v>7.978049810046435E-2</v>
      </c>
      <c r="O31" s="43" t="s">
        <v>83</v>
      </c>
      <c r="P31" s="69" t="s">
        <v>235</v>
      </c>
      <c r="Q31" s="44"/>
      <c r="R31" s="45" t="s">
        <v>77</v>
      </c>
    </row>
    <row r="32" spans="1:18" s="67" customFormat="1" ht="24.95" customHeight="1" x14ac:dyDescent="0.25">
      <c r="A32" s="47">
        <v>5</v>
      </c>
      <c r="B32" s="35" t="s">
        <v>94</v>
      </c>
      <c r="C32" s="36">
        <v>2217.154799999998</v>
      </c>
      <c r="D32" s="37">
        <v>176.69</v>
      </c>
      <c r="E32" s="37">
        <v>176.91</v>
      </c>
      <c r="F32" s="37">
        <v>3.44</v>
      </c>
      <c r="G32" s="36">
        <v>605.78</v>
      </c>
      <c r="H32" s="68">
        <f t="shared" si="5"/>
        <v>1.0207142452883582</v>
      </c>
      <c r="I32" s="36">
        <v>2217.154799999998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3.6599999999999966</v>
      </c>
      <c r="N32" s="41">
        <f t="shared" si="9"/>
        <v>2.0714245288358121E-2</v>
      </c>
      <c r="O32" s="43" t="s">
        <v>83</v>
      </c>
      <c r="P32" s="44" t="s">
        <v>60</v>
      </c>
      <c r="Q32" s="44" t="s">
        <v>87</v>
      </c>
      <c r="R32" s="45" t="s">
        <v>95</v>
      </c>
    </row>
    <row r="33" spans="1:18" s="67" customFormat="1" ht="24.95" customHeight="1" x14ac:dyDescent="0.25">
      <c r="A33" s="34">
        <v>6</v>
      </c>
      <c r="B33" s="35" t="s">
        <v>127</v>
      </c>
      <c r="C33" s="36">
        <v>2124.9161999999956</v>
      </c>
      <c r="D33" s="37">
        <v>242.8</v>
      </c>
      <c r="E33" s="37">
        <v>244.58</v>
      </c>
      <c r="F33" s="37">
        <v>3.2</v>
      </c>
      <c r="G33" s="36">
        <v>426.69</v>
      </c>
      <c r="H33" s="68">
        <f t="shared" si="5"/>
        <v>1.0205107084019769</v>
      </c>
      <c r="I33" s="36">
        <v>2124.9161999999956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4.9799999999999898</v>
      </c>
      <c r="N33" s="41">
        <f t="shared" si="9"/>
        <v>2.0510708401976892E-2</v>
      </c>
      <c r="O33" s="43" t="s">
        <v>83</v>
      </c>
      <c r="P33" s="69" t="s">
        <v>235</v>
      </c>
      <c r="Q33" s="44"/>
      <c r="R33" s="45" t="s">
        <v>128</v>
      </c>
    </row>
    <row r="34" spans="1:18" s="67" customFormat="1" ht="24.95" customHeight="1" x14ac:dyDescent="0.25">
      <c r="A34" s="47">
        <v>7</v>
      </c>
      <c r="B34" s="35" t="s">
        <v>196</v>
      </c>
      <c r="C34" s="36">
        <v>2050.8905000000027</v>
      </c>
      <c r="D34" s="37">
        <v>70.52</v>
      </c>
      <c r="E34" s="37">
        <v>71.55</v>
      </c>
      <c r="F34" s="37">
        <v>4.9000000000000004</v>
      </c>
      <c r="G34" s="36">
        <v>345.85</v>
      </c>
      <c r="H34" s="68">
        <f t="shared" si="5"/>
        <v>1.0840896199659673</v>
      </c>
      <c r="I34" s="36">
        <v>2050.8905000000027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5.9300000000000068</v>
      </c>
      <c r="N34" s="41">
        <f t="shared" si="9"/>
        <v>8.4089619965967199E-2</v>
      </c>
      <c r="O34" s="43" t="s">
        <v>83</v>
      </c>
      <c r="P34" s="69" t="s">
        <v>235</v>
      </c>
      <c r="Q34" s="44"/>
      <c r="R34" s="45" t="s">
        <v>197</v>
      </c>
    </row>
    <row r="35" spans="1:18" s="67" customFormat="1" ht="24.95" customHeight="1" x14ac:dyDescent="0.25">
      <c r="A35" s="34">
        <v>8</v>
      </c>
      <c r="B35" s="35" t="s">
        <v>143</v>
      </c>
      <c r="C35" s="36">
        <v>2038.7</v>
      </c>
      <c r="D35" s="37">
        <v>236.18</v>
      </c>
      <c r="E35" s="37">
        <v>239.43</v>
      </c>
      <c r="F35" s="37">
        <v>1.75</v>
      </c>
      <c r="G35" s="36">
        <v>407.74</v>
      </c>
      <c r="H35" s="68">
        <f t="shared" si="5"/>
        <v>1.0211702938436786</v>
      </c>
      <c r="I35" s="36">
        <v>2038.7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5</v>
      </c>
      <c r="N35" s="41">
        <f t="shared" si="9"/>
        <v>2.117029384367855E-2</v>
      </c>
      <c r="O35" s="43" t="s">
        <v>83</v>
      </c>
      <c r="P35" s="44" t="s">
        <v>60</v>
      </c>
      <c r="Q35" s="44" t="s">
        <v>87</v>
      </c>
      <c r="R35" s="45" t="s">
        <v>144</v>
      </c>
    </row>
    <row r="36" spans="1:18" s="67" customFormat="1" ht="24.95" customHeight="1" x14ac:dyDescent="0.25">
      <c r="A36" s="47">
        <v>9</v>
      </c>
      <c r="B36" s="35" t="s">
        <v>162</v>
      </c>
      <c r="C36" s="36">
        <v>1498.3184000000035</v>
      </c>
      <c r="D36" s="37">
        <v>269.76</v>
      </c>
      <c r="E36" s="37">
        <v>270.8</v>
      </c>
      <c r="F36" s="37">
        <v>12.8</v>
      </c>
      <c r="G36" s="36">
        <v>108.26</v>
      </c>
      <c r="H36" s="68">
        <f t="shared" si="5"/>
        <v>1.0513048635824438</v>
      </c>
      <c r="I36" s="36">
        <v>1498.3184000000035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13.840000000000032</v>
      </c>
      <c r="N36" s="41">
        <f t="shared" si="9"/>
        <v>5.1304863582443773E-2</v>
      </c>
      <c r="O36" s="43" t="s">
        <v>97</v>
      </c>
      <c r="P36" s="44" t="s">
        <v>60</v>
      </c>
      <c r="Q36" s="44" t="s">
        <v>87</v>
      </c>
      <c r="R36" s="45" t="s">
        <v>163</v>
      </c>
    </row>
    <row r="37" spans="1:18" s="67" customFormat="1" ht="24.95" customHeight="1" thickBot="1" x14ac:dyDescent="0.3">
      <c r="A37" s="48">
        <v>10</v>
      </c>
      <c r="B37" s="49" t="s">
        <v>134</v>
      </c>
      <c r="C37" s="50">
        <v>1452.7420999999997</v>
      </c>
      <c r="D37" s="51">
        <v>113.61</v>
      </c>
      <c r="E37" s="51">
        <v>113.48</v>
      </c>
      <c r="F37" s="51">
        <v>4.0999999999999996</v>
      </c>
      <c r="G37" s="50">
        <v>365.93</v>
      </c>
      <c r="H37" s="70">
        <f t="shared" si="5"/>
        <v>1.0349441070328316</v>
      </c>
      <c r="I37" s="50">
        <v>1452.7420999999997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3.9699999999999989</v>
      </c>
      <c r="N37" s="55">
        <f t="shared" si="9"/>
        <v>3.4944107032831608E-2</v>
      </c>
      <c r="O37" s="57" t="s">
        <v>97</v>
      </c>
      <c r="P37" s="71" t="s">
        <v>235</v>
      </c>
      <c r="Q37" s="72"/>
      <c r="R37" s="58" t="s">
        <v>72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103</v>
      </c>
      <c r="C44" s="36">
        <v>894.45600000000002</v>
      </c>
      <c r="D44" s="78">
        <f t="shared" ref="D44:D53" si="10">C44/$L$5</f>
        <v>0.24674426376193143</v>
      </c>
      <c r="E44" s="79"/>
    </row>
    <row r="45" spans="1:18" s="80" customFormat="1" ht="24.95" customHeight="1" x14ac:dyDescent="0.25">
      <c r="A45" s="81">
        <v>2</v>
      </c>
      <c r="B45" s="35" t="s">
        <v>109</v>
      </c>
      <c r="C45" s="36">
        <v>758.75200000000007</v>
      </c>
      <c r="D45" s="78">
        <f t="shared" si="10"/>
        <v>0.20930901421410666</v>
      </c>
      <c r="E45" s="79"/>
    </row>
    <row r="46" spans="1:18" s="80" customFormat="1" ht="24.95" customHeight="1" x14ac:dyDescent="0.25">
      <c r="A46" s="81">
        <v>3</v>
      </c>
      <c r="B46" s="35" t="s">
        <v>82</v>
      </c>
      <c r="C46" s="36">
        <v>299.28289999999998</v>
      </c>
      <c r="D46" s="78">
        <f t="shared" si="10"/>
        <v>8.2560057528861946E-2</v>
      </c>
      <c r="E46" s="79"/>
    </row>
    <row r="47" spans="1:18" s="80" customFormat="1" ht="24.95" customHeight="1" x14ac:dyDescent="0.25">
      <c r="A47" s="77">
        <v>4</v>
      </c>
      <c r="B47" s="35" t="s">
        <v>147</v>
      </c>
      <c r="C47" s="36">
        <v>298.72719999999998</v>
      </c>
      <c r="D47" s="78">
        <f t="shared" si="10"/>
        <v>8.2406762355737156E-2</v>
      </c>
      <c r="E47" s="79"/>
    </row>
    <row r="48" spans="1:18" s="80" customFormat="1" ht="24.95" customHeight="1" x14ac:dyDescent="0.25">
      <c r="A48" s="81">
        <v>5</v>
      </c>
      <c r="B48" s="35" t="s">
        <v>126</v>
      </c>
      <c r="C48" s="36">
        <v>296.55</v>
      </c>
      <c r="D48" s="78">
        <f t="shared" si="10"/>
        <v>8.180616086045682E-2</v>
      </c>
      <c r="E48" s="79"/>
    </row>
    <row r="49" spans="1:5" s="80" customFormat="1" ht="24.95" customHeight="1" x14ac:dyDescent="0.25">
      <c r="A49" s="77">
        <v>6</v>
      </c>
      <c r="B49" s="35" t="s">
        <v>73</v>
      </c>
      <c r="C49" s="36">
        <v>205.23100000000002</v>
      </c>
      <c r="D49" s="78">
        <f t="shared" si="10"/>
        <v>5.6614939131857743E-2</v>
      </c>
      <c r="E49" s="79"/>
    </row>
    <row r="50" spans="1:5" s="80" customFormat="1" ht="24.95" customHeight="1" x14ac:dyDescent="0.25">
      <c r="A50" s="81">
        <v>7</v>
      </c>
      <c r="B50" s="35" t="s">
        <v>105</v>
      </c>
      <c r="C50" s="36">
        <v>173.95000000000002</v>
      </c>
      <c r="D50" s="78">
        <f t="shared" si="10"/>
        <v>4.7985775355509908E-2</v>
      </c>
      <c r="E50" s="79"/>
    </row>
    <row r="51" spans="1:5" s="80" customFormat="1" ht="24.95" customHeight="1" x14ac:dyDescent="0.25">
      <c r="A51" s="77">
        <v>8</v>
      </c>
      <c r="B51" s="35" t="s">
        <v>125</v>
      </c>
      <c r="C51" s="36">
        <v>170</v>
      </c>
      <c r="D51" s="78">
        <f t="shared" si="10"/>
        <v>4.6896129982389678E-2</v>
      </c>
      <c r="E51" s="79"/>
    </row>
    <row r="52" spans="1:5" s="80" customFormat="1" ht="24.95" customHeight="1" x14ac:dyDescent="0.25">
      <c r="A52" s="81">
        <v>9</v>
      </c>
      <c r="B52" s="35" t="s">
        <v>104</v>
      </c>
      <c r="C52" s="36">
        <v>157.94999999999999</v>
      </c>
      <c r="D52" s="78">
        <f t="shared" si="10"/>
        <v>4.3572021945402641E-2</v>
      </c>
      <c r="E52" s="79"/>
    </row>
    <row r="53" spans="1:5" s="80" customFormat="1" ht="24.95" customHeight="1" thickBot="1" x14ac:dyDescent="0.3">
      <c r="A53" s="82">
        <v>10</v>
      </c>
      <c r="B53" s="49" t="s">
        <v>56</v>
      </c>
      <c r="C53" s="50">
        <v>127.84</v>
      </c>
      <c r="D53" s="83">
        <f t="shared" si="10"/>
        <v>3.526588974675704E-2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11" priority="34" operator="containsText" text="中華">
      <formula>NOT(ISERROR(SEARCH("中華",A12)))</formula>
    </cfRule>
    <cfRule type="containsText" dxfId="610" priority="33" operator="containsText" text="湯凍">
      <formula>NOT(ISERROR(SEARCH("湯凍",A12)))</formula>
    </cfRule>
    <cfRule type="containsText" dxfId="609" priority="32" operator="containsText" text=")川燙小青花菜">
      <formula>NOT(ISERROR(SEARCH(")川燙小青花菜",A12)))</formula>
    </cfRule>
    <cfRule type="containsText" dxfId="608" priority="31" operator="containsText" text="青蔥">
      <formula>NOT(ISERROR(SEARCH("青蔥",A12)))</formula>
    </cfRule>
    <cfRule type="containsText" dxfId="607" priority="30" operator="containsText" text="白醬">
      <formula>NOT(ISERROR(SEARCH("白醬",A12)))</formula>
    </cfRule>
    <cfRule type="containsText" dxfId="606" priority="29" operator="containsText" text="024">
      <formula>NOT(ISERROR(SEARCH("024",A12)))</formula>
    </cfRule>
    <cfRule type="containsText" dxfId="605" priority="28" operator="containsText" text="煮白細麵生(方#12)">
      <formula>NOT(ISERROR(SEARCH("煮白細麵生(方#12)",A12)))</formula>
    </cfRule>
    <cfRule type="containsText" dxfId="604" priority="27" operator="containsText" text="綠豆芽">
      <formula>NOT(ISERROR(SEARCH("綠豆芽",A12)))</formula>
    </cfRule>
  </conditionalFormatting>
  <conditionalFormatting sqref="A28:A37">
    <cfRule type="containsText" dxfId="603" priority="5" operator="containsText" text="綠豆芽">
      <formula>NOT(ISERROR(SEARCH("綠豆芽",A28)))</formula>
    </cfRule>
    <cfRule type="containsText" dxfId="602" priority="6" operator="containsText" text="煮白細麵生(方#12)">
      <formula>NOT(ISERROR(SEARCH("煮白細麵生(方#12)",A28)))</formula>
    </cfRule>
    <cfRule type="containsText" dxfId="601" priority="7" operator="containsText" text="024">
      <formula>NOT(ISERROR(SEARCH("024",A28)))</formula>
    </cfRule>
    <cfRule type="containsText" dxfId="600" priority="8" operator="containsText" text="白醬">
      <formula>NOT(ISERROR(SEARCH("白醬",A28)))</formula>
    </cfRule>
    <cfRule type="containsText" dxfId="599" priority="9" operator="containsText" text="青蔥">
      <formula>NOT(ISERROR(SEARCH("青蔥",A28)))</formula>
    </cfRule>
    <cfRule type="containsText" dxfId="598" priority="10" operator="containsText" text=")川燙小青花菜">
      <formula>NOT(ISERROR(SEARCH(")川燙小青花菜",A28)))</formula>
    </cfRule>
    <cfRule type="containsText" dxfId="597" priority="11" operator="containsText" text="湯凍">
      <formula>NOT(ISERROR(SEARCH("湯凍",A28)))</formula>
    </cfRule>
    <cfRule type="containsText" dxfId="596" priority="12" operator="containsText" text="中華">
      <formula>NOT(ISERROR(SEARCH("中華",A28)))</formula>
    </cfRule>
  </conditionalFormatting>
  <conditionalFormatting sqref="A44:A53">
    <cfRule type="containsText" dxfId="595" priority="17" operator="containsText" text="綠豆芽">
      <formula>NOT(ISERROR(SEARCH("綠豆芽",A44)))</formula>
    </cfRule>
    <cfRule type="containsText" dxfId="594" priority="18" operator="containsText" text="煮白細麵生(方#12)">
      <formula>NOT(ISERROR(SEARCH("煮白細麵生(方#12)",A44)))</formula>
    </cfRule>
    <cfRule type="containsText" dxfId="593" priority="19" operator="containsText" text="024">
      <formula>NOT(ISERROR(SEARCH("024",A44)))</formula>
    </cfRule>
    <cfRule type="containsText" dxfId="592" priority="20" operator="containsText" text="白醬">
      <formula>NOT(ISERROR(SEARCH("白醬",A44)))</formula>
    </cfRule>
    <cfRule type="containsText" dxfId="591" priority="21" operator="containsText" text="青蔥">
      <formula>NOT(ISERROR(SEARCH("青蔥",A44)))</formula>
    </cfRule>
    <cfRule type="containsText" dxfId="590" priority="22" operator="containsText" text=")川燙小青花菜">
      <formula>NOT(ISERROR(SEARCH(")川燙小青花菜",A44)))</formula>
    </cfRule>
    <cfRule type="containsText" dxfId="589" priority="23" operator="containsText" text="湯凍">
      <formula>NOT(ISERROR(SEARCH("湯凍",A44)))</formula>
    </cfRule>
    <cfRule type="containsText" dxfId="588" priority="24" operator="containsText" text="中華">
      <formula>NOT(ISERROR(SEARCH("中華",A44)))</formula>
    </cfRule>
  </conditionalFormatting>
  <conditionalFormatting sqref="D44:D53">
    <cfRule type="cellIs" dxfId="587" priority="16" operator="greaterThan">
      <formula>0.146</formula>
    </cfRule>
  </conditionalFormatting>
  <conditionalFormatting sqref="E5">
    <cfRule type="cellIs" dxfId="586" priority="25" operator="greaterThan">
      <formula>0.072</formula>
    </cfRule>
    <cfRule type="cellIs" dxfId="585" priority="26" operator="greaterThan">
      <formula>7.2</formula>
    </cfRule>
    <cfRule type="cellIs" dxfId="584" priority="14" operator="greaterThan">
      <formula>0.0025</formula>
    </cfRule>
  </conditionalFormatting>
  <conditionalFormatting sqref="G5">
    <cfRule type="cellIs" dxfId="583" priority="3" operator="greaterThan">
      <formula>7.2</formula>
    </cfRule>
    <cfRule type="cellIs" dxfId="582" priority="2" operator="greaterThan">
      <formula>0.072</formula>
    </cfRule>
    <cfRule type="cellIs" dxfId="581" priority="1" operator="greaterThan">
      <formula>0.0025</formula>
    </cfRule>
  </conditionalFormatting>
  <conditionalFormatting sqref="H12:H22">
    <cfRule type="cellIs" dxfId="580" priority="15" operator="greaterThan">
      <formula>1.1</formula>
    </cfRule>
  </conditionalFormatting>
  <conditionalFormatting sqref="H28:H37">
    <cfRule type="cellIs" dxfId="579" priority="4" operator="greaterThan">
      <formula>1.1</formula>
    </cfRule>
  </conditionalFormatting>
  <conditionalFormatting sqref="I5">
    <cfRule type="cellIs" dxfId="57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F240-37DB-4F5C-89A6-EDA8FFBECD43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45916</v>
      </c>
      <c r="B3" s="149"/>
      <c r="C3" s="150">
        <v>8643585.0999999996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21007.839599999988</v>
      </c>
      <c r="E5" s="24">
        <f>D5/C3</f>
        <v>2.4304544187341882E-3</v>
      </c>
      <c r="F5" s="23">
        <v>62334.438400000028</v>
      </c>
      <c r="G5" s="25">
        <f>F5/C3</f>
        <v>7.2116416601254998E-3</v>
      </c>
      <c r="H5" s="26">
        <f>SUM(C12:C21)</f>
        <v>7198.9205999999995</v>
      </c>
      <c r="I5" s="27">
        <f>H5/D5</f>
        <v>0.34267781633290856</v>
      </c>
      <c r="J5" s="26">
        <f>SUM(C28:C37)</f>
        <v>26760.536000000018</v>
      </c>
      <c r="K5" s="28">
        <f>J5/F5</f>
        <v>0.42930580088453973</v>
      </c>
      <c r="L5" s="29">
        <v>3222.8436999999999</v>
      </c>
      <c r="M5" s="30">
        <f>L5/D5</f>
        <v>0.15341147692311977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177</v>
      </c>
      <c r="C12" s="36">
        <v>1164.1894</v>
      </c>
      <c r="D12" s="37">
        <v>175.4</v>
      </c>
      <c r="E12" s="37">
        <v>181.99</v>
      </c>
      <c r="F12" s="37">
        <v>0</v>
      </c>
      <c r="G12" s="36">
        <v>176.66</v>
      </c>
      <c r="H12" s="38">
        <f>(E12+F12)/D12</f>
        <v>1.0375712656784493</v>
      </c>
      <c r="I12" s="36">
        <v>1164.1894000000007</v>
      </c>
      <c r="J12" s="37">
        <v>6.59</v>
      </c>
      <c r="K12" s="39">
        <f>J12/D12</f>
        <v>3.7571265678449255E-2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69" t="s">
        <v>235</v>
      </c>
      <c r="Q12" s="44"/>
      <c r="R12" s="45" t="s">
        <v>178</v>
      </c>
    </row>
    <row r="13" spans="1:18" s="46" customFormat="1" ht="24.95" customHeight="1" x14ac:dyDescent="0.25">
      <c r="A13" s="47">
        <v>2</v>
      </c>
      <c r="B13" s="35" t="s">
        <v>179</v>
      </c>
      <c r="C13" s="36">
        <v>1099.6560999999999</v>
      </c>
      <c r="D13" s="37">
        <v>5370</v>
      </c>
      <c r="E13" s="37">
        <v>5808.11</v>
      </c>
      <c r="F13" s="37">
        <v>0</v>
      </c>
      <c r="G13" s="36">
        <v>2.5099999999999998</v>
      </c>
      <c r="H13" s="38">
        <f t="shared" ref="H13:H21" si="1">(E13+F13)/D13</f>
        <v>1.0815847299813779</v>
      </c>
      <c r="I13" s="36">
        <v>1099.656099999999</v>
      </c>
      <c r="J13" s="37">
        <v>438.11</v>
      </c>
      <c r="K13" s="39">
        <f>J13/D13</f>
        <v>8.1584729981378029E-2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69" t="s">
        <v>67</v>
      </c>
      <c r="Q13" s="44"/>
      <c r="R13" s="45" t="s">
        <v>180</v>
      </c>
    </row>
    <row r="14" spans="1:18" s="46" customFormat="1" ht="24.95" customHeight="1" x14ac:dyDescent="0.25">
      <c r="A14" s="47">
        <v>3</v>
      </c>
      <c r="B14" s="35" t="s">
        <v>181</v>
      </c>
      <c r="C14" s="36">
        <v>760.67520000000002</v>
      </c>
      <c r="D14" s="37">
        <v>112.99</v>
      </c>
      <c r="E14" s="37">
        <v>119.31</v>
      </c>
      <c r="F14" s="37">
        <v>0</v>
      </c>
      <c r="G14" s="36">
        <v>120.36</v>
      </c>
      <c r="H14" s="38">
        <f>(E14+F14)/D14</f>
        <v>1.0559341534649085</v>
      </c>
      <c r="I14" s="36">
        <v>760.67520000000093</v>
      </c>
      <c r="J14" s="37">
        <v>6.32</v>
      </c>
      <c r="K14" s="39">
        <f t="shared" ref="K14:K21" si="4">J14/D14</f>
        <v>5.5934153464908404E-2</v>
      </c>
      <c r="L14" s="40">
        <f t="shared" si="2"/>
        <v>7.1054273576010019E-15</v>
      </c>
      <c r="M14" s="41">
        <f t="shared" si="3"/>
        <v>6.2885453204717257E-17</v>
      </c>
      <c r="N14" s="42">
        <f t="shared" si="0"/>
        <v>8.5520923676085658E-13</v>
      </c>
      <c r="O14" s="43" t="s">
        <v>57</v>
      </c>
      <c r="P14" s="69" t="s">
        <v>67</v>
      </c>
      <c r="Q14" s="44"/>
      <c r="R14" s="45" t="s">
        <v>182</v>
      </c>
    </row>
    <row r="15" spans="1:18" s="46" customFormat="1" ht="24.95" customHeight="1" x14ac:dyDescent="0.25">
      <c r="A15" s="34">
        <v>4</v>
      </c>
      <c r="B15" s="35" t="s">
        <v>59</v>
      </c>
      <c r="C15" s="36">
        <v>741.59999999999991</v>
      </c>
      <c r="D15" s="37">
        <v>4442</v>
      </c>
      <c r="E15" s="37">
        <v>4490</v>
      </c>
      <c r="F15" s="37">
        <v>0</v>
      </c>
      <c r="G15" s="36">
        <v>15.45</v>
      </c>
      <c r="H15" s="38">
        <f>(E15+F15)/D15</f>
        <v>1.0108059432687979</v>
      </c>
      <c r="I15" s="36">
        <v>741.59999999999991</v>
      </c>
      <c r="J15" s="37">
        <v>48</v>
      </c>
      <c r="K15" s="39">
        <f t="shared" si="4"/>
        <v>1.0805943268797838E-2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60</v>
      </c>
      <c r="Q15" s="44" t="s">
        <v>61</v>
      </c>
      <c r="R15" s="45" t="s">
        <v>62</v>
      </c>
    </row>
    <row r="16" spans="1:18" s="46" customFormat="1" ht="24.95" customHeight="1" x14ac:dyDescent="0.25">
      <c r="A16" s="47">
        <v>5</v>
      </c>
      <c r="B16" s="35" t="s">
        <v>183</v>
      </c>
      <c r="C16" s="36">
        <v>741.16740000000004</v>
      </c>
      <c r="D16" s="37">
        <v>126.6</v>
      </c>
      <c r="E16" s="37">
        <v>128.38999999999999</v>
      </c>
      <c r="F16" s="37">
        <v>0</v>
      </c>
      <c r="G16" s="36">
        <v>414.06</v>
      </c>
      <c r="H16" s="38">
        <f t="shared" si="1"/>
        <v>1.0141390205371248</v>
      </c>
      <c r="I16" s="36">
        <v>741.16739999999675</v>
      </c>
      <c r="J16" s="37">
        <v>1.79</v>
      </c>
      <c r="K16" s="39">
        <f t="shared" si="4"/>
        <v>1.4139020537124803E-2</v>
      </c>
      <c r="L16" s="40">
        <f t="shared" si="2"/>
        <v>-7.9936057773011271E-15</v>
      </c>
      <c r="M16" s="41">
        <f t="shared" si="3"/>
        <v>-6.3140645950245868E-17</v>
      </c>
      <c r="N16" s="42">
        <f t="shared" si="0"/>
        <v>-3.3098324081493047E-12</v>
      </c>
      <c r="O16" s="43" t="s">
        <v>57</v>
      </c>
      <c r="P16" s="69" t="s">
        <v>235</v>
      </c>
      <c r="Q16" s="44"/>
      <c r="R16" s="45" t="s">
        <v>184</v>
      </c>
    </row>
    <row r="17" spans="1:18" s="46" customFormat="1" ht="24.95" customHeight="1" x14ac:dyDescent="0.25">
      <c r="A17" s="34">
        <v>6</v>
      </c>
      <c r="B17" s="35" t="s">
        <v>185</v>
      </c>
      <c r="C17" s="36">
        <v>707.9688000000001</v>
      </c>
      <c r="D17" s="37">
        <v>21.81</v>
      </c>
      <c r="E17" s="37">
        <v>23.13</v>
      </c>
      <c r="F17" s="37">
        <v>0</v>
      </c>
      <c r="G17" s="36">
        <v>536.34</v>
      </c>
      <c r="H17" s="38">
        <f t="shared" si="1"/>
        <v>1.0605226960110041</v>
      </c>
      <c r="I17" s="36">
        <v>707.96880000000021</v>
      </c>
      <c r="J17" s="37">
        <v>1.32</v>
      </c>
      <c r="K17" s="39">
        <f t="shared" si="4"/>
        <v>6.0522696011004136E-2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69" t="s">
        <v>67</v>
      </c>
      <c r="Q17" s="44"/>
      <c r="R17" s="45" t="s">
        <v>93</v>
      </c>
    </row>
    <row r="18" spans="1:18" s="46" customFormat="1" ht="24.95" customHeight="1" x14ac:dyDescent="0.25">
      <c r="A18" s="47">
        <v>7</v>
      </c>
      <c r="B18" s="35" t="s">
        <v>103</v>
      </c>
      <c r="C18" s="36">
        <v>648.48059999999998</v>
      </c>
      <c r="D18" s="37">
        <v>45.33</v>
      </c>
      <c r="E18" s="37">
        <v>48.23</v>
      </c>
      <c r="F18" s="37">
        <v>0</v>
      </c>
      <c r="G18" s="36">
        <v>248.46</v>
      </c>
      <c r="H18" s="38">
        <f t="shared" si="1"/>
        <v>1.0639752923009045</v>
      </c>
      <c r="I18" s="36">
        <v>720.53399999999965</v>
      </c>
      <c r="J18" s="37">
        <v>2.61</v>
      </c>
      <c r="K18" s="39">
        <f t="shared" si="4"/>
        <v>5.7577763070814032E-2</v>
      </c>
      <c r="L18" s="40">
        <f>((E18+F18)-D18)-J18</f>
        <v>0.2899999999999987</v>
      </c>
      <c r="M18" s="41">
        <f t="shared" si="3"/>
        <v>6.3975292300904197E-3</v>
      </c>
      <c r="N18" s="42">
        <f t="shared" si="0"/>
        <v>72.053399999999684</v>
      </c>
      <c r="O18" s="43" t="s">
        <v>57</v>
      </c>
      <c r="P18" s="69" t="s">
        <v>67</v>
      </c>
      <c r="Q18" s="44"/>
      <c r="R18" s="45" t="s">
        <v>58</v>
      </c>
    </row>
    <row r="19" spans="1:18" s="46" customFormat="1" ht="24.95" customHeight="1" x14ac:dyDescent="0.25">
      <c r="A19" s="34">
        <v>8</v>
      </c>
      <c r="B19" s="35" t="s">
        <v>66</v>
      </c>
      <c r="C19" s="36">
        <v>545.44050000000004</v>
      </c>
      <c r="D19" s="37">
        <v>54.11</v>
      </c>
      <c r="E19" s="37">
        <v>59.57</v>
      </c>
      <c r="F19" s="37">
        <v>0</v>
      </c>
      <c r="G19" s="36">
        <v>183.65</v>
      </c>
      <c r="H19" s="38">
        <f t="shared" si="1"/>
        <v>1.1009055627425615</v>
      </c>
      <c r="I19" s="36">
        <v>1002.7290000000002</v>
      </c>
      <c r="J19" s="37">
        <v>2.97</v>
      </c>
      <c r="K19" s="39">
        <f t="shared" si="4"/>
        <v>5.4888190722602113E-2</v>
      </c>
      <c r="L19" s="40">
        <f t="shared" si="2"/>
        <v>2.4900000000000007</v>
      </c>
      <c r="M19" s="41">
        <f t="shared" si="3"/>
        <v>4.6017372019959354E-2</v>
      </c>
      <c r="N19" s="42">
        <f t="shared" si="0"/>
        <v>457.28850000000011</v>
      </c>
      <c r="O19" s="43" t="s">
        <v>57</v>
      </c>
      <c r="P19" s="69" t="s">
        <v>67</v>
      </c>
      <c r="Q19" s="44"/>
      <c r="R19" s="45" t="s">
        <v>68</v>
      </c>
    </row>
    <row r="20" spans="1:18" s="46" customFormat="1" ht="24.95" customHeight="1" x14ac:dyDescent="0.25">
      <c r="A20" s="47">
        <v>9</v>
      </c>
      <c r="B20" s="35" t="s">
        <v>186</v>
      </c>
      <c r="C20" s="36">
        <v>395.90000000000003</v>
      </c>
      <c r="D20" s="37">
        <v>47.61</v>
      </c>
      <c r="E20" s="37">
        <v>49.75</v>
      </c>
      <c r="F20" s="37">
        <v>0</v>
      </c>
      <c r="G20" s="36">
        <v>185</v>
      </c>
      <c r="H20" s="38">
        <f t="shared" si="1"/>
        <v>1.0449485402226424</v>
      </c>
      <c r="I20" s="36">
        <v>395.90000000000009</v>
      </c>
      <c r="J20" s="37">
        <v>2.14</v>
      </c>
      <c r="K20" s="39">
        <f t="shared" si="4"/>
        <v>4.4948540222642303E-2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69" t="s">
        <v>235</v>
      </c>
      <c r="Q20" s="44"/>
      <c r="R20" s="45" t="s">
        <v>187</v>
      </c>
    </row>
    <row r="21" spans="1:18" s="46" customFormat="1" ht="24.95" customHeight="1" thickBot="1" x14ac:dyDescent="0.3">
      <c r="A21" s="48">
        <v>10</v>
      </c>
      <c r="B21" s="49" t="s">
        <v>114</v>
      </c>
      <c r="C21" s="50">
        <v>393.84259999999995</v>
      </c>
      <c r="D21" s="51">
        <v>107.71</v>
      </c>
      <c r="E21" s="51">
        <v>111.28999999999999</v>
      </c>
      <c r="F21" s="51">
        <v>0</v>
      </c>
      <c r="G21" s="50">
        <v>141.66999999999999</v>
      </c>
      <c r="H21" s="52">
        <f t="shared" si="1"/>
        <v>1.033237396713397</v>
      </c>
      <c r="I21" s="50">
        <v>507.17859999999973</v>
      </c>
      <c r="J21" s="51">
        <v>2.78</v>
      </c>
      <c r="K21" s="53">
        <f t="shared" si="4"/>
        <v>2.5810045492526228E-2</v>
      </c>
      <c r="L21" s="54">
        <f t="shared" si="2"/>
        <v>0.79999999999999849</v>
      </c>
      <c r="M21" s="55">
        <f t="shared" si="3"/>
        <v>7.4273512208708438E-3</v>
      </c>
      <c r="N21" s="56">
        <f t="shared" si="0"/>
        <v>113.33599999999977</v>
      </c>
      <c r="O21" s="57" t="s">
        <v>57</v>
      </c>
      <c r="P21" s="57" t="s">
        <v>235</v>
      </c>
      <c r="Q21" s="57"/>
      <c r="R21" s="58" t="s">
        <v>95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127</v>
      </c>
      <c r="C28" s="36">
        <v>6383.2824000000037</v>
      </c>
      <c r="D28" s="37">
        <v>245.78</v>
      </c>
      <c r="E28" s="37">
        <v>254.34</v>
      </c>
      <c r="F28" s="37">
        <v>6.4</v>
      </c>
      <c r="G28" s="36">
        <v>426.69</v>
      </c>
      <c r="H28" s="68">
        <f t="shared" ref="H28:H37" si="5">(E28+F28)/D28</f>
        <v>1.0608674424281879</v>
      </c>
      <c r="I28" s="36">
        <v>6383.2824000000037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14.960000000000008</v>
      </c>
      <c r="N28" s="41">
        <f t="shared" ref="N28:N37" si="9">M28/D28</f>
        <v>6.086744242818784E-2</v>
      </c>
      <c r="O28" s="43" t="s">
        <v>83</v>
      </c>
      <c r="P28" s="69" t="s">
        <v>235</v>
      </c>
      <c r="Q28" s="44"/>
      <c r="R28" s="45" t="s">
        <v>128</v>
      </c>
    </row>
    <row r="29" spans="1:18" s="67" customFormat="1" ht="24.95" customHeight="1" x14ac:dyDescent="0.25">
      <c r="A29" s="47">
        <v>2</v>
      </c>
      <c r="B29" s="35" t="s">
        <v>188</v>
      </c>
      <c r="C29" s="36">
        <v>5381.9139000000032</v>
      </c>
      <c r="D29" s="37">
        <v>112.99</v>
      </c>
      <c r="E29" s="37">
        <v>111.68</v>
      </c>
      <c r="F29" s="37">
        <v>13.6</v>
      </c>
      <c r="G29" s="36">
        <v>437.91</v>
      </c>
      <c r="H29" s="68">
        <f t="shared" si="5"/>
        <v>1.1087706876714754</v>
      </c>
      <c r="I29" s="36">
        <v>5381.9139000000032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12.290000000000006</v>
      </c>
      <c r="N29" s="41">
        <f t="shared" si="9"/>
        <v>0.10877068767147541</v>
      </c>
      <c r="O29" s="43" t="s">
        <v>83</v>
      </c>
      <c r="P29" s="69" t="s">
        <v>235</v>
      </c>
      <c r="Q29" s="44"/>
      <c r="R29" s="45" t="s">
        <v>182</v>
      </c>
    </row>
    <row r="30" spans="1:18" s="67" customFormat="1" ht="24.95" customHeight="1" x14ac:dyDescent="0.25">
      <c r="A30" s="47">
        <v>3</v>
      </c>
      <c r="B30" s="35" t="s">
        <v>82</v>
      </c>
      <c r="C30" s="36">
        <v>2969.2401999999961</v>
      </c>
      <c r="D30" s="37">
        <v>863.75</v>
      </c>
      <c r="E30" s="37">
        <v>862.31</v>
      </c>
      <c r="F30" s="37">
        <v>23.72</v>
      </c>
      <c r="G30" s="36">
        <v>147.43</v>
      </c>
      <c r="H30" s="68">
        <f t="shared" si="5"/>
        <v>1.0257945007235889</v>
      </c>
      <c r="I30" s="36">
        <v>3284.740399999996</v>
      </c>
      <c r="J30" s="37">
        <v>2.14</v>
      </c>
      <c r="K30" s="39">
        <f t="shared" si="6"/>
        <v>2.4775687409551378E-3</v>
      </c>
      <c r="L30" s="42">
        <f t="shared" si="7"/>
        <v>315.50020000000001</v>
      </c>
      <c r="M30" s="40">
        <f t="shared" si="8"/>
        <v>20.139999999999972</v>
      </c>
      <c r="N30" s="41">
        <f t="shared" si="9"/>
        <v>2.3316931982633831E-2</v>
      </c>
      <c r="O30" s="43" t="s">
        <v>83</v>
      </c>
      <c r="P30" s="69" t="s">
        <v>84</v>
      </c>
      <c r="Q30" s="44" t="s">
        <v>85</v>
      </c>
      <c r="R30" s="45" t="s">
        <v>58</v>
      </c>
    </row>
    <row r="31" spans="1:18" s="67" customFormat="1" ht="24.95" customHeight="1" x14ac:dyDescent="0.25">
      <c r="A31" s="34">
        <v>4</v>
      </c>
      <c r="B31" s="35" t="s">
        <v>89</v>
      </c>
      <c r="C31" s="36">
        <v>2305.2912000000028</v>
      </c>
      <c r="D31" s="37">
        <v>61.89</v>
      </c>
      <c r="E31" s="37">
        <v>63.76</v>
      </c>
      <c r="F31" s="37">
        <v>1.61</v>
      </c>
      <c r="G31" s="36">
        <v>662.44</v>
      </c>
      <c r="H31" s="68">
        <f t="shared" si="5"/>
        <v>1.0562287930198739</v>
      </c>
      <c r="I31" s="36">
        <v>2305.2912000000028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3.480000000000004</v>
      </c>
      <c r="N31" s="41">
        <f t="shared" si="9"/>
        <v>5.6228793019874032E-2</v>
      </c>
      <c r="O31" s="43" t="s">
        <v>83</v>
      </c>
      <c r="P31" s="69" t="s">
        <v>235</v>
      </c>
      <c r="Q31" s="44"/>
      <c r="R31" s="45" t="s">
        <v>58</v>
      </c>
    </row>
    <row r="32" spans="1:18" s="67" customFormat="1" ht="24.95" customHeight="1" x14ac:dyDescent="0.25">
      <c r="A32" s="47">
        <v>5</v>
      </c>
      <c r="B32" s="35" t="s">
        <v>131</v>
      </c>
      <c r="C32" s="36">
        <v>2029.4000000000008</v>
      </c>
      <c r="D32" s="37">
        <v>20.22</v>
      </c>
      <c r="E32" s="37">
        <v>23</v>
      </c>
      <c r="F32" s="37">
        <v>0</v>
      </c>
      <c r="G32" s="36">
        <v>730</v>
      </c>
      <c r="H32" s="68">
        <f t="shared" si="5"/>
        <v>1.1374876360039565</v>
      </c>
      <c r="I32" s="36">
        <v>2029.4000000000008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2.7800000000000011</v>
      </c>
      <c r="N32" s="41">
        <f t="shared" si="9"/>
        <v>0.13748763600395655</v>
      </c>
      <c r="O32" s="43" t="s">
        <v>83</v>
      </c>
      <c r="P32" s="69" t="s">
        <v>235</v>
      </c>
      <c r="Q32" s="44"/>
      <c r="R32" s="45" t="s">
        <v>123</v>
      </c>
    </row>
    <row r="33" spans="1:18" s="67" customFormat="1" ht="24.95" customHeight="1" x14ac:dyDescent="0.25">
      <c r="A33" s="34">
        <v>6</v>
      </c>
      <c r="B33" s="35" t="s">
        <v>189</v>
      </c>
      <c r="C33" s="36">
        <v>1809.9200000000028</v>
      </c>
      <c r="D33" s="37">
        <v>63.98</v>
      </c>
      <c r="E33" s="37">
        <v>66</v>
      </c>
      <c r="F33" s="37">
        <v>0</v>
      </c>
      <c r="G33" s="36">
        <v>896</v>
      </c>
      <c r="H33" s="68">
        <f t="shared" si="5"/>
        <v>1.0315723663644889</v>
      </c>
      <c r="I33" s="36">
        <v>1809.9200000000028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2.0200000000000031</v>
      </c>
      <c r="N33" s="41">
        <f t="shared" si="9"/>
        <v>3.157236636448895E-2</v>
      </c>
      <c r="O33" s="43" t="s">
        <v>83</v>
      </c>
      <c r="P33" s="69" t="s">
        <v>235</v>
      </c>
      <c r="Q33" s="44"/>
      <c r="R33" s="45" t="s">
        <v>190</v>
      </c>
    </row>
    <row r="34" spans="1:18" s="67" customFormat="1" ht="24.95" customHeight="1" x14ac:dyDescent="0.25">
      <c r="A34" s="47">
        <v>7</v>
      </c>
      <c r="B34" s="35" t="s">
        <v>56</v>
      </c>
      <c r="C34" s="36">
        <v>1779.5328000000093</v>
      </c>
      <c r="D34" s="37">
        <v>595.63</v>
      </c>
      <c r="E34" s="37">
        <v>591.85</v>
      </c>
      <c r="F34" s="37">
        <v>17.7</v>
      </c>
      <c r="G34" s="36">
        <v>127.84</v>
      </c>
      <c r="H34" s="68">
        <f t="shared" si="5"/>
        <v>1.0233702130517268</v>
      </c>
      <c r="I34" s="36">
        <v>1779.5328000000093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13.920000000000073</v>
      </c>
      <c r="N34" s="41">
        <f t="shared" si="9"/>
        <v>2.3370213051726867E-2</v>
      </c>
      <c r="O34" s="43" t="s">
        <v>83</v>
      </c>
      <c r="P34" s="69" t="s">
        <v>235</v>
      </c>
      <c r="Q34" s="44"/>
      <c r="R34" s="45" t="s">
        <v>58</v>
      </c>
    </row>
    <row r="35" spans="1:18" s="67" customFormat="1" ht="24.95" customHeight="1" x14ac:dyDescent="0.25">
      <c r="A35" s="34">
        <v>8</v>
      </c>
      <c r="B35" s="35" t="s">
        <v>191</v>
      </c>
      <c r="C35" s="36">
        <v>1377.6246999999985</v>
      </c>
      <c r="D35" s="37">
        <v>135.27000000000001</v>
      </c>
      <c r="E35" s="37">
        <v>132.03</v>
      </c>
      <c r="F35" s="37">
        <v>13.97</v>
      </c>
      <c r="G35" s="36">
        <v>128.38999999999999</v>
      </c>
      <c r="H35" s="68">
        <f t="shared" si="5"/>
        <v>1.0793228358098617</v>
      </c>
      <c r="I35" s="36">
        <v>1377.6246999999985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10.72999999999999</v>
      </c>
      <c r="N35" s="41">
        <f t="shared" si="9"/>
        <v>7.9322835809861672E-2</v>
      </c>
      <c r="O35" s="43" t="s">
        <v>83</v>
      </c>
      <c r="P35" s="69" t="s">
        <v>235</v>
      </c>
      <c r="Q35" s="44"/>
      <c r="R35" s="45" t="s">
        <v>68</v>
      </c>
    </row>
    <row r="36" spans="1:18" s="67" customFormat="1" ht="24.95" customHeight="1" x14ac:dyDescent="0.25">
      <c r="A36" s="47">
        <v>9</v>
      </c>
      <c r="B36" s="35" t="s">
        <v>192</v>
      </c>
      <c r="C36" s="36">
        <v>1368.7751999999989</v>
      </c>
      <c r="D36" s="37">
        <v>18.46</v>
      </c>
      <c r="E36" s="37">
        <v>18.5</v>
      </c>
      <c r="F36" s="37">
        <v>1</v>
      </c>
      <c r="G36" s="36">
        <v>1316.13</v>
      </c>
      <c r="H36" s="68">
        <f t="shared" si="5"/>
        <v>1.056338028169014</v>
      </c>
      <c r="I36" s="36">
        <v>1368.7751999999989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1.0399999999999991</v>
      </c>
      <c r="N36" s="41">
        <f t="shared" si="9"/>
        <v>5.6338028169014037E-2</v>
      </c>
      <c r="O36" s="43" t="s">
        <v>97</v>
      </c>
      <c r="P36" s="69" t="s">
        <v>235</v>
      </c>
      <c r="Q36" s="44"/>
      <c r="R36" s="45" t="s">
        <v>136</v>
      </c>
    </row>
    <row r="37" spans="1:18" s="67" customFormat="1" ht="24.95" customHeight="1" thickBot="1" x14ac:dyDescent="0.3">
      <c r="A37" s="48">
        <v>10</v>
      </c>
      <c r="B37" s="49" t="s">
        <v>193</v>
      </c>
      <c r="C37" s="50">
        <v>1355.5555999999992</v>
      </c>
      <c r="D37" s="51">
        <v>1386.72</v>
      </c>
      <c r="E37" s="51">
        <v>1283.05</v>
      </c>
      <c r="F37" s="51">
        <v>151.19999999999999</v>
      </c>
      <c r="G37" s="50">
        <v>28.52</v>
      </c>
      <c r="H37" s="70">
        <f t="shared" si="5"/>
        <v>1.0342751240336909</v>
      </c>
      <c r="I37" s="50">
        <v>1355.5555999999992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47.529999999999973</v>
      </c>
      <c r="N37" s="55">
        <f t="shared" si="9"/>
        <v>3.4275124033690992E-2</v>
      </c>
      <c r="O37" s="57" t="s">
        <v>97</v>
      </c>
      <c r="P37" s="71" t="s">
        <v>235</v>
      </c>
      <c r="Q37" s="72"/>
      <c r="R37" s="58" t="s">
        <v>182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103</v>
      </c>
      <c r="C44" s="36">
        <v>648.48059999999998</v>
      </c>
      <c r="D44" s="78">
        <f t="shared" ref="D44:D53" si="10">C44/$L$5</f>
        <v>0.20121379141036222</v>
      </c>
      <c r="E44" s="79"/>
    </row>
    <row r="45" spans="1:18" s="80" customFormat="1" ht="24.95" customHeight="1" x14ac:dyDescent="0.25">
      <c r="A45" s="81">
        <v>2</v>
      </c>
      <c r="B45" s="35" t="s">
        <v>105</v>
      </c>
      <c r="C45" s="36">
        <v>379.75</v>
      </c>
      <c r="D45" s="78">
        <f t="shared" si="10"/>
        <v>0.11783072198009478</v>
      </c>
      <c r="E45" s="79"/>
    </row>
    <row r="46" spans="1:18" s="80" customFormat="1" ht="24.95" customHeight="1" x14ac:dyDescent="0.25">
      <c r="A46" s="81">
        <v>3</v>
      </c>
      <c r="B46" s="35" t="s">
        <v>104</v>
      </c>
      <c r="C46" s="36">
        <v>372.06</v>
      </c>
      <c r="D46" s="78">
        <f t="shared" si="10"/>
        <v>0.11544463046718648</v>
      </c>
      <c r="E46" s="79"/>
    </row>
    <row r="47" spans="1:18" s="80" customFormat="1" ht="24.95" customHeight="1" x14ac:dyDescent="0.25">
      <c r="A47" s="77">
        <v>4</v>
      </c>
      <c r="B47" s="35" t="s">
        <v>147</v>
      </c>
      <c r="C47" s="36">
        <v>344.53839999999997</v>
      </c>
      <c r="D47" s="78">
        <f t="shared" si="10"/>
        <v>0.10690509130182142</v>
      </c>
      <c r="E47" s="79"/>
    </row>
    <row r="48" spans="1:18" s="80" customFormat="1" ht="24.95" customHeight="1" x14ac:dyDescent="0.25">
      <c r="A48" s="81">
        <v>5</v>
      </c>
      <c r="B48" s="35" t="s">
        <v>82</v>
      </c>
      <c r="C48" s="36">
        <v>315.50020000000001</v>
      </c>
      <c r="D48" s="78">
        <f t="shared" si="10"/>
        <v>9.7894973932493232E-2</v>
      </c>
      <c r="E48" s="79"/>
    </row>
    <row r="49" spans="1:5" s="80" customFormat="1" ht="24.95" customHeight="1" x14ac:dyDescent="0.25">
      <c r="A49" s="77">
        <v>6</v>
      </c>
      <c r="B49" s="35" t="s">
        <v>126</v>
      </c>
      <c r="C49" s="36">
        <v>296.55</v>
      </c>
      <c r="D49" s="78">
        <f t="shared" si="10"/>
        <v>9.2015011463323526E-2</v>
      </c>
      <c r="E49" s="79"/>
    </row>
    <row r="50" spans="1:5" s="80" customFormat="1" ht="24.95" customHeight="1" x14ac:dyDescent="0.25">
      <c r="A50" s="81">
        <v>7</v>
      </c>
      <c r="B50" s="35" t="s">
        <v>109</v>
      </c>
      <c r="C50" s="36">
        <v>224.44000000000003</v>
      </c>
      <c r="D50" s="78">
        <f t="shared" si="10"/>
        <v>6.9640361398847869E-2</v>
      </c>
      <c r="E50" s="79"/>
    </row>
    <row r="51" spans="1:5" s="80" customFormat="1" ht="24.95" customHeight="1" x14ac:dyDescent="0.25">
      <c r="A51" s="77">
        <v>8</v>
      </c>
      <c r="B51" s="35" t="s">
        <v>73</v>
      </c>
      <c r="C51" s="36">
        <v>205.23100000000002</v>
      </c>
      <c r="D51" s="78">
        <f t="shared" si="10"/>
        <v>6.3680097176291861E-2</v>
      </c>
      <c r="E51" s="79"/>
    </row>
    <row r="52" spans="1:5" s="80" customFormat="1" ht="24.95" customHeight="1" x14ac:dyDescent="0.25">
      <c r="A52" s="81">
        <v>9</v>
      </c>
      <c r="B52" s="35" t="s">
        <v>125</v>
      </c>
      <c r="C52" s="36">
        <v>194</v>
      </c>
      <c r="D52" s="78">
        <f t="shared" si="10"/>
        <v>6.0195286541509914E-2</v>
      </c>
      <c r="E52" s="79"/>
    </row>
    <row r="53" spans="1:5" s="80" customFormat="1" ht="24.95" customHeight="1" thickBot="1" x14ac:dyDescent="0.3">
      <c r="A53" s="82">
        <v>10</v>
      </c>
      <c r="B53" s="49" t="s">
        <v>110</v>
      </c>
      <c r="C53" s="50">
        <v>111.342</v>
      </c>
      <c r="D53" s="83">
        <f t="shared" si="10"/>
        <v>3.4547750485076273E-2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77" priority="34" operator="containsText" text="中華">
      <formula>NOT(ISERROR(SEARCH("中華",A12)))</formula>
    </cfRule>
    <cfRule type="containsText" dxfId="576" priority="33" operator="containsText" text="湯凍">
      <formula>NOT(ISERROR(SEARCH("湯凍",A12)))</formula>
    </cfRule>
    <cfRule type="containsText" dxfId="575" priority="32" operator="containsText" text=")川燙小青花菜">
      <formula>NOT(ISERROR(SEARCH(")川燙小青花菜",A12)))</formula>
    </cfRule>
    <cfRule type="containsText" dxfId="574" priority="31" operator="containsText" text="青蔥">
      <formula>NOT(ISERROR(SEARCH("青蔥",A12)))</formula>
    </cfRule>
    <cfRule type="containsText" dxfId="573" priority="30" operator="containsText" text="白醬">
      <formula>NOT(ISERROR(SEARCH("白醬",A12)))</formula>
    </cfRule>
    <cfRule type="containsText" dxfId="572" priority="29" operator="containsText" text="024">
      <formula>NOT(ISERROR(SEARCH("024",A12)))</formula>
    </cfRule>
    <cfRule type="containsText" dxfId="571" priority="28" operator="containsText" text="煮白細麵生(方#12)">
      <formula>NOT(ISERROR(SEARCH("煮白細麵生(方#12)",A12)))</formula>
    </cfRule>
    <cfRule type="containsText" dxfId="570" priority="27" operator="containsText" text="綠豆芽">
      <formula>NOT(ISERROR(SEARCH("綠豆芽",A12)))</formula>
    </cfRule>
  </conditionalFormatting>
  <conditionalFormatting sqref="A28:A37">
    <cfRule type="containsText" dxfId="569" priority="5" operator="containsText" text="綠豆芽">
      <formula>NOT(ISERROR(SEARCH("綠豆芽",A28)))</formula>
    </cfRule>
    <cfRule type="containsText" dxfId="568" priority="6" operator="containsText" text="煮白細麵生(方#12)">
      <formula>NOT(ISERROR(SEARCH("煮白細麵生(方#12)",A28)))</formula>
    </cfRule>
    <cfRule type="containsText" dxfId="567" priority="7" operator="containsText" text="024">
      <formula>NOT(ISERROR(SEARCH("024",A28)))</formula>
    </cfRule>
    <cfRule type="containsText" dxfId="566" priority="8" operator="containsText" text="白醬">
      <formula>NOT(ISERROR(SEARCH("白醬",A28)))</formula>
    </cfRule>
    <cfRule type="containsText" dxfId="565" priority="9" operator="containsText" text="青蔥">
      <formula>NOT(ISERROR(SEARCH("青蔥",A28)))</formula>
    </cfRule>
    <cfRule type="containsText" dxfId="564" priority="10" operator="containsText" text=")川燙小青花菜">
      <formula>NOT(ISERROR(SEARCH(")川燙小青花菜",A28)))</formula>
    </cfRule>
    <cfRule type="containsText" dxfId="563" priority="11" operator="containsText" text="湯凍">
      <formula>NOT(ISERROR(SEARCH("湯凍",A28)))</formula>
    </cfRule>
    <cfRule type="containsText" dxfId="562" priority="12" operator="containsText" text="中華">
      <formula>NOT(ISERROR(SEARCH("中華",A28)))</formula>
    </cfRule>
  </conditionalFormatting>
  <conditionalFormatting sqref="A44:A53">
    <cfRule type="containsText" dxfId="561" priority="17" operator="containsText" text="綠豆芽">
      <formula>NOT(ISERROR(SEARCH("綠豆芽",A44)))</formula>
    </cfRule>
    <cfRule type="containsText" dxfId="560" priority="18" operator="containsText" text="煮白細麵生(方#12)">
      <formula>NOT(ISERROR(SEARCH("煮白細麵生(方#12)",A44)))</formula>
    </cfRule>
    <cfRule type="containsText" dxfId="559" priority="19" operator="containsText" text="024">
      <formula>NOT(ISERROR(SEARCH("024",A44)))</formula>
    </cfRule>
    <cfRule type="containsText" dxfId="558" priority="20" operator="containsText" text="白醬">
      <formula>NOT(ISERROR(SEARCH("白醬",A44)))</formula>
    </cfRule>
    <cfRule type="containsText" dxfId="557" priority="21" operator="containsText" text="青蔥">
      <formula>NOT(ISERROR(SEARCH("青蔥",A44)))</formula>
    </cfRule>
    <cfRule type="containsText" dxfId="556" priority="22" operator="containsText" text=")川燙小青花菜">
      <formula>NOT(ISERROR(SEARCH(")川燙小青花菜",A44)))</formula>
    </cfRule>
    <cfRule type="containsText" dxfId="555" priority="23" operator="containsText" text="湯凍">
      <formula>NOT(ISERROR(SEARCH("湯凍",A44)))</formula>
    </cfRule>
    <cfRule type="containsText" dxfId="554" priority="24" operator="containsText" text="中華">
      <formula>NOT(ISERROR(SEARCH("中華",A44)))</formula>
    </cfRule>
  </conditionalFormatting>
  <conditionalFormatting sqref="D44:D53">
    <cfRule type="cellIs" dxfId="553" priority="16" operator="greaterThan">
      <formula>0.146</formula>
    </cfRule>
  </conditionalFormatting>
  <conditionalFormatting sqref="E5">
    <cfRule type="cellIs" dxfId="552" priority="25" operator="greaterThan">
      <formula>0.072</formula>
    </cfRule>
    <cfRule type="cellIs" dxfId="551" priority="26" operator="greaterThan">
      <formula>7.2</formula>
    </cfRule>
    <cfRule type="cellIs" dxfId="550" priority="14" operator="greaterThan">
      <formula>0.0025</formula>
    </cfRule>
  </conditionalFormatting>
  <conditionalFormatting sqref="G5">
    <cfRule type="cellIs" dxfId="549" priority="3" operator="greaterThan">
      <formula>7.2</formula>
    </cfRule>
    <cfRule type="cellIs" dxfId="548" priority="2" operator="greaterThan">
      <formula>0.072</formula>
    </cfRule>
    <cfRule type="cellIs" dxfId="547" priority="1" operator="greaterThan">
      <formula>0.0025</formula>
    </cfRule>
  </conditionalFormatting>
  <conditionalFormatting sqref="H12:H22">
    <cfRule type="cellIs" dxfId="546" priority="15" operator="greaterThan">
      <formula>1.1</formula>
    </cfRule>
  </conditionalFormatting>
  <conditionalFormatting sqref="H28:H37">
    <cfRule type="cellIs" dxfId="545" priority="4" operator="greaterThan">
      <formula>1.1</formula>
    </cfRule>
  </conditionalFormatting>
  <conditionalFormatting sqref="I5">
    <cfRule type="cellIs" dxfId="54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E97C-7EB4-4D64-8365-03245FDF5B5A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45915</v>
      </c>
      <c r="B3" s="149"/>
      <c r="C3" s="150">
        <v>7902070.0300000003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19089.992200000001</v>
      </c>
      <c r="E5" s="24">
        <f>D5/C3</f>
        <v>2.4158216932430804E-3</v>
      </c>
      <c r="F5" s="23">
        <v>56342.009499999986</v>
      </c>
      <c r="G5" s="25">
        <f>F5/C3</f>
        <v>7.1300316608305207E-3</v>
      </c>
      <c r="H5" s="26">
        <f>SUM(C12:C21)</f>
        <v>4866.0187999999998</v>
      </c>
      <c r="I5" s="27">
        <f>H5/D5</f>
        <v>0.25489894123686441</v>
      </c>
      <c r="J5" s="26">
        <f>SUM(C28:C37)</f>
        <v>20849.636099999992</v>
      </c>
      <c r="K5" s="28">
        <f>J5/F5</f>
        <v>0.37005488950478416</v>
      </c>
      <c r="L5" s="29">
        <v>3670.1785</v>
      </c>
      <c r="M5" s="30">
        <f>L5/D5</f>
        <v>0.1922566788686273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59</v>
      </c>
      <c r="C12" s="36">
        <v>988.8</v>
      </c>
      <c r="D12" s="37">
        <v>4615</v>
      </c>
      <c r="E12" s="37">
        <v>4679</v>
      </c>
      <c r="F12" s="37">
        <v>0</v>
      </c>
      <c r="G12" s="36">
        <v>15.45</v>
      </c>
      <c r="H12" s="38">
        <f>(E12+F12)/D12</f>
        <v>1.0138678223185265</v>
      </c>
      <c r="I12" s="36">
        <v>988.8</v>
      </c>
      <c r="J12" s="37">
        <v>64</v>
      </c>
      <c r="K12" s="39">
        <f>J12/D12</f>
        <v>1.3867822318526544E-2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66</v>
      </c>
      <c r="C13" s="36">
        <v>734.6</v>
      </c>
      <c r="D13" s="37">
        <v>56.16</v>
      </c>
      <c r="E13" s="37">
        <v>60.3</v>
      </c>
      <c r="F13" s="37">
        <v>0</v>
      </c>
      <c r="G13" s="36">
        <v>183.65</v>
      </c>
      <c r="H13" s="38">
        <f t="shared" ref="H13:H21" si="1">(E13+F13)/D13</f>
        <v>1.0737179487179487</v>
      </c>
      <c r="I13" s="36">
        <v>760.31100000000015</v>
      </c>
      <c r="J13" s="37">
        <v>4</v>
      </c>
      <c r="K13" s="39">
        <f>J13/D13</f>
        <v>7.1225071225071226E-2</v>
      </c>
      <c r="L13" s="40">
        <f t="shared" ref="L13:L21" si="2">((E13+F13)-D13)-J13</f>
        <v>0.14000000000000057</v>
      </c>
      <c r="M13" s="41">
        <f t="shared" ref="M13:M21" si="3">L13/D13</f>
        <v>2.4928774928775032E-3</v>
      </c>
      <c r="N13" s="42">
        <f t="shared" si="0"/>
        <v>25.711000000000105</v>
      </c>
      <c r="O13" s="43" t="s">
        <v>57</v>
      </c>
      <c r="P13" s="69" t="s">
        <v>67</v>
      </c>
      <c r="Q13" s="44"/>
      <c r="R13" s="45" t="s">
        <v>68</v>
      </c>
    </row>
    <row r="14" spans="1:18" s="46" customFormat="1" ht="24.95" customHeight="1" x14ac:dyDescent="0.25">
      <c r="A14" s="47">
        <v>3</v>
      </c>
      <c r="B14" s="35" t="s">
        <v>112</v>
      </c>
      <c r="C14" s="36">
        <v>551.46</v>
      </c>
      <c r="D14" s="37">
        <v>5054</v>
      </c>
      <c r="E14" s="37">
        <v>4945</v>
      </c>
      <c r="F14" s="37">
        <v>210</v>
      </c>
      <c r="G14" s="36">
        <v>5.46</v>
      </c>
      <c r="H14" s="38">
        <f>(E14+F14)/D14</f>
        <v>1.0199841709537001</v>
      </c>
      <c r="I14" s="36">
        <v>551.46</v>
      </c>
      <c r="J14" s="37">
        <v>101</v>
      </c>
      <c r="K14" s="39">
        <f t="shared" ref="K14:K21" si="4">J14/D14</f>
        <v>1.9984170953700038E-2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3" t="s">
        <v>64</v>
      </c>
      <c r="Q14" s="44" t="s">
        <v>113</v>
      </c>
      <c r="R14" s="45" t="s">
        <v>98</v>
      </c>
    </row>
    <row r="15" spans="1:18" s="46" customFormat="1" ht="24.95" customHeight="1" x14ac:dyDescent="0.25">
      <c r="A15" s="34">
        <v>4</v>
      </c>
      <c r="B15" s="35" t="s">
        <v>56</v>
      </c>
      <c r="C15" s="36">
        <v>426.98559999999998</v>
      </c>
      <c r="D15" s="37">
        <v>622.35</v>
      </c>
      <c r="E15" s="37">
        <v>615.39</v>
      </c>
      <c r="F15" s="37">
        <v>14.3</v>
      </c>
      <c r="G15" s="36">
        <v>127.84</v>
      </c>
      <c r="H15" s="38">
        <f>(E15+F15)/D15</f>
        <v>1.0117940065879327</v>
      </c>
      <c r="I15" s="36">
        <v>938.34559999998953</v>
      </c>
      <c r="J15" s="37">
        <v>3.34</v>
      </c>
      <c r="K15" s="39">
        <f t="shared" si="4"/>
        <v>5.3667550413754317E-3</v>
      </c>
      <c r="L15" s="40">
        <f t="shared" si="2"/>
        <v>3.9999999999999183</v>
      </c>
      <c r="M15" s="41">
        <f t="shared" si="3"/>
        <v>6.4272515465572718E-3</v>
      </c>
      <c r="N15" s="42">
        <f t="shared" si="0"/>
        <v>511.35999999998955</v>
      </c>
      <c r="O15" s="43" t="s">
        <v>57</v>
      </c>
      <c r="P15" s="69" t="s">
        <v>235</v>
      </c>
      <c r="Q15" s="44"/>
      <c r="R15" s="45" t="s">
        <v>58</v>
      </c>
    </row>
    <row r="16" spans="1:18" s="46" customFormat="1" ht="24.95" customHeight="1" x14ac:dyDescent="0.25">
      <c r="A16" s="47">
        <v>5</v>
      </c>
      <c r="B16" s="35" t="s">
        <v>109</v>
      </c>
      <c r="C16" s="36">
        <v>415.57600000000002</v>
      </c>
      <c r="D16" s="37">
        <v>261.27999999999997</v>
      </c>
      <c r="E16" s="37">
        <v>260.75</v>
      </c>
      <c r="F16" s="37">
        <v>8.4</v>
      </c>
      <c r="G16" s="36">
        <v>144.80000000000001</v>
      </c>
      <c r="H16" s="38">
        <f t="shared" si="1"/>
        <v>1.0301209430496019</v>
      </c>
      <c r="I16" s="36">
        <v>1139.5760000000007</v>
      </c>
      <c r="J16" s="37">
        <v>2.87</v>
      </c>
      <c r="K16" s="39">
        <f t="shared" si="4"/>
        <v>1.0984384568279243E-2</v>
      </c>
      <c r="L16" s="40">
        <f t="shared" si="2"/>
        <v>5.0000000000000044</v>
      </c>
      <c r="M16" s="41">
        <f t="shared" si="3"/>
        <v>1.9136558481322737E-2</v>
      </c>
      <c r="N16" s="42">
        <f t="shared" si="0"/>
        <v>724.00000000000068</v>
      </c>
      <c r="O16" s="43" t="s">
        <v>57</v>
      </c>
      <c r="P16" s="69" t="s">
        <v>235</v>
      </c>
      <c r="Q16" s="44"/>
      <c r="R16" s="45" t="s">
        <v>58</v>
      </c>
    </row>
    <row r="17" spans="1:18" s="46" customFormat="1" ht="24.95" customHeight="1" x14ac:dyDescent="0.25">
      <c r="A17" s="34">
        <v>6</v>
      </c>
      <c r="B17" s="35" t="s">
        <v>73</v>
      </c>
      <c r="C17" s="36">
        <v>410.46200000000005</v>
      </c>
      <c r="D17" s="37">
        <v>388.32</v>
      </c>
      <c r="E17" s="37">
        <v>387.8</v>
      </c>
      <c r="F17" s="37">
        <v>4.32</v>
      </c>
      <c r="G17" s="36">
        <v>157.87</v>
      </c>
      <c r="H17" s="38">
        <f t="shared" si="1"/>
        <v>1.0097857437165225</v>
      </c>
      <c r="I17" s="36">
        <v>599.90600000000177</v>
      </c>
      <c r="J17" s="37">
        <v>2.6</v>
      </c>
      <c r="K17" s="39">
        <f t="shared" si="4"/>
        <v>6.6955088586732594E-3</v>
      </c>
      <c r="L17" s="40">
        <f t="shared" si="2"/>
        <v>1.2000000000000113</v>
      </c>
      <c r="M17" s="41">
        <f t="shared" si="3"/>
        <v>3.0902348578492255E-3</v>
      </c>
      <c r="N17" s="42">
        <f t="shared" si="0"/>
        <v>189.44400000000178</v>
      </c>
      <c r="O17" s="43" t="s">
        <v>57</v>
      </c>
      <c r="P17" s="69" t="s">
        <v>235</v>
      </c>
      <c r="Q17" s="44"/>
      <c r="R17" s="45" t="s">
        <v>58</v>
      </c>
    </row>
    <row r="18" spans="1:18" s="46" customFormat="1" ht="24.95" customHeight="1" x14ac:dyDescent="0.25">
      <c r="A18" s="47">
        <v>7</v>
      </c>
      <c r="B18" s="35" t="s">
        <v>103</v>
      </c>
      <c r="C18" s="36">
        <v>407.4744</v>
      </c>
      <c r="D18" s="37">
        <v>46.29</v>
      </c>
      <c r="E18" s="37">
        <v>45.21</v>
      </c>
      <c r="F18" s="37">
        <v>3.36</v>
      </c>
      <c r="G18" s="36">
        <v>248.46</v>
      </c>
      <c r="H18" s="38">
        <f t="shared" si="1"/>
        <v>1.049254698639015</v>
      </c>
      <c r="I18" s="36">
        <v>566.48880000000031</v>
      </c>
      <c r="J18" s="37">
        <v>1.64</v>
      </c>
      <c r="K18" s="39">
        <f t="shared" si="4"/>
        <v>3.5428818319291421E-2</v>
      </c>
      <c r="L18" s="40">
        <f>((E18+F18)-D18)-J18</f>
        <v>0.64000000000000123</v>
      </c>
      <c r="M18" s="41">
        <f t="shared" si="3"/>
        <v>1.3825880319723509E-2</v>
      </c>
      <c r="N18" s="42">
        <f t="shared" si="0"/>
        <v>159.01440000000031</v>
      </c>
      <c r="O18" s="43" t="s">
        <v>57</v>
      </c>
      <c r="P18" s="69" t="s">
        <v>235</v>
      </c>
      <c r="Q18" s="44"/>
      <c r="R18" s="45" t="s">
        <v>58</v>
      </c>
    </row>
    <row r="19" spans="1:18" s="46" customFormat="1" ht="24.95" customHeight="1" x14ac:dyDescent="0.25">
      <c r="A19" s="34">
        <v>8</v>
      </c>
      <c r="B19" s="35" t="s">
        <v>96</v>
      </c>
      <c r="C19" s="36">
        <v>324.55500000000001</v>
      </c>
      <c r="D19" s="37">
        <v>290.61</v>
      </c>
      <c r="E19" s="37">
        <v>282.31</v>
      </c>
      <c r="F19" s="37">
        <v>22.43</v>
      </c>
      <c r="G19" s="36">
        <v>84.3</v>
      </c>
      <c r="H19" s="38">
        <f t="shared" si="1"/>
        <v>1.0486218643542893</v>
      </c>
      <c r="I19" s="36">
        <v>1191.1589999999997</v>
      </c>
      <c r="J19" s="37">
        <v>3.85</v>
      </c>
      <c r="K19" s="39">
        <f t="shared" si="4"/>
        <v>1.3247995595471594E-2</v>
      </c>
      <c r="L19" s="40">
        <f t="shared" si="2"/>
        <v>10.279999999999996</v>
      </c>
      <c r="M19" s="41">
        <f t="shared" si="3"/>
        <v>3.5373868758817643E-2</v>
      </c>
      <c r="N19" s="42">
        <f t="shared" si="0"/>
        <v>866.60399999999959</v>
      </c>
      <c r="O19" s="43" t="s">
        <v>57</v>
      </c>
      <c r="P19" s="69" t="s">
        <v>235</v>
      </c>
      <c r="Q19" s="44"/>
      <c r="R19" s="45" t="s">
        <v>98</v>
      </c>
    </row>
    <row r="20" spans="1:18" s="46" customFormat="1" ht="24.95" customHeight="1" x14ac:dyDescent="0.25">
      <c r="A20" s="47">
        <v>9</v>
      </c>
      <c r="B20" s="35" t="s">
        <v>82</v>
      </c>
      <c r="C20" s="36">
        <v>303.70580000000001</v>
      </c>
      <c r="D20" s="37">
        <v>806.51</v>
      </c>
      <c r="E20" s="37">
        <v>801.27</v>
      </c>
      <c r="F20" s="37">
        <v>38.32</v>
      </c>
      <c r="G20" s="36">
        <v>147.43</v>
      </c>
      <c r="H20" s="38">
        <f t="shared" si="1"/>
        <v>1.0410162304249173</v>
      </c>
      <c r="I20" s="36">
        <v>4876.9844000000066</v>
      </c>
      <c r="J20" s="37">
        <v>2.06</v>
      </c>
      <c r="K20" s="39">
        <f t="shared" si="4"/>
        <v>2.5542150748285824E-3</v>
      </c>
      <c r="L20" s="40">
        <f t="shared" si="2"/>
        <v>31.020000000000042</v>
      </c>
      <c r="M20" s="41">
        <f t="shared" si="3"/>
        <v>3.8462015350088703E-2</v>
      </c>
      <c r="N20" s="42">
        <f t="shared" si="0"/>
        <v>4573.278600000006</v>
      </c>
      <c r="O20" s="43" t="s">
        <v>57</v>
      </c>
      <c r="P20" s="69" t="s">
        <v>118</v>
      </c>
      <c r="Q20" s="44" t="s">
        <v>85</v>
      </c>
      <c r="R20" s="45" t="s">
        <v>58</v>
      </c>
    </row>
    <row r="21" spans="1:18" s="46" customFormat="1" ht="24.95" customHeight="1" thickBot="1" x14ac:dyDescent="0.3">
      <c r="A21" s="48">
        <v>10</v>
      </c>
      <c r="B21" s="49" t="s">
        <v>117</v>
      </c>
      <c r="C21" s="50">
        <v>302.39999999999998</v>
      </c>
      <c r="D21" s="51">
        <v>147</v>
      </c>
      <c r="E21" s="51">
        <v>150.15</v>
      </c>
      <c r="F21" s="51">
        <v>0</v>
      </c>
      <c r="G21" s="50">
        <v>96</v>
      </c>
      <c r="H21" s="52">
        <f t="shared" si="1"/>
        <v>1.0214285714285716</v>
      </c>
      <c r="I21" s="50">
        <v>302.40000000000055</v>
      </c>
      <c r="J21" s="51">
        <v>3.15</v>
      </c>
      <c r="K21" s="53">
        <f t="shared" si="4"/>
        <v>2.1428571428571429E-2</v>
      </c>
      <c r="L21" s="54">
        <f t="shared" si="2"/>
        <v>5.773159728050814E-15</v>
      </c>
      <c r="M21" s="55">
        <f t="shared" si="3"/>
        <v>3.9273195428917103E-17</v>
      </c>
      <c r="N21" s="56">
        <f t="shared" si="0"/>
        <v>5.5422333389287814E-13</v>
      </c>
      <c r="O21" s="57" t="s">
        <v>57</v>
      </c>
      <c r="P21" s="57" t="s">
        <v>118</v>
      </c>
      <c r="Q21" s="57"/>
      <c r="R21" s="58" t="s">
        <v>119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171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82</v>
      </c>
      <c r="C28" s="36">
        <v>4573.2786000000069</v>
      </c>
      <c r="D28" s="37">
        <v>806.51</v>
      </c>
      <c r="E28" s="37">
        <v>801.27</v>
      </c>
      <c r="F28" s="37">
        <v>38.32</v>
      </c>
      <c r="G28" s="36">
        <v>147.43</v>
      </c>
      <c r="H28" s="68">
        <f t="shared" ref="H28:H37" si="5">(E28+F28)/D28</f>
        <v>1.0410162304249173</v>
      </c>
      <c r="I28" s="36">
        <v>4876.9844000000066</v>
      </c>
      <c r="J28" s="37">
        <v>2.06</v>
      </c>
      <c r="K28" s="39">
        <f t="shared" ref="K28:K37" si="6">J28/D28</f>
        <v>2.5542150748285824E-3</v>
      </c>
      <c r="L28" s="42">
        <f t="shared" ref="L28:L37" si="7">J28*G28</f>
        <v>303.70580000000001</v>
      </c>
      <c r="M28" s="40">
        <f t="shared" ref="M28:M37" si="8">((E28+F28)-D28)-J28</f>
        <v>31.020000000000042</v>
      </c>
      <c r="N28" s="41">
        <f t="shared" ref="N28:N37" si="9">M28/D28</f>
        <v>3.8462015350088703E-2</v>
      </c>
      <c r="O28" s="43" t="s">
        <v>83</v>
      </c>
      <c r="P28" s="69" t="s">
        <v>84</v>
      </c>
      <c r="Q28" s="44" t="s">
        <v>85</v>
      </c>
      <c r="R28" s="45" t="s">
        <v>58</v>
      </c>
    </row>
    <row r="29" spans="1:18" s="67" customFormat="1" ht="24.95" customHeight="1" x14ac:dyDescent="0.25">
      <c r="A29" s="47">
        <v>2</v>
      </c>
      <c r="B29" s="35" t="s">
        <v>132</v>
      </c>
      <c r="C29" s="36">
        <v>3069.5200000000018</v>
      </c>
      <c r="D29" s="37">
        <v>58.86</v>
      </c>
      <c r="E29" s="37">
        <v>61.34</v>
      </c>
      <c r="F29" s="37">
        <v>2.4</v>
      </c>
      <c r="G29" s="36">
        <v>629</v>
      </c>
      <c r="H29" s="68">
        <f t="shared" si="5"/>
        <v>1.0829085966700647</v>
      </c>
      <c r="I29" s="36">
        <v>3069.5200000000018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4.8800000000000026</v>
      </c>
      <c r="N29" s="41">
        <f t="shared" si="9"/>
        <v>8.2908596670064602E-2</v>
      </c>
      <c r="O29" s="43" t="s">
        <v>83</v>
      </c>
      <c r="P29" s="69" t="s">
        <v>235</v>
      </c>
      <c r="Q29" s="44"/>
      <c r="R29" s="45" t="s">
        <v>70</v>
      </c>
    </row>
    <row r="30" spans="1:18" s="67" customFormat="1" ht="24.95" customHeight="1" x14ac:dyDescent="0.25">
      <c r="A30" s="47">
        <v>3</v>
      </c>
      <c r="B30" s="35" t="s">
        <v>92</v>
      </c>
      <c r="C30" s="36">
        <v>2324.2820000000015</v>
      </c>
      <c r="D30" s="37">
        <v>371.56</v>
      </c>
      <c r="E30" s="37">
        <v>380.86</v>
      </c>
      <c r="F30" s="37">
        <v>23.8</v>
      </c>
      <c r="G30" s="36">
        <v>70.22</v>
      </c>
      <c r="H30" s="68">
        <f t="shared" si="5"/>
        <v>1.0890838626332222</v>
      </c>
      <c r="I30" s="36">
        <v>2324.2820000000015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33.100000000000023</v>
      </c>
      <c r="N30" s="41">
        <f t="shared" si="9"/>
        <v>8.9083862633222155E-2</v>
      </c>
      <c r="O30" s="43" t="s">
        <v>83</v>
      </c>
      <c r="P30" s="69" t="s">
        <v>235</v>
      </c>
      <c r="Q30" s="44"/>
      <c r="R30" s="45" t="s">
        <v>93</v>
      </c>
    </row>
    <row r="31" spans="1:18" s="67" customFormat="1" ht="24.95" customHeight="1" x14ac:dyDescent="0.25">
      <c r="A31" s="34">
        <v>4</v>
      </c>
      <c r="B31" s="35" t="s">
        <v>124</v>
      </c>
      <c r="C31" s="36">
        <v>2188.5844000000025</v>
      </c>
      <c r="D31" s="37">
        <v>53.68</v>
      </c>
      <c r="E31" s="37">
        <v>53.78</v>
      </c>
      <c r="F31" s="37">
        <v>3.06</v>
      </c>
      <c r="G31" s="36">
        <v>692.59</v>
      </c>
      <c r="H31" s="68">
        <f t="shared" si="5"/>
        <v>1.0588673621460507</v>
      </c>
      <c r="I31" s="36">
        <v>2188.5844000000025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3.1600000000000037</v>
      </c>
      <c r="N31" s="41">
        <f t="shared" si="9"/>
        <v>5.886736214605074E-2</v>
      </c>
      <c r="O31" s="43" t="s">
        <v>83</v>
      </c>
      <c r="P31" s="69" t="s">
        <v>235</v>
      </c>
      <c r="Q31" s="44"/>
      <c r="R31" s="45" t="s">
        <v>121</v>
      </c>
    </row>
    <row r="32" spans="1:18" s="67" customFormat="1" ht="24.95" customHeight="1" x14ac:dyDescent="0.25">
      <c r="A32" s="47">
        <v>5</v>
      </c>
      <c r="B32" s="35" t="s">
        <v>86</v>
      </c>
      <c r="C32" s="36">
        <v>1975.8023999999943</v>
      </c>
      <c r="D32" s="37">
        <v>4668.24</v>
      </c>
      <c r="E32" s="37">
        <v>4643.3999999999996</v>
      </c>
      <c r="F32" s="37">
        <v>75</v>
      </c>
      <c r="G32" s="36">
        <v>39.39</v>
      </c>
      <c r="H32" s="68">
        <f t="shared" si="5"/>
        <v>1.0107449488458176</v>
      </c>
      <c r="I32" s="36">
        <v>1975.8023999999943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50.159999999999854</v>
      </c>
      <c r="N32" s="41">
        <f t="shared" si="9"/>
        <v>1.0744948845817665E-2</v>
      </c>
      <c r="O32" s="43" t="s">
        <v>83</v>
      </c>
      <c r="P32" s="44" t="s">
        <v>60</v>
      </c>
      <c r="Q32" s="44" t="s">
        <v>87</v>
      </c>
      <c r="R32" s="45" t="s">
        <v>58</v>
      </c>
    </row>
    <row r="33" spans="1:18" s="67" customFormat="1" ht="24.95" customHeight="1" x14ac:dyDescent="0.25">
      <c r="A33" s="34">
        <v>6</v>
      </c>
      <c r="B33" s="35" t="s">
        <v>134</v>
      </c>
      <c r="C33" s="36">
        <v>1408.830499999998</v>
      </c>
      <c r="D33" s="37">
        <v>123.78</v>
      </c>
      <c r="E33" s="37">
        <v>123.78</v>
      </c>
      <c r="F33" s="37">
        <v>3.85</v>
      </c>
      <c r="G33" s="36">
        <v>365.93</v>
      </c>
      <c r="H33" s="68">
        <f t="shared" si="5"/>
        <v>1.0311035708515106</v>
      </c>
      <c r="I33" s="36">
        <v>1408.830499999998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3.8499999999999943</v>
      </c>
      <c r="N33" s="41">
        <f t="shared" si="9"/>
        <v>3.1103570851510699E-2</v>
      </c>
      <c r="O33" s="43" t="s">
        <v>83</v>
      </c>
      <c r="P33" s="69" t="s">
        <v>235</v>
      </c>
      <c r="Q33" s="44"/>
      <c r="R33" s="45" t="s">
        <v>72</v>
      </c>
    </row>
    <row r="34" spans="1:18" s="67" customFormat="1" ht="24.95" customHeight="1" x14ac:dyDescent="0.25">
      <c r="A34" s="47">
        <v>7</v>
      </c>
      <c r="B34" s="35" t="s">
        <v>122</v>
      </c>
      <c r="C34" s="36">
        <v>1359.9170000000045</v>
      </c>
      <c r="D34" s="37">
        <v>21.88</v>
      </c>
      <c r="E34" s="37">
        <v>22.53</v>
      </c>
      <c r="F34" s="37">
        <v>0</v>
      </c>
      <c r="G34" s="36">
        <v>2092.1799999999998</v>
      </c>
      <c r="H34" s="68">
        <f t="shared" si="5"/>
        <v>1.0297074954296161</v>
      </c>
      <c r="I34" s="36">
        <v>1359.9170000000045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0.65000000000000213</v>
      </c>
      <c r="N34" s="41">
        <f t="shared" si="9"/>
        <v>2.9707495429616187E-2</v>
      </c>
      <c r="O34" s="43" t="s">
        <v>83</v>
      </c>
      <c r="P34" s="69" t="s">
        <v>235</v>
      </c>
      <c r="Q34" s="44"/>
      <c r="R34" s="45" t="s">
        <v>123</v>
      </c>
    </row>
    <row r="35" spans="1:18" s="67" customFormat="1" ht="24.95" customHeight="1" x14ac:dyDescent="0.25">
      <c r="A35" s="34">
        <v>8</v>
      </c>
      <c r="B35" s="35" t="s">
        <v>142</v>
      </c>
      <c r="C35" s="36">
        <v>1339.1112000000007</v>
      </c>
      <c r="D35" s="37">
        <v>113.32</v>
      </c>
      <c r="E35" s="37">
        <v>111.02</v>
      </c>
      <c r="F35" s="37">
        <v>14.06</v>
      </c>
      <c r="G35" s="36">
        <v>113.87</v>
      </c>
      <c r="H35" s="68">
        <f t="shared" si="5"/>
        <v>1.1037769149311685</v>
      </c>
      <c r="I35" s="36">
        <v>1339.1112000000007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11.760000000000005</v>
      </c>
      <c r="N35" s="41">
        <f t="shared" si="9"/>
        <v>0.10377691493116842</v>
      </c>
      <c r="O35" s="43" t="s">
        <v>83</v>
      </c>
      <c r="P35" s="69" t="s">
        <v>235</v>
      </c>
      <c r="Q35" s="44"/>
      <c r="R35" s="45" t="s">
        <v>121</v>
      </c>
    </row>
    <row r="36" spans="1:18" s="67" customFormat="1" ht="24.95" customHeight="1" x14ac:dyDescent="0.25">
      <c r="A36" s="47">
        <v>9</v>
      </c>
      <c r="B36" s="35" t="s">
        <v>94</v>
      </c>
      <c r="C36" s="36">
        <v>1338.7737999999874</v>
      </c>
      <c r="D36" s="37">
        <v>211.99</v>
      </c>
      <c r="E36" s="37">
        <v>211.19</v>
      </c>
      <c r="F36" s="37">
        <v>3.01</v>
      </c>
      <c r="G36" s="36">
        <v>605.78</v>
      </c>
      <c r="H36" s="68">
        <f t="shared" si="5"/>
        <v>1.0104250200481153</v>
      </c>
      <c r="I36" s="36">
        <v>1338.7737999999874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2.2099999999999795</v>
      </c>
      <c r="N36" s="41">
        <f t="shared" si="9"/>
        <v>1.042502004811538E-2</v>
      </c>
      <c r="O36" s="43" t="s">
        <v>97</v>
      </c>
      <c r="P36" s="44" t="s">
        <v>60</v>
      </c>
      <c r="Q36" s="44" t="s">
        <v>87</v>
      </c>
      <c r="R36" s="45" t="s">
        <v>95</v>
      </c>
    </row>
    <row r="37" spans="1:18" s="67" customFormat="1" ht="24.95" customHeight="1" thickBot="1" x14ac:dyDescent="0.3">
      <c r="A37" s="48">
        <v>10</v>
      </c>
      <c r="B37" s="49" t="s">
        <v>127</v>
      </c>
      <c r="C37" s="50">
        <v>1271.5361999999957</v>
      </c>
      <c r="D37" s="51">
        <v>252.16</v>
      </c>
      <c r="E37" s="51">
        <v>249.94</v>
      </c>
      <c r="F37" s="51">
        <v>5.2</v>
      </c>
      <c r="G37" s="50">
        <v>426.69</v>
      </c>
      <c r="H37" s="70">
        <f t="shared" si="5"/>
        <v>1.0118178934010151</v>
      </c>
      <c r="I37" s="50">
        <v>1271.5361999999957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2.9799999999999898</v>
      </c>
      <c r="N37" s="55">
        <f t="shared" si="9"/>
        <v>1.1817893401015188E-2</v>
      </c>
      <c r="O37" s="57" t="s">
        <v>97</v>
      </c>
      <c r="P37" s="71" t="s">
        <v>235</v>
      </c>
      <c r="Q37" s="72"/>
      <c r="R37" s="58" t="s">
        <v>128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56</v>
      </c>
      <c r="C44" s="36">
        <v>426.98559999999998</v>
      </c>
      <c r="D44" s="78">
        <f t="shared" ref="D44:D53" si="10">C44/$L$5</f>
        <v>0.11633919167691707</v>
      </c>
      <c r="E44" s="79"/>
    </row>
    <row r="45" spans="1:18" s="80" customFormat="1" ht="24.95" customHeight="1" x14ac:dyDescent="0.25">
      <c r="A45" s="81">
        <v>2</v>
      </c>
      <c r="B45" s="35" t="s">
        <v>109</v>
      </c>
      <c r="C45" s="36">
        <v>415.57600000000002</v>
      </c>
      <c r="D45" s="78">
        <f t="shared" si="10"/>
        <v>0.11323046004438204</v>
      </c>
      <c r="E45" s="79"/>
    </row>
    <row r="46" spans="1:18" s="80" customFormat="1" ht="24.95" customHeight="1" x14ac:dyDescent="0.25">
      <c r="A46" s="81">
        <v>3</v>
      </c>
      <c r="B46" s="35" t="s">
        <v>73</v>
      </c>
      <c r="C46" s="36">
        <v>410.46200000000005</v>
      </c>
      <c r="D46" s="78">
        <f t="shared" si="10"/>
        <v>0.11183706732519959</v>
      </c>
      <c r="E46" s="79"/>
    </row>
    <row r="47" spans="1:18" s="80" customFormat="1" ht="24.95" customHeight="1" x14ac:dyDescent="0.25">
      <c r="A47" s="77">
        <v>4</v>
      </c>
      <c r="B47" s="35" t="s">
        <v>103</v>
      </c>
      <c r="C47" s="36">
        <v>407.4744</v>
      </c>
      <c r="D47" s="78">
        <f t="shared" si="10"/>
        <v>0.11102304697169361</v>
      </c>
      <c r="E47" s="79"/>
    </row>
    <row r="48" spans="1:18" s="80" customFormat="1" ht="24.95" customHeight="1" x14ac:dyDescent="0.25">
      <c r="A48" s="81">
        <v>5</v>
      </c>
      <c r="B48" s="35" t="s">
        <v>82</v>
      </c>
      <c r="C48" s="36">
        <v>303.70580000000001</v>
      </c>
      <c r="D48" s="78">
        <f t="shared" si="10"/>
        <v>8.2749599236113455E-2</v>
      </c>
      <c r="E48" s="79"/>
    </row>
    <row r="49" spans="1:5" s="80" customFormat="1" ht="24.95" customHeight="1" x14ac:dyDescent="0.25">
      <c r="A49" s="77">
        <v>6</v>
      </c>
      <c r="B49" s="35" t="s">
        <v>105</v>
      </c>
      <c r="C49" s="36">
        <v>301.35000000000002</v>
      </c>
      <c r="D49" s="78">
        <f t="shared" si="10"/>
        <v>8.2107723098481453E-2</v>
      </c>
      <c r="E49" s="79"/>
    </row>
    <row r="50" spans="1:5" s="80" customFormat="1" ht="24.95" customHeight="1" x14ac:dyDescent="0.25">
      <c r="A50" s="81">
        <v>7</v>
      </c>
      <c r="B50" s="35" t="s">
        <v>104</v>
      </c>
      <c r="C50" s="36">
        <v>291.33</v>
      </c>
      <c r="D50" s="78">
        <f t="shared" si="10"/>
        <v>7.9377610652996852E-2</v>
      </c>
      <c r="E50" s="79"/>
    </row>
    <row r="51" spans="1:5" s="80" customFormat="1" ht="24.95" customHeight="1" x14ac:dyDescent="0.25">
      <c r="A51" s="77">
        <v>8</v>
      </c>
      <c r="B51" s="35" t="s">
        <v>147</v>
      </c>
      <c r="C51" s="36">
        <v>270.09519999999998</v>
      </c>
      <c r="D51" s="78">
        <f t="shared" si="10"/>
        <v>7.3591843012540126E-2</v>
      </c>
      <c r="E51" s="79"/>
    </row>
    <row r="52" spans="1:5" s="80" customFormat="1" ht="24.95" customHeight="1" x14ac:dyDescent="0.25">
      <c r="A52" s="81">
        <v>9</v>
      </c>
      <c r="B52" s="35" t="s">
        <v>126</v>
      </c>
      <c r="C52" s="36">
        <v>243.82999999999998</v>
      </c>
      <c r="D52" s="78">
        <f t="shared" si="10"/>
        <v>6.6435460836577837E-2</v>
      </c>
      <c r="E52" s="79"/>
    </row>
    <row r="53" spans="1:5" s="80" customFormat="1" ht="24.95" customHeight="1" thickBot="1" x14ac:dyDescent="0.3">
      <c r="A53" s="82">
        <v>10</v>
      </c>
      <c r="B53" s="49" t="s">
        <v>125</v>
      </c>
      <c r="C53" s="50">
        <v>194</v>
      </c>
      <c r="D53" s="83">
        <f t="shared" si="10"/>
        <v>5.2858464513374483E-2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43" priority="34" operator="containsText" text="中華">
      <formula>NOT(ISERROR(SEARCH("中華",A12)))</formula>
    </cfRule>
    <cfRule type="containsText" dxfId="542" priority="33" operator="containsText" text="湯凍">
      <formula>NOT(ISERROR(SEARCH("湯凍",A12)))</formula>
    </cfRule>
    <cfRule type="containsText" dxfId="541" priority="32" operator="containsText" text=")川燙小青花菜">
      <formula>NOT(ISERROR(SEARCH(")川燙小青花菜",A12)))</formula>
    </cfRule>
    <cfRule type="containsText" dxfId="540" priority="31" operator="containsText" text="青蔥">
      <formula>NOT(ISERROR(SEARCH("青蔥",A12)))</formula>
    </cfRule>
    <cfRule type="containsText" dxfId="539" priority="30" operator="containsText" text="白醬">
      <formula>NOT(ISERROR(SEARCH("白醬",A12)))</formula>
    </cfRule>
    <cfRule type="containsText" dxfId="538" priority="29" operator="containsText" text="024">
      <formula>NOT(ISERROR(SEARCH("024",A12)))</formula>
    </cfRule>
    <cfRule type="containsText" dxfId="537" priority="28" operator="containsText" text="煮白細麵生(方#12)">
      <formula>NOT(ISERROR(SEARCH("煮白細麵生(方#12)",A12)))</formula>
    </cfRule>
    <cfRule type="containsText" dxfId="536" priority="27" operator="containsText" text="綠豆芽">
      <formula>NOT(ISERROR(SEARCH("綠豆芽",A12)))</formula>
    </cfRule>
  </conditionalFormatting>
  <conditionalFormatting sqref="A28:A37">
    <cfRule type="containsText" dxfId="535" priority="5" operator="containsText" text="綠豆芽">
      <formula>NOT(ISERROR(SEARCH("綠豆芽",A28)))</formula>
    </cfRule>
    <cfRule type="containsText" dxfId="534" priority="6" operator="containsText" text="煮白細麵生(方#12)">
      <formula>NOT(ISERROR(SEARCH("煮白細麵生(方#12)",A28)))</formula>
    </cfRule>
    <cfRule type="containsText" dxfId="533" priority="7" operator="containsText" text="024">
      <formula>NOT(ISERROR(SEARCH("024",A28)))</formula>
    </cfRule>
    <cfRule type="containsText" dxfId="532" priority="8" operator="containsText" text="白醬">
      <formula>NOT(ISERROR(SEARCH("白醬",A28)))</formula>
    </cfRule>
    <cfRule type="containsText" dxfId="531" priority="9" operator="containsText" text="青蔥">
      <formula>NOT(ISERROR(SEARCH("青蔥",A28)))</formula>
    </cfRule>
    <cfRule type="containsText" dxfId="530" priority="10" operator="containsText" text=")川燙小青花菜">
      <formula>NOT(ISERROR(SEARCH(")川燙小青花菜",A28)))</formula>
    </cfRule>
    <cfRule type="containsText" dxfId="529" priority="11" operator="containsText" text="湯凍">
      <formula>NOT(ISERROR(SEARCH("湯凍",A28)))</formula>
    </cfRule>
    <cfRule type="containsText" dxfId="528" priority="12" operator="containsText" text="中華">
      <formula>NOT(ISERROR(SEARCH("中華",A28)))</formula>
    </cfRule>
  </conditionalFormatting>
  <conditionalFormatting sqref="A44:A53">
    <cfRule type="containsText" dxfId="527" priority="17" operator="containsText" text="綠豆芽">
      <formula>NOT(ISERROR(SEARCH("綠豆芽",A44)))</formula>
    </cfRule>
    <cfRule type="containsText" dxfId="526" priority="18" operator="containsText" text="煮白細麵生(方#12)">
      <formula>NOT(ISERROR(SEARCH("煮白細麵生(方#12)",A44)))</formula>
    </cfRule>
    <cfRule type="containsText" dxfId="525" priority="19" operator="containsText" text="024">
      <formula>NOT(ISERROR(SEARCH("024",A44)))</formula>
    </cfRule>
    <cfRule type="containsText" dxfId="524" priority="20" operator="containsText" text="白醬">
      <formula>NOT(ISERROR(SEARCH("白醬",A44)))</formula>
    </cfRule>
    <cfRule type="containsText" dxfId="523" priority="21" operator="containsText" text="青蔥">
      <formula>NOT(ISERROR(SEARCH("青蔥",A44)))</formula>
    </cfRule>
    <cfRule type="containsText" dxfId="522" priority="22" operator="containsText" text=")川燙小青花菜">
      <formula>NOT(ISERROR(SEARCH(")川燙小青花菜",A44)))</formula>
    </cfRule>
    <cfRule type="containsText" dxfId="521" priority="23" operator="containsText" text="湯凍">
      <formula>NOT(ISERROR(SEARCH("湯凍",A44)))</formula>
    </cfRule>
    <cfRule type="containsText" dxfId="520" priority="24" operator="containsText" text="中華">
      <formula>NOT(ISERROR(SEARCH("中華",A44)))</formula>
    </cfRule>
  </conditionalFormatting>
  <conditionalFormatting sqref="D44:D53">
    <cfRule type="cellIs" dxfId="519" priority="16" operator="greaterThan">
      <formula>0.146</formula>
    </cfRule>
  </conditionalFormatting>
  <conditionalFormatting sqref="E5">
    <cfRule type="cellIs" dxfId="518" priority="25" operator="greaterThan">
      <formula>0.072</formula>
    </cfRule>
    <cfRule type="cellIs" dxfId="517" priority="26" operator="greaterThan">
      <formula>7.2</formula>
    </cfRule>
    <cfRule type="cellIs" dxfId="516" priority="14" operator="greaterThan">
      <formula>0.0025</formula>
    </cfRule>
  </conditionalFormatting>
  <conditionalFormatting sqref="G5">
    <cfRule type="cellIs" dxfId="515" priority="3" operator="greaterThan">
      <formula>7.2</formula>
    </cfRule>
    <cfRule type="cellIs" dxfId="514" priority="2" operator="greaterThan">
      <formula>0.072</formula>
    </cfRule>
    <cfRule type="cellIs" dxfId="513" priority="1" operator="greaterThan">
      <formula>0.0025</formula>
    </cfRule>
  </conditionalFormatting>
  <conditionalFormatting sqref="H12:H22">
    <cfRule type="cellIs" dxfId="512" priority="15" operator="greaterThan">
      <formula>1.1</formula>
    </cfRule>
  </conditionalFormatting>
  <conditionalFormatting sqref="H28:H37">
    <cfRule type="cellIs" dxfId="511" priority="4" operator="greaterThan">
      <formula>1.1</formula>
    </cfRule>
  </conditionalFormatting>
  <conditionalFormatting sqref="I5">
    <cfRule type="cellIs" dxfId="51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F327-09D3-480B-BDBC-19FBA59A24D1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45914</v>
      </c>
      <c r="B3" s="149"/>
      <c r="C3" s="150">
        <v>8034432.2199999997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19430.677900000002</v>
      </c>
      <c r="E5" s="24">
        <f>D5/C3</f>
        <v>2.4184257664943004E-3</v>
      </c>
      <c r="F5" s="23">
        <v>57482.400700000006</v>
      </c>
      <c r="G5" s="25">
        <f>F5/C3</f>
        <v>7.1545068930832312E-3</v>
      </c>
      <c r="H5" s="26">
        <f>SUM(C12:C21)</f>
        <v>4041.6025</v>
      </c>
      <c r="I5" s="27">
        <f>H5/D5</f>
        <v>0.20800110633299107</v>
      </c>
      <c r="J5" s="26">
        <f>SUM(C28:C37)</f>
        <v>12757.079400000017</v>
      </c>
      <c r="K5" s="28">
        <f>J5/F5</f>
        <v>0.22193017766566622</v>
      </c>
      <c r="L5" s="29">
        <v>2790.8796000000002</v>
      </c>
      <c r="M5" s="30">
        <f>L5/D5</f>
        <v>0.14363264186474933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59</v>
      </c>
      <c r="C12" s="36">
        <v>695.25</v>
      </c>
      <c r="D12" s="37">
        <v>4766</v>
      </c>
      <c r="E12" s="37">
        <v>4811</v>
      </c>
      <c r="F12" s="37">
        <v>0</v>
      </c>
      <c r="G12" s="36">
        <v>15.45</v>
      </c>
      <c r="H12" s="38">
        <f>(E12+F12)/D12</f>
        <v>1.0094418799832143</v>
      </c>
      <c r="I12" s="36">
        <v>695.25</v>
      </c>
      <c r="J12" s="37">
        <v>45</v>
      </c>
      <c r="K12" s="39">
        <f>J12/D12</f>
        <v>9.4418799832144355E-3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172</v>
      </c>
      <c r="C13" s="36">
        <v>568.93960000000004</v>
      </c>
      <c r="D13" s="37">
        <v>501</v>
      </c>
      <c r="E13" s="37">
        <v>519.69999999999993</v>
      </c>
      <c r="F13" s="37">
        <v>0</v>
      </c>
      <c r="G13" s="36">
        <v>48.92</v>
      </c>
      <c r="H13" s="38">
        <f t="shared" ref="H13:H21" si="1">(E13+F13)/D13</f>
        <v>1.037325349301397</v>
      </c>
      <c r="I13" s="36">
        <v>914.80399999999668</v>
      </c>
      <c r="J13" s="37">
        <v>11.63</v>
      </c>
      <c r="K13" s="39">
        <f>J13/D13</f>
        <v>2.3213572854291417E-2</v>
      </c>
      <c r="L13" s="40">
        <f t="shared" ref="L13:L21" si="2">((E13+F13)-D13)-J13</f>
        <v>7.069999999999931</v>
      </c>
      <c r="M13" s="41">
        <f t="shared" ref="M13:M21" si="3">L13/D13</f>
        <v>1.4111776447105651E-2</v>
      </c>
      <c r="N13" s="42">
        <f t="shared" si="0"/>
        <v>345.86439999999664</v>
      </c>
      <c r="O13" s="43" t="s">
        <v>57</v>
      </c>
      <c r="P13" s="69" t="s">
        <v>235</v>
      </c>
      <c r="Q13" s="44"/>
      <c r="R13" s="45" t="s">
        <v>79</v>
      </c>
    </row>
    <row r="14" spans="1:18" s="46" customFormat="1" ht="24.95" customHeight="1" x14ac:dyDescent="0.25">
      <c r="A14" s="47">
        <v>3</v>
      </c>
      <c r="B14" s="35" t="s">
        <v>66</v>
      </c>
      <c r="C14" s="36">
        <v>550.95000000000005</v>
      </c>
      <c r="D14" s="37">
        <v>59.2</v>
      </c>
      <c r="E14" s="37">
        <v>62.2</v>
      </c>
      <c r="F14" s="37">
        <v>0</v>
      </c>
      <c r="G14" s="36">
        <v>183.65</v>
      </c>
      <c r="H14" s="38">
        <f>(E14+F14)/D14</f>
        <v>1.0506756756756757</v>
      </c>
      <c r="I14" s="36">
        <v>550.95000000000005</v>
      </c>
      <c r="J14" s="37">
        <v>3</v>
      </c>
      <c r="K14" s="39">
        <f t="shared" ref="K14:K21" si="4">J14/D14</f>
        <v>5.0675675675675672E-2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69" t="s">
        <v>67</v>
      </c>
      <c r="Q14" s="44"/>
      <c r="R14" s="45" t="s">
        <v>68</v>
      </c>
    </row>
    <row r="15" spans="1:18" s="46" customFormat="1" ht="24.95" customHeight="1" x14ac:dyDescent="0.25">
      <c r="A15" s="34">
        <v>4</v>
      </c>
      <c r="B15" s="35" t="s">
        <v>112</v>
      </c>
      <c r="C15" s="36">
        <v>409.5</v>
      </c>
      <c r="D15" s="37">
        <v>5302</v>
      </c>
      <c r="E15" s="37">
        <v>5377</v>
      </c>
      <c r="F15" s="37">
        <v>0</v>
      </c>
      <c r="G15" s="36">
        <v>5.46</v>
      </c>
      <c r="H15" s="38">
        <f>(E15+F15)/D15</f>
        <v>1.0141456054319125</v>
      </c>
      <c r="I15" s="36">
        <v>409.5</v>
      </c>
      <c r="J15" s="37">
        <v>75</v>
      </c>
      <c r="K15" s="39">
        <f t="shared" si="4"/>
        <v>1.4145605431912485E-2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3" t="s">
        <v>64</v>
      </c>
      <c r="Q15" s="44" t="s">
        <v>113</v>
      </c>
      <c r="R15" s="45" t="s">
        <v>98</v>
      </c>
    </row>
    <row r="16" spans="1:18" s="46" customFormat="1" ht="24.95" customHeight="1" x14ac:dyDescent="0.25">
      <c r="A16" s="47">
        <v>5</v>
      </c>
      <c r="B16" s="35" t="s">
        <v>154</v>
      </c>
      <c r="C16" s="36">
        <v>306.81</v>
      </c>
      <c r="D16" s="37">
        <v>41.44</v>
      </c>
      <c r="E16" s="37">
        <v>44.5</v>
      </c>
      <c r="F16" s="37">
        <v>0</v>
      </c>
      <c r="G16" s="36">
        <v>102.27</v>
      </c>
      <c r="H16" s="38">
        <f t="shared" si="1"/>
        <v>1.073841698841699</v>
      </c>
      <c r="I16" s="36">
        <v>312.9462000000002</v>
      </c>
      <c r="J16" s="37">
        <v>3</v>
      </c>
      <c r="K16" s="39">
        <f t="shared" si="4"/>
        <v>7.2393822393822402E-2</v>
      </c>
      <c r="L16" s="40">
        <f t="shared" si="2"/>
        <v>6.0000000000002274E-2</v>
      </c>
      <c r="M16" s="41">
        <f t="shared" si="3"/>
        <v>1.4478764478765029E-3</v>
      </c>
      <c r="N16" s="42">
        <f t="shared" si="0"/>
        <v>6.1362000000002324</v>
      </c>
      <c r="O16" s="43" t="s">
        <v>57</v>
      </c>
      <c r="P16" s="69" t="s">
        <v>67</v>
      </c>
      <c r="Q16" s="44"/>
      <c r="R16" s="45" t="s">
        <v>155</v>
      </c>
    </row>
    <row r="17" spans="1:18" s="46" customFormat="1" ht="24.95" customHeight="1" x14ac:dyDescent="0.25">
      <c r="A17" s="34">
        <v>6</v>
      </c>
      <c r="B17" s="35" t="s">
        <v>117</v>
      </c>
      <c r="C17" s="36">
        <v>305.28000000000003</v>
      </c>
      <c r="D17" s="37">
        <v>153.80000000000001</v>
      </c>
      <c r="E17" s="37">
        <v>156.97999999999999</v>
      </c>
      <c r="F17" s="37">
        <v>0</v>
      </c>
      <c r="G17" s="36">
        <v>96</v>
      </c>
      <c r="H17" s="38">
        <f t="shared" si="1"/>
        <v>1.020676202860858</v>
      </c>
      <c r="I17" s="36">
        <v>305.27999999999793</v>
      </c>
      <c r="J17" s="37">
        <v>3.18</v>
      </c>
      <c r="K17" s="39">
        <f t="shared" si="4"/>
        <v>2.0676202860858257E-2</v>
      </c>
      <c r="L17" s="40">
        <f t="shared" si="2"/>
        <v>-2.1760371282653068E-14</v>
      </c>
      <c r="M17" s="41">
        <f t="shared" si="3"/>
        <v>-1.414848587948834E-16</v>
      </c>
      <c r="N17" s="42">
        <f t="shared" si="0"/>
        <v>-2.0889956431346945E-12</v>
      </c>
      <c r="O17" s="43" t="s">
        <v>57</v>
      </c>
      <c r="P17" s="69" t="s">
        <v>84</v>
      </c>
      <c r="Q17" s="44"/>
      <c r="R17" s="45" t="s">
        <v>119</v>
      </c>
    </row>
    <row r="18" spans="1:18" s="46" customFormat="1" ht="24.95" customHeight="1" x14ac:dyDescent="0.25">
      <c r="A18" s="47">
        <v>7</v>
      </c>
      <c r="B18" s="35" t="s">
        <v>78</v>
      </c>
      <c r="C18" s="36">
        <v>303.45</v>
      </c>
      <c r="D18" s="37">
        <v>7515</v>
      </c>
      <c r="E18" s="37">
        <v>7872</v>
      </c>
      <c r="F18" s="37">
        <v>0</v>
      </c>
      <c r="G18" s="36">
        <v>0.85</v>
      </c>
      <c r="H18" s="38">
        <f t="shared" si="1"/>
        <v>1.04750499001996</v>
      </c>
      <c r="I18" s="36">
        <v>303.45</v>
      </c>
      <c r="J18" s="37">
        <v>357</v>
      </c>
      <c r="K18" s="39">
        <f t="shared" si="4"/>
        <v>4.7504990019960079E-2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3" t="s">
        <v>64</v>
      </c>
      <c r="Q18" s="44"/>
      <c r="R18" s="45" t="s">
        <v>79</v>
      </c>
    </row>
    <row r="19" spans="1:18" s="46" customFormat="1" ht="24.95" customHeight="1" x14ac:dyDescent="0.25">
      <c r="A19" s="34">
        <v>8</v>
      </c>
      <c r="B19" s="35" t="s">
        <v>135</v>
      </c>
      <c r="C19" s="36">
        <v>302.41199999999998</v>
      </c>
      <c r="D19" s="37">
        <v>32.880000000000003</v>
      </c>
      <c r="E19" s="37">
        <v>34.33</v>
      </c>
      <c r="F19" s="37">
        <v>0</v>
      </c>
      <c r="G19" s="36">
        <v>208.56</v>
      </c>
      <c r="H19" s="38">
        <f t="shared" si="1"/>
        <v>1.0440997566909975</v>
      </c>
      <c r="I19" s="36">
        <v>302.41199999999913</v>
      </c>
      <c r="J19" s="37">
        <v>1.45</v>
      </c>
      <c r="K19" s="39">
        <f t="shared" si="4"/>
        <v>4.4099756690997562E-2</v>
      </c>
      <c r="L19" s="40">
        <f t="shared" si="2"/>
        <v>-4.2188474935755949E-15</v>
      </c>
      <c r="M19" s="41">
        <f t="shared" si="3"/>
        <v>-1.283104468849025E-16</v>
      </c>
      <c r="N19" s="42">
        <f t="shared" si="0"/>
        <v>-8.7988283326012603E-13</v>
      </c>
      <c r="O19" s="43" t="s">
        <v>57</v>
      </c>
      <c r="P19" s="69" t="s">
        <v>235</v>
      </c>
      <c r="Q19" s="44"/>
      <c r="R19" s="45" t="s">
        <v>136</v>
      </c>
    </row>
    <row r="20" spans="1:18" s="46" customFormat="1" ht="24.95" customHeight="1" x14ac:dyDescent="0.25">
      <c r="A20" s="47">
        <v>9</v>
      </c>
      <c r="B20" s="35" t="s">
        <v>103</v>
      </c>
      <c r="C20" s="36">
        <v>300.63659999999999</v>
      </c>
      <c r="D20" s="37">
        <v>45.13</v>
      </c>
      <c r="E20" s="37">
        <v>46.34</v>
      </c>
      <c r="F20" s="37">
        <v>0</v>
      </c>
      <c r="G20" s="36">
        <v>248.46</v>
      </c>
      <c r="H20" s="38">
        <f t="shared" si="1"/>
        <v>1.0268114336361622</v>
      </c>
      <c r="I20" s="36">
        <v>300.63660000000021</v>
      </c>
      <c r="J20" s="37">
        <v>1.21</v>
      </c>
      <c r="K20" s="39">
        <f t="shared" si="4"/>
        <v>2.6811433636162195E-2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69" t="s">
        <v>235</v>
      </c>
      <c r="Q20" s="44"/>
      <c r="R20" s="45" t="s">
        <v>58</v>
      </c>
    </row>
    <row r="21" spans="1:18" s="46" customFormat="1" ht="24.95" customHeight="1" thickBot="1" x14ac:dyDescent="0.3">
      <c r="A21" s="48">
        <v>10</v>
      </c>
      <c r="B21" s="49" t="s">
        <v>73</v>
      </c>
      <c r="C21" s="50">
        <v>298.37430000000001</v>
      </c>
      <c r="D21" s="51">
        <v>405.04</v>
      </c>
      <c r="E21" s="51">
        <v>404.7</v>
      </c>
      <c r="F21" s="51">
        <v>3.36</v>
      </c>
      <c r="G21" s="50">
        <v>157.87</v>
      </c>
      <c r="H21" s="52">
        <f t="shared" si="1"/>
        <v>1.007456053723089</v>
      </c>
      <c r="I21" s="50">
        <v>476.76739999999717</v>
      </c>
      <c r="J21" s="51">
        <v>1.89</v>
      </c>
      <c r="K21" s="53">
        <f t="shared" si="4"/>
        <v>4.6662058068338928E-3</v>
      </c>
      <c r="L21" s="54">
        <f t="shared" si="2"/>
        <v>1.1299999999999819</v>
      </c>
      <c r="M21" s="55">
        <f t="shared" si="3"/>
        <v>2.7898479162551397E-3</v>
      </c>
      <c r="N21" s="56">
        <f t="shared" si="0"/>
        <v>178.39309999999716</v>
      </c>
      <c r="O21" s="57" t="s">
        <v>57</v>
      </c>
      <c r="P21" s="57" t="s">
        <v>235</v>
      </c>
      <c r="Q21" s="57"/>
      <c r="R21" s="58" t="s">
        <v>58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162</v>
      </c>
      <c r="C28" s="36">
        <v>2243.1471999999967</v>
      </c>
      <c r="D28" s="37">
        <v>326.88</v>
      </c>
      <c r="E28" s="37">
        <v>325.2</v>
      </c>
      <c r="F28" s="37">
        <v>22.4</v>
      </c>
      <c r="G28" s="36">
        <v>108.26</v>
      </c>
      <c r="H28" s="68">
        <f t="shared" ref="H28:H37" si="5">(E28+F28)/D28</f>
        <v>1.0633871757219775</v>
      </c>
      <c r="I28" s="36">
        <v>2243.1471999999967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20.71999999999997</v>
      </c>
      <c r="N28" s="41">
        <f t="shared" ref="N28:N37" si="9">M28/D28</f>
        <v>6.3387175721977398E-2</v>
      </c>
      <c r="O28" s="43" t="s">
        <v>83</v>
      </c>
      <c r="P28" s="69" t="s">
        <v>235</v>
      </c>
      <c r="Q28" s="44"/>
      <c r="R28" s="45" t="s">
        <v>163</v>
      </c>
    </row>
    <row r="29" spans="1:18" s="67" customFormat="1" ht="24.95" customHeight="1" x14ac:dyDescent="0.25">
      <c r="A29" s="47">
        <v>2</v>
      </c>
      <c r="B29" s="35" t="s">
        <v>86</v>
      </c>
      <c r="C29" s="36">
        <v>2102.6382000000044</v>
      </c>
      <c r="D29" s="37">
        <v>4593.12</v>
      </c>
      <c r="E29" s="37">
        <v>4646.5</v>
      </c>
      <c r="F29" s="37">
        <v>0</v>
      </c>
      <c r="G29" s="36">
        <v>39.39</v>
      </c>
      <c r="H29" s="68">
        <f t="shared" si="5"/>
        <v>1.0116217298916641</v>
      </c>
      <c r="I29" s="36">
        <v>2102.6382000000044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53.380000000000109</v>
      </c>
      <c r="N29" s="41">
        <f t="shared" si="9"/>
        <v>1.1621729891664078E-2</v>
      </c>
      <c r="O29" s="43" t="s">
        <v>83</v>
      </c>
      <c r="P29" s="44" t="s">
        <v>60</v>
      </c>
      <c r="Q29" s="44" t="s">
        <v>87</v>
      </c>
      <c r="R29" s="45" t="s">
        <v>58</v>
      </c>
    </row>
    <row r="30" spans="1:18" s="67" customFormat="1" ht="24.95" customHeight="1" x14ac:dyDescent="0.25">
      <c r="A30" s="47">
        <v>3</v>
      </c>
      <c r="B30" s="35" t="s">
        <v>156</v>
      </c>
      <c r="C30" s="36">
        <v>1410.8352000000284</v>
      </c>
      <c r="D30" s="37">
        <v>555.55999999999995</v>
      </c>
      <c r="E30" s="37">
        <v>552.82000000000005</v>
      </c>
      <c r="F30" s="37">
        <v>10.199999999999999</v>
      </c>
      <c r="G30" s="36">
        <v>189.12</v>
      </c>
      <c r="H30" s="68">
        <f t="shared" si="5"/>
        <v>1.0134278925768596</v>
      </c>
      <c r="I30" s="36">
        <v>1410.8352000000284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7.4600000000001501</v>
      </c>
      <c r="N30" s="41">
        <f t="shared" si="9"/>
        <v>1.3427892576859656E-2</v>
      </c>
      <c r="O30" s="43" t="s">
        <v>83</v>
      </c>
      <c r="P30" s="69" t="s">
        <v>235</v>
      </c>
      <c r="Q30" s="44"/>
      <c r="R30" s="45" t="s">
        <v>157</v>
      </c>
    </row>
    <row r="31" spans="1:18" s="67" customFormat="1" ht="24.95" customHeight="1" x14ac:dyDescent="0.25">
      <c r="A31" s="34">
        <v>4</v>
      </c>
      <c r="B31" s="35" t="s">
        <v>99</v>
      </c>
      <c r="C31" s="36">
        <v>1346.1377999999988</v>
      </c>
      <c r="D31" s="37">
        <v>28.67</v>
      </c>
      <c r="E31" s="37">
        <v>28.64</v>
      </c>
      <c r="F31" s="37">
        <v>2.2000000000000002</v>
      </c>
      <c r="G31" s="36">
        <v>620.34</v>
      </c>
      <c r="H31" s="68">
        <f t="shared" si="5"/>
        <v>1.0756888733868155</v>
      </c>
      <c r="I31" s="36">
        <v>1346.1377999999988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2.1699999999999982</v>
      </c>
      <c r="N31" s="41">
        <f t="shared" si="9"/>
        <v>7.5688873386815417E-2</v>
      </c>
      <c r="O31" s="43" t="s">
        <v>83</v>
      </c>
      <c r="P31" s="69" t="s">
        <v>235</v>
      </c>
      <c r="Q31" s="44"/>
      <c r="R31" s="45" t="s">
        <v>100</v>
      </c>
    </row>
    <row r="32" spans="1:18" s="67" customFormat="1" ht="24.95" customHeight="1" x14ac:dyDescent="0.25">
      <c r="A32" s="47">
        <v>5</v>
      </c>
      <c r="B32" s="35" t="s">
        <v>96</v>
      </c>
      <c r="C32" s="36">
        <v>1095.8999999999999</v>
      </c>
      <c r="D32" s="37">
        <v>304.87</v>
      </c>
      <c r="E32" s="37">
        <v>306.37</v>
      </c>
      <c r="F32" s="37">
        <v>11.5</v>
      </c>
      <c r="G32" s="36">
        <v>84.3</v>
      </c>
      <c r="H32" s="68">
        <f t="shared" si="5"/>
        <v>1.0426411257257191</v>
      </c>
      <c r="I32" s="36">
        <v>1095.8999999999999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13</v>
      </c>
      <c r="N32" s="41">
        <f t="shared" si="9"/>
        <v>4.264112572571916E-2</v>
      </c>
      <c r="O32" s="43" t="s">
        <v>83</v>
      </c>
      <c r="P32" s="69" t="s">
        <v>235</v>
      </c>
      <c r="Q32" s="44"/>
      <c r="R32" s="45" t="s">
        <v>98</v>
      </c>
    </row>
    <row r="33" spans="1:18" s="67" customFormat="1" ht="24.95" customHeight="1" x14ac:dyDescent="0.25">
      <c r="A33" s="34">
        <v>6</v>
      </c>
      <c r="B33" s="35" t="s">
        <v>91</v>
      </c>
      <c r="C33" s="36">
        <v>1012.0391999999996</v>
      </c>
      <c r="D33" s="37">
        <v>589.04999999999995</v>
      </c>
      <c r="E33" s="37">
        <v>561.04</v>
      </c>
      <c r="F33" s="37">
        <v>58.65</v>
      </c>
      <c r="G33" s="36">
        <v>33.03</v>
      </c>
      <c r="H33" s="68">
        <f t="shared" si="5"/>
        <v>1.0520159578983108</v>
      </c>
      <c r="I33" s="36">
        <v>1012.0391999999996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30.639999999999986</v>
      </c>
      <c r="N33" s="41">
        <f t="shared" si="9"/>
        <v>5.2015957898310823E-2</v>
      </c>
      <c r="O33" s="43" t="s">
        <v>83</v>
      </c>
      <c r="P33" s="69" t="s">
        <v>235</v>
      </c>
      <c r="Q33" s="44"/>
      <c r="R33" s="45" t="s">
        <v>77</v>
      </c>
    </row>
    <row r="34" spans="1:18" s="67" customFormat="1" ht="24.95" customHeight="1" x14ac:dyDescent="0.25">
      <c r="A34" s="47">
        <v>7</v>
      </c>
      <c r="B34" s="35" t="s">
        <v>127</v>
      </c>
      <c r="C34" s="36">
        <v>981.38700000000483</v>
      </c>
      <c r="D34" s="37">
        <v>128.72999999999999</v>
      </c>
      <c r="E34" s="37">
        <v>131.03</v>
      </c>
      <c r="F34" s="37">
        <v>0</v>
      </c>
      <c r="G34" s="36">
        <v>426.69</v>
      </c>
      <c r="H34" s="68">
        <f t="shared" si="5"/>
        <v>1.0178668531033948</v>
      </c>
      <c r="I34" s="36">
        <v>981.38700000000483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2.3000000000000114</v>
      </c>
      <c r="N34" s="41">
        <f t="shared" si="9"/>
        <v>1.7866853103394791E-2</v>
      </c>
      <c r="O34" s="43" t="s">
        <v>83</v>
      </c>
      <c r="P34" s="69" t="s">
        <v>235</v>
      </c>
      <c r="Q34" s="44"/>
      <c r="R34" s="45" t="s">
        <v>128</v>
      </c>
    </row>
    <row r="35" spans="1:18" s="67" customFormat="1" ht="24.95" customHeight="1" x14ac:dyDescent="0.25">
      <c r="A35" s="34">
        <v>8</v>
      </c>
      <c r="B35" s="35" t="s">
        <v>150</v>
      </c>
      <c r="C35" s="36">
        <v>974.58479999999145</v>
      </c>
      <c r="D35" s="37">
        <v>389.62</v>
      </c>
      <c r="E35" s="37">
        <v>388.53</v>
      </c>
      <c r="F35" s="37">
        <v>4.75</v>
      </c>
      <c r="G35" s="36">
        <v>266.27999999999997</v>
      </c>
      <c r="H35" s="68">
        <f t="shared" si="5"/>
        <v>1.0093937682870489</v>
      </c>
      <c r="I35" s="36">
        <v>974.58479999999145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3.6599999999999682</v>
      </c>
      <c r="N35" s="41">
        <f t="shared" si="9"/>
        <v>9.3937682870488381E-3</v>
      </c>
      <c r="O35" s="43" t="s">
        <v>83</v>
      </c>
      <c r="P35" s="69" t="s">
        <v>235</v>
      </c>
      <c r="Q35" s="44"/>
      <c r="R35" s="45" t="s">
        <v>151</v>
      </c>
    </row>
    <row r="36" spans="1:18" s="67" customFormat="1" ht="24.95" customHeight="1" x14ac:dyDescent="0.25">
      <c r="A36" s="47">
        <v>9</v>
      </c>
      <c r="B36" s="35" t="s">
        <v>125</v>
      </c>
      <c r="C36" s="36">
        <v>805.99999999999432</v>
      </c>
      <c r="D36" s="37">
        <v>147.99</v>
      </c>
      <c r="E36" s="37">
        <v>149.79</v>
      </c>
      <c r="F36" s="37">
        <v>3.2</v>
      </c>
      <c r="G36" s="36">
        <v>200</v>
      </c>
      <c r="H36" s="68">
        <f t="shared" si="5"/>
        <v>1.0337860666261232</v>
      </c>
      <c r="I36" s="36">
        <v>999.99999999999432</v>
      </c>
      <c r="J36" s="37">
        <v>0.97</v>
      </c>
      <c r="K36" s="39">
        <f t="shared" si="6"/>
        <v>6.5544969254679366E-3</v>
      </c>
      <c r="L36" s="42">
        <f t="shared" si="7"/>
        <v>194</v>
      </c>
      <c r="M36" s="40">
        <f t="shared" si="8"/>
        <v>4.0299999999999718</v>
      </c>
      <c r="N36" s="41">
        <f t="shared" si="9"/>
        <v>2.7231569700655257E-2</v>
      </c>
      <c r="O36" s="43" t="s">
        <v>97</v>
      </c>
      <c r="P36" s="69" t="s">
        <v>235</v>
      </c>
      <c r="Q36" s="44"/>
      <c r="R36" s="45" t="s">
        <v>58</v>
      </c>
    </row>
    <row r="37" spans="1:18" s="67" customFormat="1" ht="24.95" customHeight="1" thickBot="1" x14ac:dyDescent="0.3">
      <c r="A37" s="48">
        <v>10</v>
      </c>
      <c r="B37" s="49" t="s">
        <v>145</v>
      </c>
      <c r="C37" s="50">
        <v>784.41</v>
      </c>
      <c r="D37" s="51">
        <v>1160.46</v>
      </c>
      <c r="E37" s="51">
        <v>1153.74</v>
      </c>
      <c r="F37" s="51">
        <v>23.22</v>
      </c>
      <c r="G37" s="50">
        <v>47.54</v>
      </c>
      <c r="H37" s="70">
        <f t="shared" si="5"/>
        <v>1.014218499560519</v>
      </c>
      <c r="I37" s="50">
        <v>784.41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16.5</v>
      </c>
      <c r="N37" s="55">
        <f t="shared" si="9"/>
        <v>1.4218499560519104E-2</v>
      </c>
      <c r="O37" s="57" t="s">
        <v>97</v>
      </c>
      <c r="P37" s="71" t="s">
        <v>235</v>
      </c>
      <c r="Q37" s="72"/>
      <c r="R37" s="58" t="s">
        <v>58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103</v>
      </c>
      <c r="C44" s="36">
        <v>300.63659999999999</v>
      </c>
      <c r="D44" s="78">
        <f t="shared" ref="D44:D53" si="10">C44/$L$5</f>
        <v>0.10772109266196936</v>
      </c>
      <c r="E44" s="79"/>
    </row>
    <row r="45" spans="1:18" s="80" customFormat="1" ht="24.95" customHeight="1" x14ac:dyDescent="0.25">
      <c r="A45" s="81">
        <v>2</v>
      </c>
      <c r="B45" s="35" t="s">
        <v>73</v>
      </c>
      <c r="C45" s="36">
        <v>298.37430000000001</v>
      </c>
      <c r="D45" s="78">
        <f t="shared" si="10"/>
        <v>0.10691048800528694</v>
      </c>
      <c r="E45" s="79"/>
    </row>
    <row r="46" spans="1:18" s="80" customFormat="1" ht="24.95" customHeight="1" x14ac:dyDescent="0.25">
      <c r="A46" s="81">
        <v>3</v>
      </c>
      <c r="B46" s="35" t="s">
        <v>82</v>
      </c>
      <c r="C46" s="36">
        <v>294.86</v>
      </c>
      <c r="D46" s="78">
        <f t="shared" si="10"/>
        <v>0.10565127925977172</v>
      </c>
      <c r="E46" s="79"/>
    </row>
    <row r="47" spans="1:18" s="80" customFormat="1" ht="24.95" customHeight="1" x14ac:dyDescent="0.25">
      <c r="A47" s="77">
        <v>4</v>
      </c>
      <c r="B47" s="35" t="s">
        <v>109</v>
      </c>
      <c r="C47" s="36">
        <v>289.60000000000002</v>
      </c>
      <c r="D47" s="78">
        <f t="shared" si="10"/>
        <v>0.10376656879071387</v>
      </c>
      <c r="E47" s="79"/>
    </row>
    <row r="48" spans="1:18" s="80" customFormat="1" ht="24.95" customHeight="1" x14ac:dyDescent="0.25">
      <c r="A48" s="81">
        <v>5</v>
      </c>
      <c r="B48" s="35" t="s">
        <v>147</v>
      </c>
      <c r="C48" s="36">
        <v>270.09519999999998</v>
      </c>
      <c r="D48" s="78">
        <f t="shared" si="10"/>
        <v>9.6777804388265248E-2</v>
      </c>
      <c r="E48" s="79"/>
    </row>
    <row r="49" spans="1:5" s="80" customFormat="1" ht="24.95" customHeight="1" x14ac:dyDescent="0.25">
      <c r="A49" s="77">
        <v>6</v>
      </c>
      <c r="B49" s="35" t="s">
        <v>126</v>
      </c>
      <c r="C49" s="36">
        <v>197.7</v>
      </c>
      <c r="D49" s="78">
        <f t="shared" si="10"/>
        <v>7.0837882078467293E-2</v>
      </c>
      <c r="E49" s="79"/>
    </row>
    <row r="50" spans="1:5" s="80" customFormat="1" ht="24.95" customHeight="1" x14ac:dyDescent="0.25">
      <c r="A50" s="81">
        <v>7</v>
      </c>
      <c r="B50" s="35" t="s">
        <v>125</v>
      </c>
      <c r="C50" s="36">
        <v>194</v>
      </c>
      <c r="D50" s="78">
        <f t="shared" si="10"/>
        <v>6.951213517057489E-2</v>
      </c>
      <c r="E50" s="79"/>
    </row>
    <row r="51" spans="1:5" s="80" customFormat="1" ht="24.95" customHeight="1" x14ac:dyDescent="0.25">
      <c r="A51" s="77">
        <v>8</v>
      </c>
      <c r="B51" s="35" t="s">
        <v>105</v>
      </c>
      <c r="C51" s="36">
        <v>188.65</v>
      </c>
      <c r="D51" s="78">
        <f t="shared" si="10"/>
        <v>6.7595176803757498E-2</v>
      </c>
      <c r="E51" s="79"/>
    </row>
    <row r="52" spans="1:5" s="80" customFormat="1" ht="24.95" customHeight="1" x14ac:dyDescent="0.25">
      <c r="A52" s="81">
        <v>9</v>
      </c>
      <c r="B52" s="35" t="s">
        <v>104</v>
      </c>
      <c r="C52" s="36">
        <v>179.01</v>
      </c>
      <c r="D52" s="78">
        <f t="shared" si="10"/>
        <v>6.4141068643735102E-2</v>
      </c>
      <c r="E52" s="79"/>
    </row>
    <row r="53" spans="1:5" s="80" customFormat="1" ht="24.95" customHeight="1" thickBot="1" x14ac:dyDescent="0.3">
      <c r="A53" s="82">
        <v>10</v>
      </c>
      <c r="B53" s="49" t="s">
        <v>56</v>
      </c>
      <c r="C53" s="50">
        <v>172.584</v>
      </c>
      <c r="D53" s="83">
        <f t="shared" si="10"/>
        <v>6.1838568743703595E-2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09" priority="34" operator="containsText" text="中華">
      <formula>NOT(ISERROR(SEARCH("中華",A12)))</formula>
    </cfRule>
    <cfRule type="containsText" dxfId="508" priority="33" operator="containsText" text="湯凍">
      <formula>NOT(ISERROR(SEARCH("湯凍",A12)))</formula>
    </cfRule>
    <cfRule type="containsText" dxfId="507" priority="32" operator="containsText" text=")川燙小青花菜">
      <formula>NOT(ISERROR(SEARCH(")川燙小青花菜",A12)))</formula>
    </cfRule>
    <cfRule type="containsText" dxfId="506" priority="31" operator="containsText" text="青蔥">
      <formula>NOT(ISERROR(SEARCH("青蔥",A12)))</formula>
    </cfRule>
    <cfRule type="containsText" dxfId="505" priority="30" operator="containsText" text="白醬">
      <formula>NOT(ISERROR(SEARCH("白醬",A12)))</formula>
    </cfRule>
    <cfRule type="containsText" dxfId="504" priority="29" operator="containsText" text="024">
      <formula>NOT(ISERROR(SEARCH("024",A12)))</formula>
    </cfRule>
    <cfRule type="containsText" dxfId="503" priority="28" operator="containsText" text="煮白細麵生(方#12)">
      <formula>NOT(ISERROR(SEARCH("煮白細麵生(方#12)",A12)))</formula>
    </cfRule>
    <cfRule type="containsText" dxfId="502" priority="27" operator="containsText" text="綠豆芽">
      <formula>NOT(ISERROR(SEARCH("綠豆芽",A12)))</formula>
    </cfRule>
  </conditionalFormatting>
  <conditionalFormatting sqref="A28:A37">
    <cfRule type="containsText" dxfId="501" priority="5" operator="containsText" text="綠豆芽">
      <formula>NOT(ISERROR(SEARCH("綠豆芽",A28)))</formula>
    </cfRule>
    <cfRule type="containsText" dxfId="500" priority="6" operator="containsText" text="煮白細麵生(方#12)">
      <formula>NOT(ISERROR(SEARCH("煮白細麵生(方#12)",A28)))</formula>
    </cfRule>
    <cfRule type="containsText" dxfId="499" priority="7" operator="containsText" text="024">
      <formula>NOT(ISERROR(SEARCH("024",A28)))</formula>
    </cfRule>
    <cfRule type="containsText" dxfId="498" priority="8" operator="containsText" text="白醬">
      <formula>NOT(ISERROR(SEARCH("白醬",A28)))</formula>
    </cfRule>
    <cfRule type="containsText" dxfId="497" priority="9" operator="containsText" text="青蔥">
      <formula>NOT(ISERROR(SEARCH("青蔥",A28)))</formula>
    </cfRule>
    <cfRule type="containsText" dxfId="496" priority="10" operator="containsText" text=")川燙小青花菜">
      <formula>NOT(ISERROR(SEARCH(")川燙小青花菜",A28)))</formula>
    </cfRule>
    <cfRule type="containsText" dxfId="495" priority="11" operator="containsText" text="湯凍">
      <formula>NOT(ISERROR(SEARCH("湯凍",A28)))</formula>
    </cfRule>
    <cfRule type="containsText" dxfId="494" priority="12" operator="containsText" text="中華">
      <formula>NOT(ISERROR(SEARCH("中華",A28)))</formula>
    </cfRule>
  </conditionalFormatting>
  <conditionalFormatting sqref="A44:A53">
    <cfRule type="containsText" dxfId="493" priority="17" operator="containsText" text="綠豆芽">
      <formula>NOT(ISERROR(SEARCH("綠豆芽",A44)))</formula>
    </cfRule>
    <cfRule type="containsText" dxfId="492" priority="18" operator="containsText" text="煮白細麵生(方#12)">
      <formula>NOT(ISERROR(SEARCH("煮白細麵生(方#12)",A44)))</formula>
    </cfRule>
    <cfRule type="containsText" dxfId="491" priority="19" operator="containsText" text="024">
      <formula>NOT(ISERROR(SEARCH("024",A44)))</formula>
    </cfRule>
    <cfRule type="containsText" dxfId="490" priority="20" operator="containsText" text="白醬">
      <formula>NOT(ISERROR(SEARCH("白醬",A44)))</formula>
    </cfRule>
    <cfRule type="containsText" dxfId="489" priority="21" operator="containsText" text="青蔥">
      <formula>NOT(ISERROR(SEARCH("青蔥",A44)))</formula>
    </cfRule>
    <cfRule type="containsText" dxfId="488" priority="22" operator="containsText" text=")川燙小青花菜">
      <formula>NOT(ISERROR(SEARCH(")川燙小青花菜",A44)))</formula>
    </cfRule>
    <cfRule type="containsText" dxfId="487" priority="23" operator="containsText" text="湯凍">
      <formula>NOT(ISERROR(SEARCH("湯凍",A44)))</formula>
    </cfRule>
    <cfRule type="containsText" dxfId="486" priority="24" operator="containsText" text="中華">
      <formula>NOT(ISERROR(SEARCH("中華",A44)))</formula>
    </cfRule>
  </conditionalFormatting>
  <conditionalFormatting sqref="D44:D53">
    <cfRule type="cellIs" dxfId="485" priority="16" operator="greaterThan">
      <formula>0.146</formula>
    </cfRule>
  </conditionalFormatting>
  <conditionalFormatting sqref="E5">
    <cfRule type="cellIs" dxfId="484" priority="25" operator="greaterThan">
      <formula>0.072</formula>
    </cfRule>
    <cfRule type="cellIs" dxfId="483" priority="26" operator="greaterThan">
      <formula>7.2</formula>
    </cfRule>
    <cfRule type="cellIs" dxfId="482" priority="14" operator="greaterThan">
      <formula>0.0025</formula>
    </cfRule>
  </conditionalFormatting>
  <conditionalFormatting sqref="G5">
    <cfRule type="cellIs" dxfId="481" priority="3" operator="greaterThan">
      <formula>7.2</formula>
    </cfRule>
    <cfRule type="cellIs" dxfId="480" priority="2" operator="greaterThan">
      <formula>0.072</formula>
    </cfRule>
    <cfRule type="cellIs" dxfId="479" priority="1" operator="greaterThan">
      <formula>0.0025</formula>
    </cfRule>
  </conditionalFormatting>
  <conditionalFormatting sqref="H12:H22">
    <cfRule type="cellIs" dxfId="478" priority="15" operator="greaterThan">
      <formula>1.1</formula>
    </cfRule>
  </conditionalFormatting>
  <conditionalFormatting sqref="H28:H37">
    <cfRule type="cellIs" dxfId="477" priority="4" operator="greaterThan">
      <formula>1.1</formula>
    </cfRule>
  </conditionalFormatting>
  <conditionalFormatting sqref="I5">
    <cfRule type="cellIs" dxfId="47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6804-BEB3-49F9-B52D-A854A58542ED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45913</v>
      </c>
      <c r="B3" s="149"/>
      <c r="C3" s="150">
        <v>6087959.3799999999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14694.912599999998</v>
      </c>
      <c r="E5" s="24">
        <f>D5/C3</f>
        <v>2.4137665320625051E-3</v>
      </c>
      <c r="F5" s="23">
        <v>43322.470899999993</v>
      </c>
      <c r="G5" s="25">
        <f>F5/C3</f>
        <v>7.1160906628782395E-3</v>
      </c>
      <c r="H5" s="26">
        <f>SUM(C12:C21)</f>
        <v>5166.7465999999995</v>
      </c>
      <c r="I5" s="27">
        <f>H5/D5</f>
        <v>0.35160104320729341</v>
      </c>
      <c r="J5" s="26">
        <f>SUM(C28:C37)</f>
        <v>15600.561199999976</v>
      </c>
      <c r="K5" s="28">
        <f>J5/F5</f>
        <v>0.36010321839699083</v>
      </c>
      <c r="L5" s="29">
        <v>1361.5699</v>
      </c>
      <c r="M5" s="30">
        <f>L5/D5</f>
        <v>9.2655869215581457E-2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112</v>
      </c>
      <c r="C12" s="36">
        <v>862.68</v>
      </c>
      <c r="D12" s="37">
        <v>4538</v>
      </c>
      <c r="E12" s="37">
        <v>4696</v>
      </c>
      <c r="F12" s="37">
        <v>0</v>
      </c>
      <c r="G12" s="36">
        <v>5.46</v>
      </c>
      <c r="H12" s="38">
        <f>(E12+F12)/D12</f>
        <v>1.0348171000440722</v>
      </c>
      <c r="I12" s="36">
        <v>862.68</v>
      </c>
      <c r="J12" s="37">
        <v>158</v>
      </c>
      <c r="K12" s="39">
        <f>J12/D12</f>
        <v>3.4817100044072277E-2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3" t="s">
        <v>64</v>
      </c>
      <c r="Q12" s="44" t="s">
        <v>113</v>
      </c>
      <c r="R12" s="45" t="s">
        <v>98</v>
      </c>
    </row>
    <row r="13" spans="1:18" s="46" customFormat="1" ht="24.95" customHeight="1" x14ac:dyDescent="0.25">
      <c r="A13" s="47">
        <v>2</v>
      </c>
      <c r="B13" s="35" t="s">
        <v>63</v>
      </c>
      <c r="C13" s="36">
        <v>791.16</v>
      </c>
      <c r="D13" s="37">
        <v>3210</v>
      </c>
      <c r="E13" s="37">
        <v>3286</v>
      </c>
      <c r="F13" s="37">
        <v>0</v>
      </c>
      <c r="G13" s="36">
        <v>10.41</v>
      </c>
      <c r="H13" s="38">
        <f t="shared" ref="H13:H21" si="1">(E13+F13)/D13</f>
        <v>1.0236760124610591</v>
      </c>
      <c r="I13" s="36">
        <v>791.16</v>
      </c>
      <c r="J13" s="37">
        <v>76</v>
      </c>
      <c r="K13" s="39">
        <f>J13/D13</f>
        <v>2.3676012461059191E-2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3" t="s">
        <v>64</v>
      </c>
      <c r="Q13" s="44"/>
      <c r="R13" s="45" t="s">
        <v>65</v>
      </c>
    </row>
    <row r="14" spans="1:18" s="46" customFormat="1" ht="24.95" customHeight="1" x14ac:dyDescent="0.25">
      <c r="A14" s="47">
        <v>3</v>
      </c>
      <c r="B14" s="35" t="s">
        <v>59</v>
      </c>
      <c r="C14" s="36">
        <v>556.19999999999993</v>
      </c>
      <c r="D14" s="37">
        <v>3178</v>
      </c>
      <c r="E14" s="37">
        <v>3214</v>
      </c>
      <c r="F14" s="37">
        <v>0</v>
      </c>
      <c r="G14" s="36">
        <v>15.45</v>
      </c>
      <c r="H14" s="38">
        <f>(E14+F14)/D14</f>
        <v>1.0113278791692888</v>
      </c>
      <c r="I14" s="36">
        <v>556.19999999999993</v>
      </c>
      <c r="J14" s="37">
        <v>36</v>
      </c>
      <c r="K14" s="39">
        <f t="shared" ref="K14:K21" si="4">J14/D14</f>
        <v>1.1327879169288861E-2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60</v>
      </c>
      <c r="Q14" s="44" t="s">
        <v>61</v>
      </c>
      <c r="R14" s="45" t="s">
        <v>62</v>
      </c>
    </row>
    <row r="15" spans="1:18" s="46" customFormat="1" ht="24.95" customHeight="1" x14ac:dyDescent="0.25">
      <c r="A15" s="34">
        <v>4</v>
      </c>
      <c r="B15" s="35" t="s">
        <v>94</v>
      </c>
      <c r="C15" s="36">
        <v>484.62400000000002</v>
      </c>
      <c r="D15" s="37">
        <v>160.56</v>
      </c>
      <c r="E15" s="37">
        <v>160.62</v>
      </c>
      <c r="F15" s="37">
        <v>2.15</v>
      </c>
      <c r="G15" s="36">
        <v>605.78</v>
      </c>
      <c r="H15" s="38">
        <f>(E15+F15)/D15</f>
        <v>1.0137643248629795</v>
      </c>
      <c r="I15" s="36">
        <v>1338.7738000000047</v>
      </c>
      <c r="J15" s="37">
        <v>0.8</v>
      </c>
      <c r="K15" s="39">
        <f t="shared" si="4"/>
        <v>4.9825610363726956E-3</v>
      </c>
      <c r="L15" s="40">
        <f t="shared" si="2"/>
        <v>1.4100000000000079</v>
      </c>
      <c r="M15" s="41">
        <f t="shared" si="3"/>
        <v>8.781763826606925E-3</v>
      </c>
      <c r="N15" s="42">
        <f t="shared" si="0"/>
        <v>854.1498000000048</v>
      </c>
      <c r="O15" s="43" t="s">
        <v>57</v>
      </c>
      <c r="P15" s="69" t="s">
        <v>235</v>
      </c>
      <c r="Q15" s="44"/>
      <c r="R15" s="45" t="s">
        <v>95</v>
      </c>
    </row>
    <row r="16" spans="1:18" s="46" customFormat="1" ht="24.95" customHeight="1" x14ac:dyDescent="0.25">
      <c r="A16" s="47">
        <v>5</v>
      </c>
      <c r="B16" s="35" t="s">
        <v>88</v>
      </c>
      <c r="C16" s="36">
        <v>463.56799999999998</v>
      </c>
      <c r="D16" s="37">
        <v>21.4</v>
      </c>
      <c r="E16" s="37">
        <v>21.71</v>
      </c>
      <c r="F16" s="37">
        <v>1</v>
      </c>
      <c r="G16" s="36">
        <v>662.24</v>
      </c>
      <c r="H16" s="38">
        <f t="shared" si="1"/>
        <v>1.0612149532710282</v>
      </c>
      <c r="I16" s="36">
        <v>867.53440000000148</v>
      </c>
      <c r="J16" s="37">
        <v>0.7</v>
      </c>
      <c r="K16" s="39">
        <f t="shared" si="4"/>
        <v>3.2710280373831772E-2</v>
      </c>
      <c r="L16" s="40">
        <f t="shared" si="2"/>
        <v>0.61000000000000232</v>
      </c>
      <c r="M16" s="41">
        <f t="shared" si="3"/>
        <v>2.8504672897196371E-2</v>
      </c>
      <c r="N16" s="42">
        <f t="shared" si="0"/>
        <v>403.96640000000156</v>
      </c>
      <c r="O16" s="43" t="s">
        <v>57</v>
      </c>
      <c r="P16" s="69" t="s">
        <v>67</v>
      </c>
      <c r="Q16" s="44"/>
      <c r="R16" s="45" t="s">
        <v>65</v>
      </c>
    </row>
    <row r="17" spans="1:18" s="46" customFormat="1" ht="24.95" customHeight="1" x14ac:dyDescent="0.25">
      <c r="A17" s="34">
        <v>6</v>
      </c>
      <c r="B17" s="35" t="s">
        <v>66</v>
      </c>
      <c r="C17" s="36">
        <v>459.125</v>
      </c>
      <c r="D17" s="37">
        <v>42.82</v>
      </c>
      <c r="E17" s="37">
        <v>45.32</v>
      </c>
      <c r="F17" s="37">
        <v>0</v>
      </c>
      <c r="G17" s="36">
        <v>183.65</v>
      </c>
      <c r="H17" s="38">
        <f t="shared" si="1"/>
        <v>1.0583839327417095</v>
      </c>
      <c r="I17" s="36">
        <v>459.125</v>
      </c>
      <c r="J17" s="37">
        <v>2.5</v>
      </c>
      <c r="K17" s="39">
        <f t="shared" si="4"/>
        <v>5.8383932741709478E-2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69" t="s">
        <v>67</v>
      </c>
      <c r="Q17" s="44"/>
      <c r="R17" s="45" t="s">
        <v>68</v>
      </c>
    </row>
    <row r="18" spans="1:18" s="46" customFormat="1" ht="24.95" customHeight="1" x14ac:dyDescent="0.25">
      <c r="A18" s="47">
        <v>7</v>
      </c>
      <c r="B18" s="35" t="s">
        <v>146</v>
      </c>
      <c r="C18" s="36">
        <v>457.05599999999998</v>
      </c>
      <c r="D18" s="37">
        <v>34.590000000000003</v>
      </c>
      <c r="E18" s="37">
        <v>36.39</v>
      </c>
      <c r="F18" s="37">
        <v>0</v>
      </c>
      <c r="G18" s="36">
        <v>253.92</v>
      </c>
      <c r="H18" s="38">
        <f t="shared" si="1"/>
        <v>1.0520381613183001</v>
      </c>
      <c r="I18" s="36">
        <v>457.05599999999924</v>
      </c>
      <c r="J18" s="37">
        <v>1.8</v>
      </c>
      <c r="K18" s="39">
        <f t="shared" si="4"/>
        <v>5.203816131830008E-2</v>
      </c>
      <c r="L18" s="40">
        <f>((E18+F18)-D18)-J18</f>
        <v>-2.886579864025407E-15</v>
      </c>
      <c r="M18" s="41">
        <f t="shared" si="3"/>
        <v>-8.3451282567950465E-17</v>
      </c>
      <c r="N18" s="42">
        <f t="shared" si="0"/>
        <v>-7.3296035907333135E-13</v>
      </c>
      <c r="O18" s="43" t="s">
        <v>57</v>
      </c>
      <c r="P18" s="69" t="s">
        <v>67</v>
      </c>
      <c r="Q18" s="44"/>
      <c r="R18" s="45" t="s">
        <v>68</v>
      </c>
    </row>
    <row r="19" spans="1:18" s="46" customFormat="1" ht="24.95" customHeight="1" x14ac:dyDescent="0.25">
      <c r="A19" s="34">
        <v>8</v>
      </c>
      <c r="B19" s="35" t="s">
        <v>137</v>
      </c>
      <c r="C19" s="36">
        <v>446.5616</v>
      </c>
      <c r="D19" s="37">
        <v>52.36</v>
      </c>
      <c r="E19" s="37">
        <v>52.4</v>
      </c>
      <c r="F19" s="37">
        <v>1.9</v>
      </c>
      <c r="G19" s="36">
        <v>628.96</v>
      </c>
      <c r="H19" s="38">
        <f t="shared" si="1"/>
        <v>1.0370511841100076</v>
      </c>
      <c r="I19" s="36">
        <v>1220.1823999999986</v>
      </c>
      <c r="J19" s="37">
        <v>0.71</v>
      </c>
      <c r="K19" s="39">
        <f t="shared" si="4"/>
        <v>1.3559969442322383E-2</v>
      </c>
      <c r="L19" s="40">
        <f t="shared" si="2"/>
        <v>1.2299999999999978</v>
      </c>
      <c r="M19" s="41">
        <f t="shared" si="3"/>
        <v>2.3491214667685213E-2</v>
      </c>
      <c r="N19" s="42">
        <f t="shared" si="0"/>
        <v>773.62079999999867</v>
      </c>
      <c r="O19" s="43" t="s">
        <v>57</v>
      </c>
      <c r="P19" s="69" t="s">
        <v>235</v>
      </c>
      <c r="Q19" s="44"/>
      <c r="R19" s="45" t="s">
        <v>138</v>
      </c>
    </row>
    <row r="20" spans="1:18" s="46" customFormat="1" ht="24.95" customHeight="1" x14ac:dyDescent="0.25">
      <c r="A20" s="47">
        <v>9</v>
      </c>
      <c r="B20" s="35" t="s">
        <v>172</v>
      </c>
      <c r="C20" s="36">
        <v>356.13760000000002</v>
      </c>
      <c r="D20" s="37">
        <v>471.8</v>
      </c>
      <c r="E20" s="37">
        <v>479.08</v>
      </c>
      <c r="F20" s="37">
        <v>0</v>
      </c>
      <c r="G20" s="36">
        <v>48.92</v>
      </c>
      <c r="H20" s="38">
        <f t="shared" si="1"/>
        <v>1.0154302670623145</v>
      </c>
      <c r="I20" s="36">
        <v>356.13759999999866</v>
      </c>
      <c r="J20" s="37">
        <v>7.28</v>
      </c>
      <c r="K20" s="39">
        <f t="shared" si="4"/>
        <v>1.543026706231454E-2</v>
      </c>
      <c r="L20" s="40">
        <f t="shared" si="2"/>
        <v>-2.7533531010703882E-14</v>
      </c>
      <c r="M20" s="41">
        <f t="shared" si="3"/>
        <v>-5.835848031094506E-17</v>
      </c>
      <c r="N20" s="42">
        <f t="shared" si="0"/>
        <v>-1.3469403370436339E-12</v>
      </c>
      <c r="O20" s="43" t="s">
        <v>57</v>
      </c>
      <c r="P20" s="69" t="s">
        <v>235</v>
      </c>
      <c r="Q20" s="44"/>
      <c r="R20" s="45" t="s">
        <v>79</v>
      </c>
    </row>
    <row r="21" spans="1:18" s="46" customFormat="1" ht="24.95" customHeight="1" thickBot="1" x14ac:dyDescent="0.3">
      <c r="A21" s="48">
        <v>10</v>
      </c>
      <c r="B21" s="49" t="s">
        <v>173</v>
      </c>
      <c r="C21" s="50">
        <v>289.63439999999997</v>
      </c>
      <c r="D21" s="51">
        <v>13.53</v>
      </c>
      <c r="E21" s="51">
        <v>17.099999999999998</v>
      </c>
      <c r="F21" s="51">
        <v>0</v>
      </c>
      <c r="G21" s="50">
        <v>104.94</v>
      </c>
      <c r="H21" s="52">
        <f t="shared" si="1"/>
        <v>1.2638580931263856</v>
      </c>
      <c r="I21" s="50">
        <v>374.63579999999985</v>
      </c>
      <c r="J21" s="51">
        <v>2.76</v>
      </c>
      <c r="K21" s="53">
        <f t="shared" si="4"/>
        <v>0.2039911308203991</v>
      </c>
      <c r="L21" s="54">
        <f t="shared" si="2"/>
        <v>0.80999999999999872</v>
      </c>
      <c r="M21" s="55">
        <f t="shared" si="3"/>
        <v>5.9866962305986607E-2</v>
      </c>
      <c r="N21" s="56">
        <f t="shared" si="0"/>
        <v>85.001399999999862</v>
      </c>
      <c r="O21" s="57" t="s">
        <v>57</v>
      </c>
      <c r="P21" s="57" t="s">
        <v>67</v>
      </c>
      <c r="Q21" s="57"/>
      <c r="R21" s="58" t="s">
        <v>116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127</v>
      </c>
      <c r="C28" s="36">
        <v>3584.1960000000022</v>
      </c>
      <c r="D28" s="37">
        <v>201.36</v>
      </c>
      <c r="E28" s="37">
        <v>205.36</v>
      </c>
      <c r="F28" s="37">
        <v>4.4000000000000004</v>
      </c>
      <c r="G28" s="36">
        <v>426.69</v>
      </c>
      <c r="H28" s="68">
        <f t="shared" ref="H28:H37" si="5">(E28+F28)/D28</f>
        <v>1.0417163289630513</v>
      </c>
      <c r="I28" s="36">
        <v>3584.1960000000022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8.4000000000000057</v>
      </c>
      <c r="N28" s="41">
        <f t="shared" ref="N28:N37" si="9">M28/D28</f>
        <v>4.1716328963051275E-2</v>
      </c>
      <c r="O28" s="43" t="s">
        <v>83</v>
      </c>
      <c r="P28" s="69" t="s">
        <v>235</v>
      </c>
      <c r="Q28" s="44"/>
      <c r="R28" s="45" t="s">
        <v>128</v>
      </c>
    </row>
    <row r="29" spans="1:18" s="67" customFormat="1" ht="24.95" customHeight="1" x14ac:dyDescent="0.25">
      <c r="A29" s="47">
        <v>2</v>
      </c>
      <c r="B29" s="35" t="s">
        <v>82</v>
      </c>
      <c r="C29" s="36">
        <v>2473.8753999999876</v>
      </c>
      <c r="D29" s="37">
        <v>497.91</v>
      </c>
      <c r="E29" s="37">
        <v>498.45</v>
      </c>
      <c r="F29" s="37">
        <v>16.239999999999998</v>
      </c>
      <c r="G29" s="36">
        <v>147.43</v>
      </c>
      <c r="H29" s="68">
        <f t="shared" si="5"/>
        <v>1.0337008696350745</v>
      </c>
      <c r="I29" s="36">
        <v>2473.8753999999876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16.779999999999916</v>
      </c>
      <c r="N29" s="41">
        <f t="shared" si="9"/>
        <v>3.3700869635074439E-2</v>
      </c>
      <c r="O29" s="43" t="s">
        <v>83</v>
      </c>
      <c r="P29" s="69" t="s">
        <v>84</v>
      </c>
      <c r="Q29" s="44" t="s">
        <v>85</v>
      </c>
      <c r="R29" s="45" t="s">
        <v>58</v>
      </c>
    </row>
    <row r="30" spans="1:18" s="67" customFormat="1" ht="24.95" customHeight="1" x14ac:dyDescent="0.25">
      <c r="A30" s="47">
        <v>3</v>
      </c>
      <c r="B30" s="35" t="s">
        <v>156</v>
      </c>
      <c r="C30" s="36">
        <v>1711.5360000000021</v>
      </c>
      <c r="D30" s="37">
        <v>218.13</v>
      </c>
      <c r="E30" s="37">
        <v>227.18</v>
      </c>
      <c r="F30" s="37">
        <v>0</v>
      </c>
      <c r="G30" s="36">
        <v>189.12</v>
      </c>
      <c r="H30" s="68">
        <f t="shared" si="5"/>
        <v>1.0414890203089902</v>
      </c>
      <c r="I30" s="36">
        <v>1711.5360000000021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9.0500000000000114</v>
      </c>
      <c r="N30" s="41">
        <f t="shared" si="9"/>
        <v>4.1489020308990106E-2</v>
      </c>
      <c r="O30" s="43" t="s">
        <v>83</v>
      </c>
      <c r="P30" s="69" t="s">
        <v>235</v>
      </c>
      <c r="Q30" s="44"/>
      <c r="R30" s="45" t="s">
        <v>157</v>
      </c>
    </row>
    <row r="31" spans="1:18" s="67" customFormat="1" ht="24.95" customHeight="1" x14ac:dyDescent="0.25">
      <c r="A31" s="34">
        <v>4</v>
      </c>
      <c r="B31" s="35" t="s">
        <v>142</v>
      </c>
      <c r="C31" s="36">
        <v>1385.7979000000003</v>
      </c>
      <c r="D31" s="37">
        <v>83.11</v>
      </c>
      <c r="E31" s="37">
        <v>83.5</v>
      </c>
      <c r="F31" s="37">
        <v>11.78</v>
      </c>
      <c r="G31" s="36">
        <v>113.87</v>
      </c>
      <c r="H31" s="68">
        <f t="shared" si="5"/>
        <v>1.1464324389363494</v>
      </c>
      <c r="I31" s="36">
        <v>1385.7979000000003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12.170000000000002</v>
      </c>
      <c r="N31" s="41">
        <f t="shared" si="9"/>
        <v>0.14643243893634944</v>
      </c>
      <c r="O31" s="43" t="s">
        <v>83</v>
      </c>
      <c r="P31" s="69" t="s">
        <v>235</v>
      </c>
      <c r="Q31" s="44"/>
      <c r="R31" s="45" t="s">
        <v>121</v>
      </c>
    </row>
    <row r="32" spans="1:18" s="67" customFormat="1" ht="24.95" customHeight="1" x14ac:dyDescent="0.25">
      <c r="A32" s="47">
        <v>5</v>
      </c>
      <c r="B32" s="35" t="s">
        <v>56</v>
      </c>
      <c r="C32" s="36">
        <v>1293.7407999999934</v>
      </c>
      <c r="D32" s="37">
        <v>368.79</v>
      </c>
      <c r="E32" s="37">
        <v>361.71</v>
      </c>
      <c r="F32" s="37">
        <v>17.2</v>
      </c>
      <c r="G32" s="36">
        <v>127.84</v>
      </c>
      <c r="H32" s="68">
        <f t="shared" si="5"/>
        <v>1.0274410911358767</v>
      </c>
      <c r="I32" s="36">
        <v>1293.7407999999934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10.119999999999948</v>
      </c>
      <c r="N32" s="41">
        <f t="shared" si="9"/>
        <v>2.7441091135876644E-2</v>
      </c>
      <c r="O32" s="43" t="s">
        <v>83</v>
      </c>
      <c r="P32" s="69" t="s">
        <v>235</v>
      </c>
      <c r="Q32" s="44"/>
      <c r="R32" s="45" t="s">
        <v>58</v>
      </c>
    </row>
    <row r="33" spans="1:18" s="67" customFormat="1" ht="24.95" customHeight="1" x14ac:dyDescent="0.25">
      <c r="A33" s="34">
        <v>6</v>
      </c>
      <c r="B33" s="35" t="s">
        <v>86</v>
      </c>
      <c r="C33" s="36">
        <v>1198.6376999999936</v>
      </c>
      <c r="D33" s="37">
        <v>3745.8</v>
      </c>
      <c r="E33" s="37">
        <v>3726.73</v>
      </c>
      <c r="F33" s="37">
        <v>49.5</v>
      </c>
      <c r="G33" s="36">
        <v>39.39</v>
      </c>
      <c r="H33" s="68">
        <f t="shared" si="5"/>
        <v>1.0081237652837844</v>
      </c>
      <c r="I33" s="36">
        <v>1198.6376999999936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30.429999999999836</v>
      </c>
      <c r="N33" s="41">
        <f t="shared" si="9"/>
        <v>8.123765283784461E-3</v>
      </c>
      <c r="O33" s="43" t="s">
        <v>83</v>
      </c>
      <c r="P33" s="44" t="s">
        <v>60</v>
      </c>
      <c r="Q33" s="44" t="s">
        <v>87</v>
      </c>
      <c r="R33" s="45" t="s">
        <v>58</v>
      </c>
    </row>
    <row r="34" spans="1:18" s="67" customFormat="1" ht="24.95" customHeight="1" x14ac:dyDescent="0.25">
      <c r="A34" s="47">
        <v>7</v>
      </c>
      <c r="B34" s="35" t="s">
        <v>110</v>
      </c>
      <c r="C34" s="36">
        <v>1195.0707999999943</v>
      </c>
      <c r="D34" s="37">
        <v>89.9</v>
      </c>
      <c r="E34" s="37">
        <v>91.02</v>
      </c>
      <c r="F34" s="37">
        <v>2.1</v>
      </c>
      <c r="G34" s="36">
        <v>371.14</v>
      </c>
      <c r="H34" s="68">
        <f t="shared" si="5"/>
        <v>1.0358175750834258</v>
      </c>
      <c r="I34" s="36">
        <v>1195.0707999999943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3.2199999999999847</v>
      </c>
      <c r="N34" s="41">
        <f t="shared" si="9"/>
        <v>3.5817575083425854E-2</v>
      </c>
      <c r="O34" s="43" t="s">
        <v>83</v>
      </c>
      <c r="P34" s="69" t="s">
        <v>235</v>
      </c>
      <c r="Q34" s="44"/>
      <c r="R34" s="45" t="s">
        <v>58</v>
      </c>
    </row>
    <row r="35" spans="1:18" s="67" customFormat="1" ht="24.95" customHeight="1" x14ac:dyDescent="0.25">
      <c r="A35" s="34">
        <v>8</v>
      </c>
      <c r="B35" s="35" t="s">
        <v>174</v>
      </c>
      <c r="C35" s="36">
        <v>957.59999999999968</v>
      </c>
      <c r="D35" s="37">
        <v>3.43</v>
      </c>
      <c r="E35" s="37">
        <v>4</v>
      </c>
      <c r="F35" s="37">
        <v>0</v>
      </c>
      <c r="G35" s="36">
        <v>1680</v>
      </c>
      <c r="H35" s="68">
        <f t="shared" si="5"/>
        <v>1.1661807580174925</v>
      </c>
      <c r="I35" s="36">
        <v>957.59999999999968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0.56999999999999984</v>
      </c>
      <c r="N35" s="41">
        <f t="shared" si="9"/>
        <v>0.16618075801749266</v>
      </c>
      <c r="O35" s="43" t="s">
        <v>83</v>
      </c>
      <c r="P35" s="69" t="s">
        <v>235</v>
      </c>
      <c r="Q35" s="44"/>
      <c r="R35" s="45" t="s">
        <v>58</v>
      </c>
    </row>
    <row r="36" spans="1:18" s="67" customFormat="1" ht="24.95" customHeight="1" x14ac:dyDescent="0.25">
      <c r="A36" s="47">
        <v>9</v>
      </c>
      <c r="B36" s="35" t="s">
        <v>143</v>
      </c>
      <c r="C36" s="36">
        <v>945.9567999999972</v>
      </c>
      <c r="D36" s="37">
        <v>158.66</v>
      </c>
      <c r="E36" s="37">
        <v>159.22999999999999</v>
      </c>
      <c r="F36" s="37">
        <v>1.75</v>
      </c>
      <c r="G36" s="36">
        <v>407.74</v>
      </c>
      <c r="H36" s="68">
        <f t="shared" si="5"/>
        <v>1.0146224631287029</v>
      </c>
      <c r="I36" s="36">
        <v>945.9567999999972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2.3199999999999932</v>
      </c>
      <c r="N36" s="41">
        <f t="shared" si="9"/>
        <v>1.4622463128702844E-2</v>
      </c>
      <c r="O36" s="43" t="s">
        <v>97</v>
      </c>
      <c r="P36" s="44" t="s">
        <v>60</v>
      </c>
      <c r="Q36" s="44" t="s">
        <v>87</v>
      </c>
      <c r="R36" s="45" t="s">
        <v>144</v>
      </c>
    </row>
    <row r="37" spans="1:18" s="67" customFormat="1" ht="24.95" customHeight="1" thickBot="1" x14ac:dyDescent="0.3">
      <c r="A37" s="48">
        <v>10</v>
      </c>
      <c r="B37" s="49" t="s">
        <v>94</v>
      </c>
      <c r="C37" s="50">
        <v>854.14980000000469</v>
      </c>
      <c r="D37" s="51">
        <v>160.56</v>
      </c>
      <c r="E37" s="51">
        <v>160.62</v>
      </c>
      <c r="F37" s="51">
        <v>2.15</v>
      </c>
      <c r="G37" s="50">
        <v>605.78</v>
      </c>
      <c r="H37" s="70">
        <f t="shared" si="5"/>
        <v>1.0137643248629795</v>
      </c>
      <c r="I37" s="50">
        <v>1338.7738000000047</v>
      </c>
      <c r="J37" s="51">
        <v>0.8</v>
      </c>
      <c r="K37" s="53">
        <f t="shared" si="6"/>
        <v>4.9825610363726956E-3</v>
      </c>
      <c r="L37" s="56">
        <f t="shared" si="7"/>
        <v>484.62400000000002</v>
      </c>
      <c r="M37" s="54">
        <f t="shared" si="8"/>
        <v>1.4100000000000079</v>
      </c>
      <c r="N37" s="55">
        <f t="shared" si="9"/>
        <v>8.781763826606925E-3</v>
      </c>
      <c r="O37" s="57" t="s">
        <v>97</v>
      </c>
      <c r="P37" s="71" t="s">
        <v>60</v>
      </c>
      <c r="Q37" s="72" t="s">
        <v>87</v>
      </c>
      <c r="R37" s="58" t="s">
        <v>95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105</v>
      </c>
      <c r="C44" s="36">
        <v>252.35000000000002</v>
      </c>
      <c r="D44" s="78">
        <f t="shared" ref="D44:D53" si="10">C44/$L$5</f>
        <v>0.18533752839277662</v>
      </c>
      <c r="E44" s="79"/>
    </row>
    <row r="45" spans="1:18" s="80" customFormat="1" ht="24.95" customHeight="1" x14ac:dyDescent="0.25">
      <c r="A45" s="81">
        <v>2</v>
      </c>
      <c r="B45" s="35" t="s">
        <v>103</v>
      </c>
      <c r="C45" s="36">
        <v>248.46</v>
      </c>
      <c r="D45" s="78">
        <f t="shared" si="10"/>
        <v>0.18248053221505559</v>
      </c>
      <c r="E45" s="79"/>
    </row>
    <row r="46" spans="1:18" s="80" customFormat="1" ht="24.95" customHeight="1" x14ac:dyDescent="0.25">
      <c r="A46" s="81">
        <v>3</v>
      </c>
      <c r="B46" s="35" t="s">
        <v>104</v>
      </c>
      <c r="C46" s="36">
        <v>224.64</v>
      </c>
      <c r="D46" s="78">
        <f t="shared" si="10"/>
        <v>0.16498602091600292</v>
      </c>
      <c r="E46" s="79"/>
    </row>
    <row r="47" spans="1:18" s="80" customFormat="1" ht="24.95" customHeight="1" x14ac:dyDescent="0.25">
      <c r="A47" s="77">
        <v>4</v>
      </c>
      <c r="B47" s="35" t="s">
        <v>125</v>
      </c>
      <c r="C47" s="36">
        <v>160</v>
      </c>
      <c r="D47" s="78">
        <f t="shared" si="10"/>
        <v>0.11751141090883399</v>
      </c>
      <c r="E47" s="79"/>
    </row>
    <row r="48" spans="1:18" s="80" customFormat="1" ht="24.95" customHeight="1" x14ac:dyDescent="0.25">
      <c r="A48" s="81">
        <v>5</v>
      </c>
      <c r="B48" s="35" t="s">
        <v>109</v>
      </c>
      <c r="C48" s="36">
        <v>101.36</v>
      </c>
      <c r="D48" s="78">
        <f t="shared" si="10"/>
        <v>7.4443478810746339E-2</v>
      </c>
      <c r="E48" s="79"/>
    </row>
    <row r="49" spans="1:5" s="80" customFormat="1" ht="24.95" customHeight="1" x14ac:dyDescent="0.25">
      <c r="A49" s="77">
        <v>6</v>
      </c>
      <c r="B49" s="35" t="s">
        <v>108</v>
      </c>
      <c r="C49" s="36">
        <v>95.587500000000006</v>
      </c>
      <c r="D49" s="78">
        <f t="shared" si="10"/>
        <v>7.0203887439051066E-2</v>
      </c>
      <c r="E49" s="79"/>
    </row>
    <row r="50" spans="1:5" s="80" customFormat="1" ht="24.95" customHeight="1" x14ac:dyDescent="0.25">
      <c r="A50" s="81">
        <v>7</v>
      </c>
      <c r="B50" s="35" t="s">
        <v>73</v>
      </c>
      <c r="C50" s="36">
        <v>78.935000000000002</v>
      </c>
      <c r="D50" s="78">
        <f t="shared" si="10"/>
        <v>5.7973520125555067E-2</v>
      </c>
      <c r="E50" s="79"/>
    </row>
    <row r="51" spans="1:5" s="80" customFormat="1" ht="24.95" customHeight="1" x14ac:dyDescent="0.25">
      <c r="A51" s="77">
        <v>8</v>
      </c>
      <c r="B51" s="35" t="s">
        <v>106</v>
      </c>
      <c r="C51" s="36">
        <v>64.884</v>
      </c>
      <c r="D51" s="78">
        <f t="shared" si="10"/>
        <v>4.7653814908804902E-2</v>
      </c>
      <c r="E51" s="79"/>
    </row>
    <row r="52" spans="1:5" s="80" customFormat="1" ht="24.95" customHeight="1" x14ac:dyDescent="0.25">
      <c r="A52" s="81">
        <v>9</v>
      </c>
      <c r="B52" s="35" t="s">
        <v>107</v>
      </c>
      <c r="C52" s="36">
        <v>54.216000000000001</v>
      </c>
      <c r="D52" s="78">
        <f t="shared" si="10"/>
        <v>3.98187415864584E-2</v>
      </c>
      <c r="E52" s="79"/>
    </row>
    <row r="53" spans="1:5" s="80" customFormat="1" ht="24.95" customHeight="1" thickBot="1" x14ac:dyDescent="0.3">
      <c r="A53" s="82">
        <v>10</v>
      </c>
      <c r="B53" s="49" t="s">
        <v>145</v>
      </c>
      <c r="C53" s="50">
        <v>48.0154</v>
      </c>
      <c r="D53" s="83">
        <f t="shared" si="10"/>
        <v>3.5264733745950169E-2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75" priority="34" operator="containsText" text="中華">
      <formula>NOT(ISERROR(SEARCH("中華",A12)))</formula>
    </cfRule>
    <cfRule type="containsText" dxfId="474" priority="33" operator="containsText" text="湯凍">
      <formula>NOT(ISERROR(SEARCH("湯凍",A12)))</formula>
    </cfRule>
    <cfRule type="containsText" dxfId="473" priority="32" operator="containsText" text=")川燙小青花菜">
      <formula>NOT(ISERROR(SEARCH(")川燙小青花菜",A12)))</formula>
    </cfRule>
    <cfRule type="containsText" dxfId="472" priority="31" operator="containsText" text="青蔥">
      <formula>NOT(ISERROR(SEARCH("青蔥",A12)))</formula>
    </cfRule>
    <cfRule type="containsText" dxfId="471" priority="30" operator="containsText" text="白醬">
      <formula>NOT(ISERROR(SEARCH("白醬",A12)))</formula>
    </cfRule>
    <cfRule type="containsText" dxfId="470" priority="29" operator="containsText" text="024">
      <formula>NOT(ISERROR(SEARCH("024",A12)))</formula>
    </cfRule>
    <cfRule type="containsText" dxfId="469" priority="28" operator="containsText" text="煮白細麵生(方#12)">
      <formula>NOT(ISERROR(SEARCH("煮白細麵生(方#12)",A12)))</formula>
    </cfRule>
    <cfRule type="containsText" dxfId="468" priority="27" operator="containsText" text="綠豆芽">
      <formula>NOT(ISERROR(SEARCH("綠豆芽",A12)))</formula>
    </cfRule>
  </conditionalFormatting>
  <conditionalFormatting sqref="A28:A37">
    <cfRule type="containsText" dxfId="467" priority="5" operator="containsText" text="綠豆芽">
      <formula>NOT(ISERROR(SEARCH("綠豆芽",A28)))</formula>
    </cfRule>
    <cfRule type="containsText" dxfId="466" priority="6" operator="containsText" text="煮白細麵生(方#12)">
      <formula>NOT(ISERROR(SEARCH("煮白細麵生(方#12)",A28)))</formula>
    </cfRule>
    <cfRule type="containsText" dxfId="465" priority="7" operator="containsText" text="024">
      <formula>NOT(ISERROR(SEARCH("024",A28)))</formula>
    </cfRule>
    <cfRule type="containsText" dxfId="464" priority="8" operator="containsText" text="白醬">
      <formula>NOT(ISERROR(SEARCH("白醬",A28)))</formula>
    </cfRule>
    <cfRule type="containsText" dxfId="463" priority="9" operator="containsText" text="青蔥">
      <formula>NOT(ISERROR(SEARCH("青蔥",A28)))</formula>
    </cfRule>
    <cfRule type="containsText" dxfId="462" priority="10" operator="containsText" text=")川燙小青花菜">
      <formula>NOT(ISERROR(SEARCH(")川燙小青花菜",A28)))</formula>
    </cfRule>
    <cfRule type="containsText" dxfId="461" priority="11" operator="containsText" text="湯凍">
      <formula>NOT(ISERROR(SEARCH("湯凍",A28)))</formula>
    </cfRule>
    <cfRule type="containsText" dxfId="460" priority="12" operator="containsText" text="中華">
      <formula>NOT(ISERROR(SEARCH("中華",A28)))</formula>
    </cfRule>
  </conditionalFormatting>
  <conditionalFormatting sqref="A44:A53">
    <cfRule type="containsText" dxfId="459" priority="17" operator="containsText" text="綠豆芽">
      <formula>NOT(ISERROR(SEARCH("綠豆芽",A44)))</formula>
    </cfRule>
    <cfRule type="containsText" dxfId="458" priority="18" operator="containsText" text="煮白細麵生(方#12)">
      <formula>NOT(ISERROR(SEARCH("煮白細麵生(方#12)",A44)))</formula>
    </cfRule>
    <cfRule type="containsText" dxfId="457" priority="19" operator="containsText" text="024">
      <formula>NOT(ISERROR(SEARCH("024",A44)))</formula>
    </cfRule>
    <cfRule type="containsText" dxfId="456" priority="20" operator="containsText" text="白醬">
      <formula>NOT(ISERROR(SEARCH("白醬",A44)))</formula>
    </cfRule>
    <cfRule type="containsText" dxfId="455" priority="21" operator="containsText" text="青蔥">
      <formula>NOT(ISERROR(SEARCH("青蔥",A44)))</formula>
    </cfRule>
    <cfRule type="containsText" dxfId="454" priority="22" operator="containsText" text=")川燙小青花菜">
      <formula>NOT(ISERROR(SEARCH(")川燙小青花菜",A44)))</formula>
    </cfRule>
    <cfRule type="containsText" dxfId="453" priority="23" operator="containsText" text="湯凍">
      <formula>NOT(ISERROR(SEARCH("湯凍",A44)))</formula>
    </cfRule>
    <cfRule type="containsText" dxfId="452" priority="24" operator="containsText" text="中華">
      <formula>NOT(ISERROR(SEARCH("中華",A44)))</formula>
    </cfRule>
  </conditionalFormatting>
  <conditionalFormatting sqref="D44:D53">
    <cfRule type="cellIs" dxfId="451" priority="16" operator="greaterThan">
      <formula>0.146</formula>
    </cfRule>
  </conditionalFormatting>
  <conditionalFormatting sqref="E5">
    <cfRule type="cellIs" dxfId="450" priority="25" operator="greaterThan">
      <formula>0.072</formula>
    </cfRule>
    <cfRule type="cellIs" dxfId="449" priority="26" operator="greaterThan">
      <formula>7.2</formula>
    </cfRule>
    <cfRule type="cellIs" dxfId="448" priority="14" operator="greaterThan">
      <formula>0.0025</formula>
    </cfRule>
  </conditionalFormatting>
  <conditionalFormatting sqref="G5">
    <cfRule type="cellIs" dxfId="447" priority="3" operator="greaterThan">
      <formula>7.2</formula>
    </cfRule>
    <cfRule type="cellIs" dxfId="446" priority="2" operator="greaterThan">
      <formula>0.072</formula>
    </cfRule>
    <cfRule type="cellIs" dxfId="445" priority="1" operator="greaterThan">
      <formula>0.0025</formula>
    </cfRule>
  </conditionalFormatting>
  <conditionalFormatting sqref="H12:H22">
    <cfRule type="cellIs" dxfId="444" priority="15" operator="greaterThan">
      <formula>1.1</formula>
    </cfRule>
  </conditionalFormatting>
  <conditionalFormatting sqref="H28:H37">
    <cfRule type="cellIs" dxfId="443" priority="4" operator="greaterThan">
      <formula>1.1</formula>
    </cfRule>
  </conditionalFormatting>
  <conditionalFormatting sqref="I5">
    <cfRule type="cellIs" dxfId="44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F616-7C61-413B-A633-8628FB313B1C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45912</v>
      </c>
      <c r="B3" s="149"/>
      <c r="C3" s="150">
        <v>5798799.4400000004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13984.8614</v>
      </c>
      <c r="E5" s="24">
        <f>D5/C3</f>
        <v>2.4116822015834366E-3</v>
      </c>
      <c r="F5" s="23">
        <v>41420.317699999992</v>
      </c>
      <c r="G5" s="25">
        <f>F5/C3</f>
        <v>7.1429126198577393E-3</v>
      </c>
      <c r="H5" s="26">
        <f>SUM(C12:C21)</f>
        <v>6707.2371999999996</v>
      </c>
      <c r="I5" s="27">
        <f>H5/D5</f>
        <v>0.4796069841636042</v>
      </c>
      <c r="J5" s="26">
        <f>SUM(C28:C37)</f>
        <v>18841.757600000001</v>
      </c>
      <c r="K5" s="28">
        <f>J5/F5</f>
        <v>0.45489167264402719</v>
      </c>
      <c r="L5" s="29">
        <v>1633.6051</v>
      </c>
      <c r="M5" s="30">
        <f>L5/D5</f>
        <v>0.11681239114747323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71</v>
      </c>
      <c r="C12" s="36">
        <v>1965.12</v>
      </c>
      <c r="D12" s="37">
        <v>107.54</v>
      </c>
      <c r="E12" s="37">
        <v>123.54</v>
      </c>
      <c r="F12" s="37">
        <v>0</v>
      </c>
      <c r="G12" s="36">
        <v>122.82</v>
      </c>
      <c r="H12" s="38">
        <f>(E12+F12)/D12</f>
        <v>1.148781848614469</v>
      </c>
      <c r="I12" s="36">
        <v>1965.12</v>
      </c>
      <c r="J12" s="37">
        <v>16</v>
      </c>
      <c r="K12" s="39">
        <f>J12/D12</f>
        <v>0.14878184861446903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175</v>
      </c>
      <c r="Q12" s="44" t="s">
        <v>176</v>
      </c>
      <c r="R12" s="45" t="s">
        <v>72</v>
      </c>
    </row>
    <row r="13" spans="1:18" s="46" customFormat="1" ht="24.95" customHeight="1" x14ac:dyDescent="0.25">
      <c r="A13" s="47">
        <v>2</v>
      </c>
      <c r="B13" s="35" t="s">
        <v>137</v>
      </c>
      <c r="C13" s="36">
        <v>792.4896</v>
      </c>
      <c r="D13" s="37">
        <v>46.21</v>
      </c>
      <c r="E13" s="37">
        <v>47.47</v>
      </c>
      <c r="F13" s="37">
        <v>0</v>
      </c>
      <c r="G13" s="36">
        <v>628.96</v>
      </c>
      <c r="H13" s="38">
        <f t="shared" ref="H13:H21" si="1">(E13+F13)/D13</f>
        <v>1.0272668253624757</v>
      </c>
      <c r="I13" s="36">
        <v>792.48959999999875</v>
      </c>
      <c r="J13" s="37">
        <v>1.26</v>
      </c>
      <c r="K13" s="39">
        <f>J13/D13</f>
        <v>2.7266825362475655E-2</v>
      </c>
      <c r="L13" s="40">
        <f t="shared" ref="L13:L21" si="2">((E13+F13)-D13)-J13</f>
        <v>-1.9984014443252818E-15</v>
      </c>
      <c r="M13" s="41">
        <f t="shared" ref="M13:M21" si="3">L13/D13</f>
        <v>-4.3246081894076644E-17</v>
      </c>
      <c r="N13" s="42">
        <f t="shared" si="0"/>
        <v>-1.2569145724228293E-12</v>
      </c>
      <c r="O13" s="43" t="s">
        <v>57</v>
      </c>
      <c r="P13" s="69" t="s">
        <v>235</v>
      </c>
      <c r="Q13" s="44"/>
      <c r="R13" s="45" t="s">
        <v>138</v>
      </c>
    </row>
    <row r="14" spans="1:18" s="46" customFormat="1" ht="24.95" customHeight="1" x14ac:dyDescent="0.25">
      <c r="A14" s="47">
        <v>3</v>
      </c>
      <c r="B14" s="35" t="s">
        <v>59</v>
      </c>
      <c r="C14" s="36">
        <v>695.25</v>
      </c>
      <c r="D14" s="37">
        <v>3299</v>
      </c>
      <c r="E14" s="37">
        <v>3344</v>
      </c>
      <c r="F14" s="37">
        <v>0</v>
      </c>
      <c r="G14" s="36">
        <v>15.45</v>
      </c>
      <c r="H14" s="38">
        <f>(E14+F14)/D14</f>
        <v>1.0136404971203394</v>
      </c>
      <c r="I14" s="36">
        <v>695.25</v>
      </c>
      <c r="J14" s="37">
        <v>45</v>
      </c>
      <c r="K14" s="39">
        <f t="shared" ref="K14:K21" si="4">J14/D14</f>
        <v>1.3640497120339497E-2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60</v>
      </c>
      <c r="Q14" s="44" t="s">
        <v>61</v>
      </c>
      <c r="R14" s="45" t="s">
        <v>62</v>
      </c>
    </row>
    <row r="15" spans="1:18" s="46" customFormat="1" ht="24.95" customHeight="1" x14ac:dyDescent="0.25">
      <c r="A15" s="34">
        <v>4</v>
      </c>
      <c r="B15" s="35" t="s">
        <v>63</v>
      </c>
      <c r="C15" s="36">
        <v>645.41999999999996</v>
      </c>
      <c r="D15" s="37">
        <v>2988</v>
      </c>
      <c r="E15" s="37">
        <v>3050</v>
      </c>
      <c r="F15" s="37">
        <v>0</v>
      </c>
      <c r="G15" s="36">
        <v>10.41</v>
      </c>
      <c r="H15" s="38">
        <f>(E15+F15)/D15</f>
        <v>1.0207496653279786</v>
      </c>
      <c r="I15" s="36">
        <v>645.41999999999996</v>
      </c>
      <c r="J15" s="37">
        <v>62</v>
      </c>
      <c r="K15" s="39">
        <f t="shared" si="4"/>
        <v>2.0749665327978582E-2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3" t="s">
        <v>64</v>
      </c>
      <c r="Q15" s="44"/>
      <c r="R15" s="45" t="s">
        <v>65</v>
      </c>
    </row>
    <row r="16" spans="1:18" s="46" customFormat="1" ht="24.95" customHeight="1" x14ac:dyDescent="0.25">
      <c r="A16" s="47">
        <v>5</v>
      </c>
      <c r="B16" s="35" t="s">
        <v>88</v>
      </c>
      <c r="C16" s="36">
        <v>629.12799999999993</v>
      </c>
      <c r="D16" s="37">
        <v>19.920000000000002</v>
      </c>
      <c r="E16" s="37">
        <v>20.87</v>
      </c>
      <c r="F16" s="37">
        <v>0</v>
      </c>
      <c r="G16" s="36">
        <v>662.24</v>
      </c>
      <c r="H16" s="38">
        <f t="shared" si="1"/>
        <v>1.0476907630522088</v>
      </c>
      <c r="I16" s="36">
        <v>629.12799999999959</v>
      </c>
      <c r="J16" s="37">
        <v>0.95</v>
      </c>
      <c r="K16" s="39">
        <f t="shared" si="4"/>
        <v>4.7690763052208832E-2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69" t="s">
        <v>235</v>
      </c>
      <c r="Q16" s="44"/>
      <c r="R16" s="45" t="s">
        <v>65</v>
      </c>
    </row>
    <row r="17" spans="1:18" s="46" customFormat="1" ht="24.95" customHeight="1" x14ac:dyDescent="0.25">
      <c r="A17" s="34">
        <v>6</v>
      </c>
      <c r="B17" s="35" t="s">
        <v>94</v>
      </c>
      <c r="C17" s="36">
        <v>545.202</v>
      </c>
      <c r="D17" s="37">
        <v>150.97</v>
      </c>
      <c r="E17" s="37">
        <v>150.94</v>
      </c>
      <c r="F17" s="37">
        <v>4.7300000000000004</v>
      </c>
      <c r="G17" s="36">
        <v>605.78</v>
      </c>
      <c r="H17" s="38">
        <f t="shared" si="1"/>
        <v>1.0311320129827117</v>
      </c>
      <c r="I17" s="36">
        <v>2847.1659999999929</v>
      </c>
      <c r="J17" s="37">
        <v>0.9</v>
      </c>
      <c r="K17" s="39">
        <f t="shared" si="4"/>
        <v>5.9614492945618339E-3</v>
      </c>
      <c r="L17" s="40">
        <f t="shared" si="2"/>
        <v>3.7999999999999887</v>
      </c>
      <c r="M17" s="41">
        <f t="shared" si="3"/>
        <v>2.5170563688149888E-2</v>
      </c>
      <c r="N17" s="42">
        <f t="shared" si="0"/>
        <v>2301.9639999999931</v>
      </c>
      <c r="O17" s="43" t="s">
        <v>57</v>
      </c>
      <c r="P17" s="69" t="s">
        <v>235</v>
      </c>
      <c r="Q17" s="44"/>
      <c r="R17" s="45" t="s">
        <v>95</v>
      </c>
    </row>
    <row r="18" spans="1:18" s="46" customFormat="1" ht="24.95" customHeight="1" x14ac:dyDescent="0.25">
      <c r="A18" s="47">
        <v>7</v>
      </c>
      <c r="B18" s="35" t="s">
        <v>124</v>
      </c>
      <c r="C18" s="36">
        <v>498.66480000000001</v>
      </c>
      <c r="D18" s="37">
        <v>36.47</v>
      </c>
      <c r="E18" s="37">
        <v>36.630000000000003</v>
      </c>
      <c r="F18" s="37">
        <v>4.8600000000000003</v>
      </c>
      <c r="G18" s="36">
        <v>692.59</v>
      </c>
      <c r="H18" s="38">
        <f t="shared" si="1"/>
        <v>1.1376473814093777</v>
      </c>
      <c r="I18" s="36">
        <v>3476.8018000000025</v>
      </c>
      <c r="J18" s="37">
        <v>0.72</v>
      </c>
      <c r="K18" s="39">
        <f t="shared" si="4"/>
        <v>1.9742253907321084E-2</v>
      </c>
      <c r="L18" s="40">
        <f>((E18+F18)-D18)-J18</f>
        <v>4.3000000000000034</v>
      </c>
      <c r="M18" s="41">
        <f t="shared" si="3"/>
        <v>0.11790512750205658</v>
      </c>
      <c r="N18" s="42">
        <f t="shared" si="0"/>
        <v>2978.1370000000024</v>
      </c>
      <c r="O18" s="43" t="s">
        <v>57</v>
      </c>
      <c r="P18" s="69" t="s">
        <v>67</v>
      </c>
      <c r="Q18" s="44"/>
      <c r="R18" s="45" t="s">
        <v>121</v>
      </c>
    </row>
    <row r="19" spans="1:18" s="46" customFormat="1" ht="24.95" customHeight="1" x14ac:dyDescent="0.25">
      <c r="A19" s="34">
        <v>8</v>
      </c>
      <c r="B19" s="35" t="s">
        <v>156</v>
      </c>
      <c r="C19" s="36">
        <v>323.39519999999999</v>
      </c>
      <c r="D19" s="37">
        <v>206.99</v>
      </c>
      <c r="E19" s="37">
        <v>217.18</v>
      </c>
      <c r="F19" s="37">
        <v>0</v>
      </c>
      <c r="G19" s="36">
        <v>189.12</v>
      </c>
      <c r="H19" s="38">
        <f t="shared" si="1"/>
        <v>1.0492294313734962</v>
      </c>
      <c r="I19" s="36">
        <v>1927.1327999999996</v>
      </c>
      <c r="J19" s="37">
        <v>1.71</v>
      </c>
      <c r="K19" s="39">
        <f t="shared" si="4"/>
        <v>8.2612686603217543E-3</v>
      </c>
      <c r="L19" s="40">
        <f t="shared" si="2"/>
        <v>8.4799999999999969</v>
      </c>
      <c r="M19" s="41">
        <f t="shared" si="3"/>
        <v>4.0968162713174536E-2</v>
      </c>
      <c r="N19" s="42">
        <f t="shared" si="0"/>
        <v>1603.7375999999995</v>
      </c>
      <c r="O19" s="43" t="s">
        <v>57</v>
      </c>
      <c r="P19" s="69" t="s">
        <v>235</v>
      </c>
      <c r="Q19" s="44"/>
      <c r="R19" s="45" t="s">
        <v>157</v>
      </c>
    </row>
    <row r="20" spans="1:18" s="46" customFormat="1" ht="24.95" customHeight="1" x14ac:dyDescent="0.25">
      <c r="A20" s="47">
        <v>9</v>
      </c>
      <c r="B20" s="35" t="s">
        <v>76</v>
      </c>
      <c r="C20" s="36">
        <v>309.44639999999998</v>
      </c>
      <c r="D20" s="37">
        <v>47.46</v>
      </c>
      <c r="E20" s="37">
        <v>50.3</v>
      </c>
      <c r="F20" s="37">
        <v>0</v>
      </c>
      <c r="G20" s="36">
        <v>108.96</v>
      </c>
      <c r="H20" s="38">
        <f t="shared" si="1"/>
        <v>1.0598398651495995</v>
      </c>
      <c r="I20" s="36">
        <v>309.44639999999958</v>
      </c>
      <c r="J20" s="37">
        <v>2.84</v>
      </c>
      <c r="K20" s="39">
        <f t="shared" si="4"/>
        <v>5.9839865149599658E-2</v>
      </c>
      <c r="L20" s="40">
        <f t="shared" si="2"/>
        <v>-3.5527136788005009E-15</v>
      </c>
      <c r="M20" s="41">
        <f t="shared" si="3"/>
        <v>-7.4857009667098633E-17</v>
      </c>
      <c r="N20" s="42">
        <f t="shared" si="0"/>
        <v>-3.8710368244210256E-13</v>
      </c>
      <c r="O20" s="43" t="s">
        <v>57</v>
      </c>
      <c r="P20" s="69" t="s">
        <v>67</v>
      </c>
      <c r="Q20" s="44"/>
      <c r="R20" s="45" t="s">
        <v>77</v>
      </c>
    </row>
    <row r="21" spans="1:18" s="46" customFormat="1" ht="24.95" customHeight="1" thickBot="1" x14ac:dyDescent="0.3">
      <c r="A21" s="48">
        <v>10</v>
      </c>
      <c r="B21" s="49" t="s">
        <v>103</v>
      </c>
      <c r="C21" s="50">
        <v>303.12119999999999</v>
      </c>
      <c r="D21" s="51">
        <v>30.27</v>
      </c>
      <c r="E21" s="51">
        <v>31.75</v>
      </c>
      <c r="F21" s="51">
        <v>0</v>
      </c>
      <c r="G21" s="50">
        <v>248.46</v>
      </c>
      <c r="H21" s="52">
        <f t="shared" si="1"/>
        <v>1.0488932936901223</v>
      </c>
      <c r="I21" s="50">
        <v>367.72080000000011</v>
      </c>
      <c r="J21" s="51">
        <v>1.22</v>
      </c>
      <c r="K21" s="53">
        <f t="shared" si="4"/>
        <v>4.0303931285100757E-2</v>
      </c>
      <c r="L21" s="54">
        <f t="shared" si="2"/>
        <v>0.26000000000000045</v>
      </c>
      <c r="M21" s="55">
        <f t="shared" si="3"/>
        <v>8.5893624050214883E-3</v>
      </c>
      <c r="N21" s="56">
        <f t="shared" si="0"/>
        <v>64.599600000000109</v>
      </c>
      <c r="O21" s="57" t="s">
        <v>57</v>
      </c>
      <c r="P21" s="57" t="s">
        <v>235</v>
      </c>
      <c r="Q21" s="57"/>
      <c r="R21" s="58" t="s">
        <v>58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124</v>
      </c>
      <c r="C28" s="36">
        <v>2978.1370000000024</v>
      </c>
      <c r="D28" s="37">
        <v>36.47</v>
      </c>
      <c r="E28" s="37">
        <v>36.630000000000003</v>
      </c>
      <c r="F28" s="37">
        <v>4.8600000000000003</v>
      </c>
      <c r="G28" s="36">
        <v>692.59</v>
      </c>
      <c r="H28" s="68">
        <f t="shared" ref="H28:H37" si="5">(E28+F28)/D28</f>
        <v>1.1376473814093777</v>
      </c>
      <c r="I28" s="36">
        <v>3476.8018000000025</v>
      </c>
      <c r="J28" s="37">
        <v>0.72</v>
      </c>
      <c r="K28" s="39">
        <f t="shared" ref="K28:K37" si="6">J28/D28</f>
        <v>1.9742253907321084E-2</v>
      </c>
      <c r="L28" s="42">
        <f t="shared" ref="L28:L37" si="7">J28*G28</f>
        <v>498.66480000000001</v>
      </c>
      <c r="M28" s="40">
        <f t="shared" ref="M28:M37" si="8">((E28+F28)-D28)-J28</f>
        <v>4.3000000000000034</v>
      </c>
      <c r="N28" s="41">
        <f t="shared" ref="N28:N37" si="9">M28/D28</f>
        <v>0.11790512750205658</v>
      </c>
      <c r="O28" s="43" t="s">
        <v>83</v>
      </c>
      <c r="P28" s="69" t="s">
        <v>235</v>
      </c>
      <c r="Q28" s="44"/>
      <c r="R28" s="45" t="s">
        <v>121</v>
      </c>
    </row>
    <row r="29" spans="1:18" s="67" customFormat="1" ht="24.95" customHeight="1" x14ac:dyDescent="0.25">
      <c r="A29" s="47">
        <v>2</v>
      </c>
      <c r="B29" s="35" t="s">
        <v>132</v>
      </c>
      <c r="C29" s="36">
        <v>2553.7400000000016</v>
      </c>
      <c r="D29" s="37">
        <v>46.4</v>
      </c>
      <c r="E29" s="37">
        <v>49.26</v>
      </c>
      <c r="F29" s="37">
        <v>1.2</v>
      </c>
      <c r="G29" s="36">
        <v>629</v>
      </c>
      <c r="H29" s="68">
        <f t="shared" si="5"/>
        <v>1.0875000000000001</v>
      </c>
      <c r="I29" s="36">
        <v>2553.7400000000016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4.0600000000000023</v>
      </c>
      <c r="N29" s="41">
        <f t="shared" si="9"/>
        <v>8.750000000000005E-2</v>
      </c>
      <c r="O29" s="43" t="s">
        <v>83</v>
      </c>
      <c r="P29" s="69" t="s">
        <v>235</v>
      </c>
      <c r="Q29" s="44"/>
      <c r="R29" s="45" t="s">
        <v>70</v>
      </c>
    </row>
    <row r="30" spans="1:18" s="67" customFormat="1" ht="24.95" customHeight="1" x14ac:dyDescent="0.25">
      <c r="A30" s="47">
        <v>3</v>
      </c>
      <c r="B30" s="35" t="s">
        <v>94</v>
      </c>
      <c r="C30" s="36">
        <v>2301.9639999999927</v>
      </c>
      <c r="D30" s="37">
        <v>150.97</v>
      </c>
      <c r="E30" s="37">
        <v>150.94</v>
      </c>
      <c r="F30" s="37">
        <v>4.7300000000000004</v>
      </c>
      <c r="G30" s="36">
        <v>605.78</v>
      </c>
      <c r="H30" s="68">
        <f t="shared" si="5"/>
        <v>1.0311320129827117</v>
      </c>
      <c r="I30" s="36">
        <v>2847.1659999999929</v>
      </c>
      <c r="J30" s="37">
        <v>0.9</v>
      </c>
      <c r="K30" s="39">
        <f t="shared" si="6"/>
        <v>5.9614492945618339E-3</v>
      </c>
      <c r="L30" s="42">
        <f t="shared" si="7"/>
        <v>545.202</v>
      </c>
      <c r="M30" s="40">
        <f t="shared" si="8"/>
        <v>3.7999999999999887</v>
      </c>
      <c r="N30" s="41">
        <f t="shared" si="9"/>
        <v>2.5170563688149888E-2</v>
      </c>
      <c r="O30" s="43" t="s">
        <v>83</v>
      </c>
      <c r="P30" s="44" t="s">
        <v>60</v>
      </c>
      <c r="Q30" s="44" t="s">
        <v>87</v>
      </c>
      <c r="R30" s="45" t="s">
        <v>95</v>
      </c>
    </row>
    <row r="31" spans="1:18" s="67" customFormat="1" ht="24.95" customHeight="1" x14ac:dyDescent="0.25">
      <c r="A31" s="34">
        <v>4</v>
      </c>
      <c r="B31" s="35" t="s">
        <v>82</v>
      </c>
      <c r="C31" s="36">
        <v>2041.9054999999951</v>
      </c>
      <c r="D31" s="37">
        <v>487.98</v>
      </c>
      <c r="E31" s="37">
        <v>482</v>
      </c>
      <c r="F31" s="37">
        <v>19.829999999999998</v>
      </c>
      <c r="G31" s="36">
        <v>147.43</v>
      </c>
      <c r="H31" s="68">
        <f t="shared" si="5"/>
        <v>1.0283823107504406</v>
      </c>
      <c r="I31" s="36">
        <v>2041.9054999999951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13.849999999999966</v>
      </c>
      <c r="N31" s="41">
        <f t="shared" si="9"/>
        <v>2.838231075044052E-2</v>
      </c>
      <c r="O31" s="43" t="s">
        <v>83</v>
      </c>
      <c r="P31" s="69" t="s">
        <v>84</v>
      </c>
      <c r="Q31" s="44" t="s">
        <v>85</v>
      </c>
      <c r="R31" s="45" t="s">
        <v>58</v>
      </c>
    </row>
    <row r="32" spans="1:18" s="67" customFormat="1" ht="24.95" customHeight="1" x14ac:dyDescent="0.25">
      <c r="A32" s="47">
        <v>5</v>
      </c>
      <c r="B32" s="35" t="s">
        <v>127</v>
      </c>
      <c r="C32" s="36">
        <v>1851.8346000000074</v>
      </c>
      <c r="D32" s="37">
        <v>91.82</v>
      </c>
      <c r="E32" s="37">
        <v>89.76</v>
      </c>
      <c r="F32" s="37">
        <v>6.4</v>
      </c>
      <c r="G32" s="36">
        <v>426.69</v>
      </c>
      <c r="H32" s="68">
        <f t="shared" si="5"/>
        <v>1.0472663907645394</v>
      </c>
      <c r="I32" s="36">
        <v>1851.8346000000074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4.3400000000000176</v>
      </c>
      <c r="N32" s="41">
        <f t="shared" si="9"/>
        <v>4.7266390764539513E-2</v>
      </c>
      <c r="O32" s="43" t="s">
        <v>83</v>
      </c>
      <c r="P32" s="69" t="s">
        <v>235</v>
      </c>
      <c r="Q32" s="44"/>
      <c r="R32" s="45" t="s">
        <v>128</v>
      </c>
    </row>
    <row r="33" spans="1:18" s="67" customFormat="1" ht="24.95" customHeight="1" x14ac:dyDescent="0.25">
      <c r="A33" s="34">
        <v>6</v>
      </c>
      <c r="B33" s="35" t="s">
        <v>110</v>
      </c>
      <c r="C33" s="36">
        <v>1811.1632000000036</v>
      </c>
      <c r="D33" s="37">
        <v>90.8</v>
      </c>
      <c r="E33" s="37">
        <v>90.64</v>
      </c>
      <c r="F33" s="37">
        <v>5.04</v>
      </c>
      <c r="G33" s="36">
        <v>371.14</v>
      </c>
      <c r="H33" s="68">
        <f t="shared" si="5"/>
        <v>1.0537444933920705</v>
      </c>
      <c r="I33" s="36">
        <v>1811.1632000000036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4.8800000000000097</v>
      </c>
      <c r="N33" s="41">
        <f t="shared" si="9"/>
        <v>5.3744493392070596E-2</v>
      </c>
      <c r="O33" s="43" t="s">
        <v>83</v>
      </c>
      <c r="P33" s="69" t="s">
        <v>235</v>
      </c>
      <c r="Q33" s="44"/>
      <c r="R33" s="45" t="s">
        <v>58</v>
      </c>
    </row>
    <row r="34" spans="1:18" s="67" customFormat="1" ht="24.95" customHeight="1" x14ac:dyDescent="0.25">
      <c r="A34" s="47">
        <v>7</v>
      </c>
      <c r="B34" s="35" t="s">
        <v>156</v>
      </c>
      <c r="C34" s="36">
        <v>1603.7375999999997</v>
      </c>
      <c r="D34" s="37">
        <v>206.99</v>
      </c>
      <c r="E34" s="37">
        <v>217.18</v>
      </c>
      <c r="F34" s="37">
        <v>0</v>
      </c>
      <c r="G34" s="36">
        <v>189.12</v>
      </c>
      <c r="H34" s="68">
        <f t="shared" si="5"/>
        <v>1.0492294313734962</v>
      </c>
      <c r="I34" s="36">
        <v>1927.1327999999996</v>
      </c>
      <c r="J34" s="37">
        <v>1.71</v>
      </c>
      <c r="K34" s="39">
        <f t="shared" si="6"/>
        <v>8.2612686603217543E-3</v>
      </c>
      <c r="L34" s="42">
        <f t="shared" si="7"/>
        <v>323.39519999999999</v>
      </c>
      <c r="M34" s="40">
        <f t="shared" si="8"/>
        <v>8.4799999999999969</v>
      </c>
      <c r="N34" s="41">
        <f t="shared" si="9"/>
        <v>4.0968162713174536E-2</v>
      </c>
      <c r="O34" s="43" t="s">
        <v>83</v>
      </c>
      <c r="P34" s="69" t="s">
        <v>235</v>
      </c>
      <c r="Q34" s="44"/>
      <c r="R34" s="45" t="s">
        <v>157</v>
      </c>
    </row>
    <row r="35" spans="1:18" s="67" customFormat="1" ht="24.95" customHeight="1" x14ac:dyDescent="0.25">
      <c r="A35" s="34">
        <v>8</v>
      </c>
      <c r="B35" s="35" t="s">
        <v>86</v>
      </c>
      <c r="C35" s="36">
        <v>1577.9633999999978</v>
      </c>
      <c r="D35" s="37">
        <v>3819.54</v>
      </c>
      <c r="E35" s="37">
        <v>3859.6</v>
      </c>
      <c r="F35" s="37">
        <v>0</v>
      </c>
      <c r="G35" s="36">
        <v>39.39</v>
      </c>
      <c r="H35" s="68">
        <f t="shared" si="5"/>
        <v>1.0104881739685931</v>
      </c>
      <c r="I35" s="36">
        <v>1577.9633999999978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40.059999999999945</v>
      </c>
      <c r="N35" s="41">
        <f t="shared" si="9"/>
        <v>1.0488173968593062E-2</v>
      </c>
      <c r="O35" s="43" t="s">
        <v>83</v>
      </c>
      <c r="P35" s="44" t="s">
        <v>60</v>
      </c>
      <c r="Q35" s="44" t="s">
        <v>87</v>
      </c>
      <c r="R35" s="45" t="s">
        <v>58</v>
      </c>
    </row>
    <row r="36" spans="1:18" s="67" customFormat="1" ht="24.95" customHeight="1" x14ac:dyDescent="0.25">
      <c r="A36" s="47">
        <v>9</v>
      </c>
      <c r="B36" s="35" t="s">
        <v>99</v>
      </c>
      <c r="C36" s="36">
        <v>1122.8154000000015</v>
      </c>
      <c r="D36" s="37">
        <v>20.79</v>
      </c>
      <c r="E36" s="37">
        <v>19.96</v>
      </c>
      <c r="F36" s="37">
        <v>2.64</v>
      </c>
      <c r="G36" s="36">
        <v>620.34</v>
      </c>
      <c r="H36" s="68">
        <f t="shared" si="5"/>
        <v>1.0870610870610873</v>
      </c>
      <c r="I36" s="36">
        <v>1122.8154000000015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1.8100000000000023</v>
      </c>
      <c r="N36" s="41">
        <f t="shared" si="9"/>
        <v>8.7061087061087172E-2</v>
      </c>
      <c r="O36" s="43" t="s">
        <v>97</v>
      </c>
      <c r="P36" s="69" t="s">
        <v>235</v>
      </c>
      <c r="Q36" s="44"/>
      <c r="R36" s="45" t="s">
        <v>100</v>
      </c>
    </row>
    <row r="37" spans="1:18" s="67" customFormat="1" ht="24.95" customHeight="1" thickBot="1" x14ac:dyDescent="0.3">
      <c r="A37" s="48">
        <v>10</v>
      </c>
      <c r="B37" s="49" t="s">
        <v>91</v>
      </c>
      <c r="C37" s="50">
        <v>998.49689999999873</v>
      </c>
      <c r="D37" s="51">
        <v>432.23</v>
      </c>
      <c r="E37" s="51">
        <v>420.38</v>
      </c>
      <c r="F37" s="51">
        <v>42.08</v>
      </c>
      <c r="G37" s="50">
        <v>33.03</v>
      </c>
      <c r="H37" s="70">
        <f t="shared" si="5"/>
        <v>1.0699396154824976</v>
      </c>
      <c r="I37" s="50">
        <v>998.49689999999873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30.229999999999961</v>
      </c>
      <c r="N37" s="55">
        <f t="shared" si="9"/>
        <v>6.993961548249765E-2</v>
      </c>
      <c r="O37" s="57" t="s">
        <v>97</v>
      </c>
      <c r="P37" s="71" t="s">
        <v>235</v>
      </c>
      <c r="Q37" s="72"/>
      <c r="R37" s="58" t="s">
        <v>77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103</v>
      </c>
      <c r="C44" s="36">
        <v>303.12119999999999</v>
      </c>
      <c r="D44" s="78">
        <f t="shared" ref="D44:D53" si="10">C44/$L$5</f>
        <v>0.18555353432723734</v>
      </c>
      <c r="E44" s="79"/>
    </row>
    <row r="45" spans="1:18" s="80" customFormat="1" ht="24.95" customHeight="1" x14ac:dyDescent="0.25">
      <c r="A45" s="81">
        <v>2</v>
      </c>
      <c r="B45" s="35" t="s">
        <v>126</v>
      </c>
      <c r="C45" s="36">
        <v>296.55</v>
      </c>
      <c r="D45" s="78">
        <f t="shared" si="10"/>
        <v>0.1815310199509049</v>
      </c>
      <c r="E45" s="79"/>
    </row>
    <row r="46" spans="1:18" s="80" customFormat="1" ht="24.95" customHeight="1" x14ac:dyDescent="0.25">
      <c r="A46" s="81">
        <v>3</v>
      </c>
      <c r="B46" s="35" t="s">
        <v>105</v>
      </c>
      <c r="C46" s="36">
        <v>294</v>
      </c>
      <c r="D46" s="78">
        <f t="shared" si="10"/>
        <v>0.17997005518653192</v>
      </c>
      <c r="E46" s="79"/>
    </row>
    <row r="47" spans="1:18" s="80" customFormat="1" ht="24.95" customHeight="1" x14ac:dyDescent="0.25">
      <c r="A47" s="77">
        <v>4</v>
      </c>
      <c r="B47" s="35" t="s">
        <v>104</v>
      </c>
      <c r="C47" s="36">
        <v>214.10999999999999</v>
      </c>
      <c r="D47" s="78">
        <f t="shared" si="10"/>
        <v>0.13106594733329369</v>
      </c>
      <c r="E47" s="79"/>
    </row>
    <row r="48" spans="1:18" s="80" customFormat="1" ht="24.95" customHeight="1" x14ac:dyDescent="0.25">
      <c r="A48" s="81">
        <v>5</v>
      </c>
      <c r="B48" s="35" t="s">
        <v>109</v>
      </c>
      <c r="C48" s="36">
        <v>101.36</v>
      </c>
      <c r="D48" s="78">
        <f t="shared" si="10"/>
        <v>6.2046819026213861E-2</v>
      </c>
      <c r="E48" s="79"/>
    </row>
    <row r="49" spans="1:5" s="80" customFormat="1" ht="24.95" customHeight="1" x14ac:dyDescent="0.25">
      <c r="A49" s="77">
        <v>6</v>
      </c>
      <c r="B49" s="35" t="s">
        <v>108</v>
      </c>
      <c r="C49" s="36">
        <v>95.587500000000006</v>
      </c>
      <c r="D49" s="78">
        <f t="shared" si="10"/>
        <v>5.8513223299804837E-2</v>
      </c>
      <c r="E49" s="79"/>
    </row>
    <row r="50" spans="1:5" s="80" customFormat="1" ht="24.95" customHeight="1" x14ac:dyDescent="0.25">
      <c r="A50" s="81">
        <v>7</v>
      </c>
      <c r="B50" s="35" t="s">
        <v>73</v>
      </c>
      <c r="C50" s="36">
        <v>78.935000000000002</v>
      </c>
      <c r="D50" s="78">
        <f t="shared" si="10"/>
        <v>4.8319511245404415E-2</v>
      </c>
      <c r="E50" s="79"/>
    </row>
    <row r="51" spans="1:5" s="80" customFormat="1" ht="24.95" customHeight="1" x14ac:dyDescent="0.25">
      <c r="A51" s="77">
        <v>8</v>
      </c>
      <c r="B51" s="35" t="s">
        <v>106</v>
      </c>
      <c r="C51" s="36">
        <v>64.884</v>
      </c>
      <c r="D51" s="78">
        <f t="shared" si="10"/>
        <v>3.9718289322186864E-2</v>
      </c>
      <c r="E51" s="79"/>
    </row>
    <row r="52" spans="1:5" s="80" customFormat="1" ht="24.95" customHeight="1" x14ac:dyDescent="0.25">
      <c r="A52" s="81">
        <v>9</v>
      </c>
      <c r="B52" s="35" t="s">
        <v>56</v>
      </c>
      <c r="C52" s="36">
        <v>63.92</v>
      </c>
      <c r="D52" s="78">
        <f t="shared" si="10"/>
        <v>3.9128183426949389E-2</v>
      </c>
      <c r="E52" s="79"/>
    </row>
    <row r="53" spans="1:5" s="80" customFormat="1" ht="24.95" customHeight="1" thickBot="1" x14ac:dyDescent="0.3">
      <c r="A53" s="82">
        <v>10</v>
      </c>
      <c r="B53" s="49" t="s">
        <v>145</v>
      </c>
      <c r="C53" s="50">
        <v>48.0154</v>
      </c>
      <c r="D53" s="83">
        <f t="shared" si="10"/>
        <v>2.9392293155793895E-2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41" priority="34" operator="containsText" text="中華">
      <formula>NOT(ISERROR(SEARCH("中華",A12)))</formula>
    </cfRule>
    <cfRule type="containsText" dxfId="440" priority="33" operator="containsText" text="湯凍">
      <formula>NOT(ISERROR(SEARCH("湯凍",A12)))</formula>
    </cfRule>
    <cfRule type="containsText" dxfId="439" priority="32" operator="containsText" text=")川燙小青花菜">
      <formula>NOT(ISERROR(SEARCH(")川燙小青花菜",A12)))</formula>
    </cfRule>
    <cfRule type="containsText" dxfId="438" priority="31" operator="containsText" text="青蔥">
      <formula>NOT(ISERROR(SEARCH("青蔥",A12)))</formula>
    </cfRule>
    <cfRule type="containsText" dxfId="437" priority="30" operator="containsText" text="白醬">
      <formula>NOT(ISERROR(SEARCH("白醬",A12)))</formula>
    </cfRule>
    <cfRule type="containsText" dxfId="436" priority="29" operator="containsText" text="024">
      <formula>NOT(ISERROR(SEARCH("024",A12)))</formula>
    </cfRule>
    <cfRule type="containsText" dxfId="435" priority="28" operator="containsText" text="煮白細麵生(方#12)">
      <formula>NOT(ISERROR(SEARCH("煮白細麵生(方#12)",A12)))</formula>
    </cfRule>
    <cfRule type="containsText" dxfId="434" priority="27" operator="containsText" text="綠豆芽">
      <formula>NOT(ISERROR(SEARCH("綠豆芽",A12)))</formula>
    </cfRule>
  </conditionalFormatting>
  <conditionalFormatting sqref="A28:A37">
    <cfRule type="containsText" dxfId="433" priority="5" operator="containsText" text="綠豆芽">
      <formula>NOT(ISERROR(SEARCH("綠豆芽",A28)))</formula>
    </cfRule>
    <cfRule type="containsText" dxfId="432" priority="6" operator="containsText" text="煮白細麵生(方#12)">
      <formula>NOT(ISERROR(SEARCH("煮白細麵生(方#12)",A28)))</formula>
    </cfRule>
    <cfRule type="containsText" dxfId="431" priority="7" operator="containsText" text="024">
      <formula>NOT(ISERROR(SEARCH("024",A28)))</formula>
    </cfRule>
    <cfRule type="containsText" dxfId="430" priority="8" operator="containsText" text="白醬">
      <formula>NOT(ISERROR(SEARCH("白醬",A28)))</formula>
    </cfRule>
    <cfRule type="containsText" dxfId="429" priority="9" operator="containsText" text="青蔥">
      <formula>NOT(ISERROR(SEARCH("青蔥",A28)))</formula>
    </cfRule>
    <cfRule type="containsText" dxfId="428" priority="10" operator="containsText" text=")川燙小青花菜">
      <formula>NOT(ISERROR(SEARCH(")川燙小青花菜",A28)))</formula>
    </cfRule>
    <cfRule type="containsText" dxfId="427" priority="11" operator="containsText" text="湯凍">
      <formula>NOT(ISERROR(SEARCH("湯凍",A28)))</formula>
    </cfRule>
    <cfRule type="containsText" dxfId="426" priority="12" operator="containsText" text="中華">
      <formula>NOT(ISERROR(SEARCH("中華",A28)))</formula>
    </cfRule>
  </conditionalFormatting>
  <conditionalFormatting sqref="A44:A53">
    <cfRule type="containsText" dxfId="425" priority="17" operator="containsText" text="綠豆芽">
      <formula>NOT(ISERROR(SEARCH("綠豆芽",A44)))</formula>
    </cfRule>
    <cfRule type="containsText" dxfId="424" priority="18" operator="containsText" text="煮白細麵生(方#12)">
      <formula>NOT(ISERROR(SEARCH("煮白細麵生(方#12)",A44)))</formula>
    </cfRule>
    <cfRule type="containsText" dxfId="423" priority="19" operator="containsText" text="024">
      <formula>NOT(ISERROR(SEARCH("024",A44)))</formula>
    </cfRule>
    <cfRule type="containsText" dxfId="422" priority="20" operator="containsText" text="白醬">
      <formula>NOT(ISERROR(SEARCH("白醬",A44)))</formula>
    </cfRule>
    <cfRule type="containsText" dxfId="421" priority="21" operator="containsText" text="青蔥">
      <formula>NOT(ISERROR(SEARCH("青蔥",A44)))</formula>
    </cfRule>
    <cfRule type="containsText" dxfId="420" priority="22" operator="containsText" text=")川燙小青花菜">
      <formula>NOT(ISERROR(SEARCH(")川燙小青花菜",A44)))</formula>
    </cfRule>
    <cfRule type="containsText" dxfId="419" priority="23" operator="containsText" text="湯凍">
      <formula>NOT(ISERROR(SEARCH("湯凍",A44)))</formula>
    </cfRule>
    <cfRule type="containsText" dxfId="418" priority="24" operator="containsText" text="中華">
      <formula>NOT(ISERROR(SEARCH("中華",A44)))</formula>
    </cfRule>
  </conditionalFormatting>
  <conditionalFormatting sqref="D44:D53">
    <cfRule type="cellIs" dxfId="417" priority="16" operator="greaterThan">
      <formula>0.146</formula>
    </cfRule>
  </conditionalFormatting>
  <conditionalFormatting sqref="E5">
    <cfRule type="cellIs" dxfId="416" priority="25" operator="greaterThan">
      <formula>0.072</formula>
    </cfRule>
    <cfRule type="cellIs" dxfId="415" priority="26" operator="greaterThan">
      <formula>7.2</formula>
    </cfRule>
    <cfRule type="cellIs" dxfId="414" priority="14" operator="greaterThan">
      <formula>0.0025</formula>
    </cfRule>
  </conditionalFormatting>
  <conditionalFormatting sqref="G5">
    <cfRule type="cellIs" dxfId="413" priority="3" operator="greaterThan">
      <formula>7.2</formula>
    </cfRule>
    <cfRule type="cellIs" dxfId="412" priority="2" operator="greaterThan">
      <formula>0.072</formula>
    </cfRule>
    <cfRule type="cellIs" dxfId="411" priority="1" operator="greaterThan">
      <formula>0.0025</formula>
    </cfRule>
  </conditionalFormatting>
  <conditionalFormatting sqref="H12:H22">
    <cfRule type="cellIs" dxfId="410" priority="15" operator="greaterThan">
      <formula>1.1</formula>
    </cfRule>
  </conditionalFormatting>
  <conditionalFormatting sqref="H28:H37">
    <cfRule type="cellIs" dxfId="409" priority="4" operator="greaterThan">
      <formula>1.1</formula>
    </cfRule>
  </conditionalFormatting>
  <conditionalFormatting sqref="I5">
    <cfRule type="cellIs" dxfId="40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324A-0004-4B9A-981F-81B898979813}">
  <sheetPr>
    <tabColor rgb="FFFF0000"/>
    <pageSetUpPr fitToPage="1"/>
  </sheetPr>
  <dimension ref="A1:R56"/>
  <sheetViews>
    <sheetView topLeftCell="G13"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45911</v>
      </c>
      <c r="B3" s="149"/>
      <c r="C3" s="150">
        <v>6980689.6500000004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16847.966100000005</v>
      </c>
      <c r="E5" s="24">
        <f>D5/C3</f>
        <v>2.4135102611244153E-3</v>
      </c>
      <c r="F5" s="23">
        <v>49744.601600000045</v>
      </c>
      <c r="G5" s="25">
        <f>F5/C3</f>
        <v>7.1260296753057981E-3</v>
      </c>
      <c r="H5" s="26">
        <f>SUM(C12:C21)</f>
        <v>3838.4941999999996</v>
      </c>
      <c r="I5" s="27">
        <f>H5/D5</f>
        <v>0.2278313107479483</v>
      </c>
      <c r="J5" s="26">
        <f>SUM(C28:C37)</f>
        <v>19399.405400000018</v>
      </c>
      <c r="K5" s="28">
        <f>J5/F5</f>
        <v>0.38998011394265542</v>
      </c>
      <c r="L5" s="29">
        <v>2555.1956</v>
      </c>
      <c r="M5" s="30">
        <f>L5/D5</f>
        <v>0.1516619623302779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59</v>
      </c>
      <c r="C12" s="36">
        <v>927</v>
      </c>
      <c r="D12" s="37">
        <v>4544</v>
      </c>
      <c r="E12" s="37">
        <v>4604</v>
      </c>
      <c r="F12" s="37">
        <v>0</v>
      </c>
      <c r="G12" s="36">
        <v>15.45</v>
      </c>
      <c r="H12" s="38">
        <f>(E12+F12)/D12</f>
        <v>1.0132042253521127</v>
      </c>
      <c r="I12" s="36">
        <v>927</v>
      </c>
      <c r="J12" s="37">
        <v>60</v>
      </c>
      <c r="K12" s="39">
        <f>J12/D12</f>
        <v>1.3204225352112676E-2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73</v>
      </c>
      <c r="C13" s="36">
        <v>470.45260000000002</v>
      </c>
      <c r="D13" s="37">
        <v>335.5</v>
      </c>
      <c r="E13" s="37">
        <v>338.66</v>
      </c>
      <c r="F13" s="37">
        <v>0</v>
      </c>
      <c r="G13" s="36">
        <v>157.87</v>
      </c>
      <c r="H13" s="38">
        <f t="shared" ref="H13:H21" si="1">(E13+F13)/D13</f>
        <v>1.0094187779433681</v>
      </c>
      <c r="I13" s="36">
        <v>498.86920000000396</v>
      </c>
      <c r="J13" s="37">
        <v>2.98</v>
      </c>
      <c r="K13" s="39">
        <f>J13/D13</f>
        <v>8.8822652757078978E-3</v>
      </c>
      <c r="L13" s="40">
        <f t="shared" ref="L13:L21" si="2">((E13+F13)-D13)-J13</f>
        <v>0.18000000000002503</v>
      </c>
      <c r="M13" s="41">
        <f t="shared" ref="M13:M21" si="3">L13/D13</f>
        <v>5.3651266766028324E-4</v>
      </c>
      <c r="N13" s="42">
        <f t="shared" si="0"/>
        <v>28.416600000003953</v>
      </c>
      <c r="O13" s="43" t="s">
        <v>57</v>
      </c>
      <c r="P13" s="69" t="s">
        <v>235</v>
      </c>
      <c r="Q13" s="44"/>
      <c r="R13" s="45" t="s">
        <v>58</v>
      </c>
    </row>
    <row r="14" spans="1:18" s="46" customFormat="1" ht="24.95" customHeight="1" x14ac:dyDescent="0.25">
      <c r="A14" s="47">
        <v>3</v>
      </c>
      <c r="B14" s="35" t="s">
        <v>76</v>
      </c>
      <c r="C14" s="36">
        <v>319.25279999999998</v>
      </c>
      <c r="D14" s="37">
        <v>53.12</v>
      </c>
      <c r="E14" s="37">
        <v>56.34</v>
      </c>
      <c r="F14" s="37">
        <v>0</v>
      </c>
      <c r="G14" s="36">
        <v>108.96</v>
      </c>
      <c r="H14" s="38">
        <f>(E14+F14)/D14</f>
        <v>1.0606174698795181</v>
      </c>
      <c r="I14" s="36">
        <v>350.85120000000063</v>
      </c>
      <c r="J14" s="37">
        <v>2.93</v>
      </c>
      <c r="K14" s="39">
        <f t="shared" ref="K14:K21" si="4">J14/D14</f>
        <v>5.5158132530120488E-2</v>
      </c>
      <c r="L14" s="40">
        <f t="shared" si="2"/>
        <v>0.29000000000000581</v>
      </c>
      <c r="M14" s="41">
        <f t="shared" si="3"/>
        <v>5.4593373493976999E-3</v>
      </c>
      <c r="N14" s="42">
        <f t="shared" si="0"/>
        <v>31.59840000000063</v>
      </c>
      <c r="O14" s="43" t="s">
        <v>57</v>
      </c>
      <c r="P14" s="69" t="s">
        <v>67</v>
      </c>
      <c r="Q14" s="44"/>
      <c r="R14" s="45" t="s">
        <v>77</v>
      </c>
    </row>
    <row r="15" spans="1:18" s="46" customFormat="1" ht="24.95" customHeight="1" x14ac:dyDescent="0.25">
      <c r="A15" s="34">
        <v>4</v>
      </c>
      <c r="B15" s="35" t="s">
        <v>74</v>
      </c>
      <c r="C15" s="36">
        <v>306.47160000000002</v>
      </c>
      <c r="D15" s="37">
        <v>88.14</v>
      </c>
      <c r="E15" s="37">
        <v>89.82</v>
      </c>
      <c r="F15" s="37">
        <v>0</v>
      </c>
      <c r="G15" s="36">
        <v>189.18</v>
      </c>
      <c r="H15" s="38">
        <f>(E15+F15)/D15</f>
        <v>1.0190605854322667</v>
      </c>
      <c r="I15" s="36">
        <v>317.82239999999859</v>
      </c>
      <c r="J15" s="37">
        <v>1.62</v>
      </c>
      <c r="K15" s="39">
        <f t="shared" si="4"/>
        <v>1.837985023825732E-2</v>
      </c>
      <c r="L15" s="40">
        <f t="shared" si="2"/>
        <v>5.9999999999992504E-2</v>
      </c>
      <c r="M15" s="41">
        <f t="shared" si="3"/>
        <v>6.8073519400944525E-4</v>
      </c>
      <c r="N15" s="42">
        <f t="shared" si="0"/>
        <v>11.350799999998582</v>
      </c>
      <c r="O15" s="43" t="s">
        <v>57</v>
      </c>
      <c r="P15" s="69" t="s">
        <v>235</v>
      </c>
      <c r="Q15" s="44"/>
      <c r="R15" s="45" t="s">
        <v>75</v>
      </c>
    </row>
    <row r="16" spans="1:18" s="46" customFormat="1" ht="24.95" customHeight="1" x14ac:dyDescent="0.25">
      <c r="A16" s="47">
        <v>5</v>
      </c>
      <c r="B16" s="35" t="s">
        <v>112</v>
      </c>
      <c r="C16" s="36">
        <v>305.76</v>
      </c>
      <c r="D16" s="37">
        <v>3564</v>
      </c>
      <c r="E16" s="37">
        <v>3214</v>
      </c>
      <c r="F16" s="37">
        <v>406</v>
      </c>
      <c r="G16" s="36">
        <v>5.46</v>
      </c>
      <c r="H16" s="38">
        <f t="shared" si="1"/>
        <v>1.015712682379349</v>
      </c>
      <c r="I16" s="36">
        <v>305.76</v>
      </c>
      <c r="J16" s="37">
        <v>56</v>
      </c>
      <c r="K16" s="39">
        <f t="shared" si="4"/>
        <v>1.5712682379349047E-2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3" t="s">
        <v>64</v>
      </c>
      <c r="Q16" s="44" t="s">
        <v>113</v>
      </c>
      <c r="R16" s="45" t="s">
        <v>98</v>
      </c>
    </row>
    <row r="17" spans="1:18" s="46" customFormat="1" ht="24.95" customHeight="1" x14ac:dyDescent="0.25">
      <c r="A17" s="34">
        <v>6</v>
      </c>
      <c r="B17" s="35" t="s">
        <v>146</v>
      </c>
      <c r="C17" s="36">
        <v>304.70399999999995</v>
      </c>
      <c r="D17" s="37">
        <v>38.049999999999997</v>
      </c>
      <c r="E17" s="37">
        <v>39.25</v>
      </c>
      <c r="F17" s="37">
        <v>0</v>
      </c>
      <c r="G17" s="36">
        <v>253.92</v>
      </c>
      <c r="H17" s="38">
        <f t="shared" si="1"/>
        <v>1.0315374507227333</v>
      </c>
      <c r="I17" s="36">
        <v>304.70400000000069</v>
      </c>
      <c r="J17" s="37">
        <v>1.2</v>
      </c>
      <c r="K17" s="39">
        <f t="shared" si="4"/>
        <v>3.153745072273325E-2</v>
      </c>
      <c r="L17" s="40">
        <f t="shared" si="2"/>
        <v>2.886579864025407E-15</v>
      </c>
      <c r="M17" s="41">
        <f t="shared" si="3"/>
        <v>7.5862808515779433E-17</v>
      </c>
      <c r="N17" s="42">
        <f t="shared" si="0"/>
        <v>7.3296035907333135E-13</v>
      </c>
      <c r="O17" s="43" t="s">
        <v>57</v>
      </c>
      <c r="P17" s="69" t="s">
        <v>235</v>
      </c>
      <c r="Q17" s="44"/>
      <c r="R17" s="45" t="s">
        <v>68</v>
      </c>
    </row>
    <row r="18" spans="1:18" s="46" customFormat="1" ht="24.95" customHeight="1" x14ac:dyDescent="0.25">
      <c r="A18" s="47">
        <v>7</v>
      </c>
      <c r="B18" s="35" t="s">
        <v>78</v>
      </c>
      <c r="C18" s="36">
        <v>302.59999999999997</v>
      </c>
      <c r="D18" s="37">
        <v>7374</v>
      </c>
      <c r="E18" s="37">
        <v>7730</v>
      </c>
      <c r="F18" s="37">
        <v>0</v>
      </c>
      <c r="G18" s="36">
        <v>0.85</v>
      </c>
      <c r="H18" s="38">
        <f t="shared" si="1"/>
        <v>1.0482777325739083</v>
      </c>
      <c r="I18" s="36">
        <v>302.59999999999997</v>
      </c>
      <c r="J18" s="37">
        <v>356</v>
      </c>
      <c r="K18" s="39">
        <f t="shared" si="4"/>
        <v>4.8277732573908327E-2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69" t="s">
        <v>235</v>
      </c>
      <c r="Q18" s="44"/>
      <c r="R18" s="45" t="s">
        <v>79</v>
      </c>
    </row>
    <row r="19" spans="1:18" s="46" customFormat="1" ht="24.95" customHeight="1" x14ac:dyDescent="0.25">
      <c r="A19" s="34">
        <v>8</v>
      </c>
      <c r="B19" s="35" t="s">
        <v>69</v>
      </c>
      <c r="C19" s="36">
        <v>301.78429999999997</v>
      </c>
      <c r="D19" s="37">
        <v>47.95</v>
      </c>
      <c r="E19" s="37">
        <v>50.74</v>
      </c>
      <c r="F19" s="37">
        <v>0</v>
      </c>
      <c r="G19" s="36">
        <v>153.19</v>
      </c>
      <c r="H19" s="38">
        <f t="shared" si="1"/>
        <v>1.0581856100104274</v>
      </c>
      <c r="I19" s="36">
        <v>427.40009999999984</v>
      </c>
      <c r="J19" s="37">
        <v>1.97</v>
      </c>
      <c r="K19" s="39">
        <f t="shared" si="4"/>
        <v>4.1084462982273195E-2</v>
      </c>
      <c r="L19" s="40">
        <f t="shared" si="2"/>
        <v>0.81999999999999917</v>
      </c>
      <c r="M19" s="41">
        <f t="shared" si="3"/>
        <v>1.7101147028154309E-2</v>
      </c>
      <c r="N19" s="42">
        <f t="shared" si="0"/>
        <v>125.61579999999987</v>
      </c>
      <c r="O19" s="43" t="s">
        <v>57</v>
      </c>
      <c r="P19" s="69" t="s">
        <v>67</v>
      </c>
      <c r="Q19" s="44"/>
      <c r="R19" s="45" t="s">
        <v>70</v>
      </c>
    </row>
    <row r="20" spans="1:18" s="46" customFormat="1" ht="24.95" customHeight="1" x14ac:dyDescent="0.25">
      <c r="A20" s="47">
        <v>9</v>
      </c>
      <c r="B20" s="35" t="s">
        <v>66</v>
      </c>
      <c r="C20" s="36">
        <v>301.18599999999998</v>
      </c>
      <c r="D20" s="37">
        <v>47.11</v>
      </c>
      <c r="E20" s="37">
        <v>49.14</v>
      </c>
      <c r="F20" s="37">
        <v>0</v>
      </c>
      <c r="G20" s="36">
        <v>183.65</v>
      </c>
      <c r="H20" s="38">
        <f t="shared" si="1"/>
        <v>1.0430906389301635</v>
      </c>
      <c r="I20" s="36">
        <v>372.80950000000024</v>
      </c>
      <c r="J20" s="37">
        <v>1.64</v>
      </c>
      <c r="K20" s="39">
        <f t="shared" si="4"/>
        <v>3.4812141795797072E-2</v>
      </c>
      <c r="L20" s="40">
        <f t="shared" si="2"/>
        <v>0.39000000000000123</v>
      </c>
      <c r="M20" s="41">
        <f t="shared" si="3"/>
        <v>8.2784971343664027E-3</v>
      </c>
      <c r="N20" s="42">
        <f t="shared" si="0"/>
        <v>71.623500000000234</v>
      </c>
      <c r="O20" s="43" t="s">
        <v>57</v>
      </c>
      <c r="P20" s="69" t="s">
        <v>235</v>
      </c>
      <c r="Q20" s="44"/>
      <c r="R20" s="45" t="s">
        <v>68</v>
      </c>
    </row>
    <row r="21" spans="1:18" s="46" customFormat="1" ht="24.95" customHeight="1" thickBot="1" x14ac:dyDescent="0.3">
      <c r="A21" s="48">
        <v>10</v>
      </c>
      <c r="B21" s="49" t="s">
        <v>82</v>
      </c>
      <c r="C21" s="50">
        <v>299.28289999999998</v>
      </c>
      <c r="D21" s="51">
        <v>678.37</v>
      </c>
      <c r="E21" s="51">
        <v>678.07</v>
      </c>
      <c r="F21" s="51">
        <v>41.7</v>
      </c>
      <c r="G21" s="50">
        <v>147.43</v>
      </c>
      <c r="H21" s="52">
        <f t="shared" si="1"/>
        <v>1.0610286421864177</v>
      </c>
      <c r="I21" s="50">
        <v>6103.6020000000135</v>
      </c>
      <c r="J21" s="51">
        <v>2.0299999999999998</v>
      </c>
      <c r="K21" s="53">
        <f t="shared" si="4"/>
        <v>2.9924672376431738E-3</v>
      </c>
      <c r="L21" s="54">
        <f t="shared" si="2"/>
        <v>39.37000000000009</v>
      </c>
      <c r="M21" s="55">
        <f t="shared" si="3"/>
        <v>5.8036174948774402E-2</v>
      </c>
      <c r="N21" s="56">
        <f t="shared" si="0"/>
        <v>5804.3191000000133</v>
      </c>
      <c r="O21" s="57" t="s">
        <v>57</v>
      </c>
      <c r="P21" s="57" t="s">
        <v>84</v>
      </c>
      <c r="Q21" s="57" t="s">
        <v>85</v>
      </c>
      <c r="R21" s="58" t="s">
        <v>58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82</v>
      </c>
      <c r="C28" s="36">
        <v>5804.3191000000133</v>
      </c>
      <c r="D28" s="37">
        <v>678.37</v>
      </c>
      <c r="E28" s="37">
        <v>678.07</v>
      </c>
      <c r="F28" s="37">
        <v>41.7</v>
      </c>
      <c r="G28" s="36">
        <v>147.43</v>
      </c>
      <c r="H28" s="68">
        <f t="shared" ref="H28:H37" si="5">(E28+F28)/D28</f>
        <v>1.0610286421864177</v>
      </c>
      <c r="I28" s="36">
        <v>6103.6020000000135</v>
      </c>
      <c r="J28" s="37">
        <v>2.0299999999999998</v>
      </c>
      <c r="K28" s="39">
        <f t="shared" ref="K28:K37" si="6">J28/D28</f>
        <v>2.9924672376431738E-3</v>
      </c>
      <c r="L28" s="42">
        <f t="shared" ref="L28:L37" si="7">J28*G28</f>
        <v>299.28289999999998</v>
      </c>
      <c r="M28" s="40">
        <f t="shared" ref="M28:M37" si="8">((E28+F28)-D28)-J28</f>
        <v>39.37000000000009</v>
      </c>
      <c r="N28" s="41">
        <f t="shared" ref="N28:N37" si="9">M28/D28</f>
        <v>5.8036174948774402E-2</v>
      </c>
      <c r="O28" s="43" t="s">
        <v>83</v>
      </c>
      <c r="P28" s="69" t="s">
        <v>84</v>
      </c>
      <c r="Q28" s="44" t="s">
        <v>85</v>
      </c>
      <c r="R28" s="45" t="s">
        <v>58</v>
      </c>
    </row>
    <row r="29" spans="1:18" s="67" customFormat="1" ht="24.95" customHeight="1" x14ac:dyDescent="0.25">
      <c r="A29" s="47">
        <v>2</v>
      </c>
      <c r="B29" s="35" t="s">
        <v>132</v>
      </c>
      <c r="C29" s="36">
        <v>3484.6599999999994</v>
      </c>
      <c r="D29" s="37">
        <v>54.8</v>
      </c>
      <c r="E29" s="37">
        <v>57.94</v>
      </c>
      <c r="F29" s="37">
        <v>2.4</v>
      </c>
      <c r="G29" s="36">
        <v>629</v>
      </c>
      <c r="H29" s="68">
        <f t="shared" si="5"/>
        <v>1.101094890510949</v>
      </c>
      <c r="I29" s="36">
        <v>3484.6599999999994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5.5399999999999991</v>
      </c>
      <c r="N29" s="41">
        <f t="shared" si="9"/>
        <v>0.1010948905109489</v>
      </c>
      <c r="O29" s="43" t="s">
        <v>83</v>
      </c>
      <c r="P29" s="69" t="s">
        <v>235</v>
      </c>
      <c r="Q29" s="44"/>
      <c r="R29" s="45" t="s">
        <v>70</v>
      </c>
    </row>
    <row r="30" spans="1:18" s="67" customFormat="1" ht="24.95" customHeight="1" x14ac:dyDescent="0.25">
      <c r="A30" s="47">
        <v>3</v>
      </c>
      <c r="B30" s="35" t="s">
        <v>131</v>
      </c>
      <c r="C30" s="36">
        <v>2357.8999999999978</v>
      </c>
      <c r="D30" s="37">
        <v>22.17</v>
      </c>
      <c r="E30" s="37">
        <v>25.4</v>
      </c>
      <c r="F30" s="37">
        <v>0</v>
      </c>
      <c r="G30" s="36">
        <v>730</v>
      </c>
      <c r="H30" s="68">
        <f t="shared" si="5"/>
        <v>1.1456923770861522</v>
      </c>
      <c r="I30" s="36">
        <v>2357.8999999999978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3.2299999999999969</v>
      </c>
      <c r="N30" s="41">
        <f t="shared" si="9"/>
        <v>0.14569237708615232</v>
      </c>
      <c r="O30" s="43" t="s">
        <v>83</v>
      </c>
      <c r="P30" s="69" t="s">
        <v>235</v>
      </c>
      <c r="Q30" s="44"/>
      <c r="R30" s="45" t="s">
        <v>123</v>
      </c>
    </row>
    <row r="31" spans="1:18" s="67" customFormat="1" ht="24.95" customHeight="1" x14ac:dyDescent="0.25">
      <c r="A31" s="34">
        <v>4</v>
      </c>
      <c r="B31" s="35" t="s">
        <v>124</v>
      </c>
      <c r="C31" s="36">
        <v>1495.9943999999978</v>
      </c>
      <c r="D31" s="37">
        <v>43.99</v>
      </c>
      <c r="E31" s="37">
        <v>40.75</v>
      </c>
      <c r="F31" s="37">
        <v>5.4</v>
      </c>
      <c r="G31" s="36">
        <v>692.59</v>
      </c>
      <c r="H31" s="68">
        <f t="shared" si="5"/>
        <v>1.0491020686519663</v>
      </c>
      <c r="I31" s="36">
        <v>1495.9943999999978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2.1599999999999966</v>
      </c>
      <c r="N31" s="41">
        <f t="shared" si="9"/>
        <v>4.9102068651966278E-2</v>
      </c>
      <c r="O31" s="43" t="s">
        <v>83</v>
      </c>
      <c r="P31" s="69" t="s">
        <v>235</v>
      </c>
      <c r="Q31" s="44"/>
      <c r="R31" s="45" t="s">
        <v>121</v>
      </c>
    </row>
    <row r="32" spans="1:18" s="67" customFormat="1" ht="24.95" customHeight="1" x14ac:dyDescent="0.25">
      <c r="A32" s="47">
        <v>5</v>
      </c>
      <c r="B32" s="35" t="s">
        <v>127</v>
      </c>
      <c r="C32" s="36">
        <v>1297.1376000000027</v>
      </c>
      <c r="D32" s="37">
        <v>112.88</v>
      </c>
      <c r="E32" s="37">
        <v>115.92</v>
      </c>
      <c r="F32" s="37">
        <v>0</v>
      </c>
      <c r="G32" s="36">
        <v>426.69</v>
      </c>
      <c r="H32" s="68">
        <f t="shared" si="5"/>
        <v>1.0269312544294826</v>
      </c>
      <c r="I32" s="36">
        <v>1297.1376000000027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3.0400000000000063</v>
      </c>
      <c r="N32" s="41">
        <f t="shared" si="9"/>
        <v>2.6931254429482694E-2</v>
      </c>
      <c r="O32" s="43" t="s">
        <v>83</v>
      </c>
      <c r="P32" s="44" t="s">
        <v>60</v>
      </c>
      <c r="Q32" s="44" t="s">
        <v>87</v>
      </c>
      <c r="R32" s="45" t="s">
        <v>128</v>
      </c>
    </row>
    <row r="33" spans="1:18" s="67" customFormat="1" ht="24.95" customHeight="1" x14ac:dyDescent="0.25">
      <c r="A33" s="34">
        <v>6</v>
      </c>
      <c r="B33" s="35" t="s">
        <v>86</v>
      </c>
      <c r="C33" s="36">
        <v>1203.3645000000072</v>
      </c>
      <c r="D33" s="37">
        <v>4404.75</v>
      </c>
      <c r="E33" s="37">
        <v>4371.7</v>
      </c>
      <c r="F33" s="37">
        <v>63.6</v>
      </c>
      <c r="G33" s="36">
        <v>39.39</v>
      </c>
      <c r="H33" s="68">
        <f t="shared" si="5"/>
        <v>1.0069356944207957</v>
      </c>
      <c r="I33" s="36">
        <v>1203.3645000000072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30.550000000000182</v>
      </c>
      <c r="N33" s="41">
        <f t="shared" si="9"/>
        <v>6.9356944207957733E-3</v>
      </c>
      <c r="O33" s="43" t="s">
        <v>83</v>
      </c>
      <c r="P33" s="44" t="s">
        <v>60</v>
      </c>
      <c r="Q33" s="44" t="s">
        <v>87</v>
      </c>
      <c r="R33" s="45" t="s">
        <v>58</v>
      </c>
    </row>
    <row r="34" spans="1:18" s="67" customFormat="1" ht="24.95" customHeight="1" x14ac:dyDescent="0.25">
      <c r="A34" s="47">
        <v>7</v>
      </c>
      <c r="B34" s="35" t="s">
        <v>167</v>
      </c>
      <c r="C34" s="36">
        <v>1027.5446999999992</v>
      </c>
      <c r="D34" s="37">
        <v>27.18</v>
      </c>
      <c r="E34" s="37">
        <v>27.93</v>
      </c>
      <c r="F34" s="37">
        <v>2.08</v>
      </c>
      <c r="G34" s="36">
        <v>363.09</v>
      </c>
      <c r="H34" s="68">
        <f t="shared" si="5"/>
        <v>1.1041206769683589</v>
      </c>
      <c r="I34" s="36">
        <v>1027.5446999999992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2.8299999999999983</v>
      </c>
      <c r="N34" s="41">
        <f t="shared" si="9"/>
        <v>0.10412067696835903</v>
      </c>
      <c r="O34" s="43" t="s">
        <v>83</v>
      </c>
      <c r="P34" s="69" t="s">
        <v>235</v>
      </c>
      <c r="Q34" s="44"/>
      <c r="R34" s="45" t="s">
        <v>155</v>
      </c>
    </row>
    <row r="35" spans="1:18" s="67" customFormat="1" ht="24.95" customHeight="1" x14ac:dyDescent="0.25">
      <c r="A35" s="34">
        <v>8</v>
      </c>
      <c r="B35" s="35" t="s">
        <v>142</v>
      </c>
      <c r="C35" s="36">
        <v>994.08510000000047</v>
      </c>
      <c r="D35" s="37">
        <v>92.87</v>
      </c>
      <c r="E35" s="37">
        <v>90.2</v>
      </c>
      <c r="F35" s="37">
        <v>11.4</v>
      </c>
      <c r="G35" s="36">
        <v>113.87</v>
      </c>
      <c r="H35" s="68">
        <f t="shared" si="5"/>
        <v>1.0940023689027674</v>
      </c>
      <c r="I35" s="36">
        <v>994.08510000000047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8.730000000000004</v>
      </c>
      <c r="N35" s="41">
        <f t="shared" si="9"/>
        <v>9.400236890276735E-2</v>
      </c>
      <c r="O35" s="43" t="s">
        <v>83</v>
      </c>
      <c r="P35" s="69" t="s">
        <v>235</v>
      </c>
      <c r="Q35" s="44"/>
      <c r="R35" s="45" t="s">
        <v>121</v>
      </c>
    </row>
    <row r="36" spans="1:18" s="67" customFormat="1" ht="24.95" customHeight="1" x14ac:dyDescent="0.25">
      <c r="A36" s="47">
        <v>9</v>
      </c>
      <c r="B36" s="35" t="s">
        <v>169</v>
      </c>
      <c r="C36" s="36">
        <v>878.4</v>
      </c>
      <c r="D36" s="37">
        <v>2520</v>
      </c>
      <c r="E36" s="37">
        <v>2700</v>
      </c>
      <c r="F36" s="37">
        <v>0</v>
      </c>
      <c r="G36" s="36">
        <v>4.88</v>
      </c>
      <c r="H36" s="68">
        <f t="shared" si="5"/>
        <v>1.0714285714285714</v>
      </c>
      <c r="I36" s="36">
        <v>878.4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180</v>
      </c>
      <c r="N36" s="41">
        <f t="shared" si="9"/>
        <v>7.1428571428571425E-2</v>
      </c>
      <c r="O36" s="43" t="s">
        <v>97</v>
      </c>
      <c r="P36" s="69" t="s">
        <v>235</v>
      </c>
      <c r="Q36" s="44"/>
      <c r="R36" s="45" t="s">
        <v>170</v>
      </c>
    </row>
    <row r="37" spans="1:18" s="67" customFormat="1" ht="24.95" customHeight="1" thickBot="1" x14ac:dyDescent="0.3">
      <c r="A37" s="48">
        <v>10</v>
      </c>
      <c r="B37" s="49" t="s">
        <v>125</v>
      </c>
      <c r="C37" s="50">
        <v>856.00000000000114</v>
      </c>
      <c r="D37" s="51">
        <v>108.35</v>
      </c>
      <c r="E37" s="51">
        <v>107.6</v>
      </c>
      <c r="F37" s="51">
        <v>5.4</v>
      </c>
      <c r="G37" s="50">
        <v>200</v>
      </c>
      <c r="H37" s="70">
        <f t="shared" si="5"/>
        <v>1.0429164743885557</v>
      </c>
      <c r="I37" s="50">
        <v>930.00000000000114</v>
      </c>
      <c r="J37" s="51">
        <v>0.37</v>
      </c>
      <c r="K37" s="53">
        <f t="shared" si="6"/>
        <v>3.4148592524227044E-3</v>
      </c>
      <c r="L37" s="56">
        <f t="shared" si="7"/>
        <v>74</v>
      </c>
      <c r="M37" s="54">
        <f t="shared" si="8"/>
        <v>4.2800000000000056</v>
      </c>
      <c r="N37" s="55">
        <f t="shared" si="9"/>
        <v>3.9501615136132956E-2</v>
      </c>
      <c r="O37" s="57" t="s">
        <v>97</v>
      </c>
      <c r="P37" s="71" t="s">
        <v>235</v>
      </c>
      <c r="Q37" s="72"/>
      <c r="R37" s="58" t="s">
        <v>58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73</v>
      </c>
      <c r="C44" s="36">
        <v>470.45260000000002</v>
      </c>
      <c r="D44" s="78">
        <f t="shared" ref="D44:D53" si="10">C44/$L$5</f>
        <v>0.18411608097634483</v>
      </c>
      <c r="E44" s="79"/>
    </row>
    <row r="45" spans="1:18" s="80" customFormat="1" ht="24.95" customHeight="1" x14ac:dyDescent="0.25">
      <c r="A45" s="81">
        <v>2</v>
      </c>
      <c r="B45" s="35" t="s">
        <v>82</v>
      </c>
      <c r="C45" s="36">
        <v>299.28289999999998</v>
      </c>
      <c r="D45" s="78">
        <f t="shared" si="10"/>
        <v>0.11712719762040917</v>
      </c>
      <c r="E45" s="79"/>
    </row>
    <row r="46" spans="1:18" s="80" customFormat="1" ht="24.95" customHeight="1" x14ac:dyDescent="0.25">
      <c r="A46" s="81">
        <v>3</v>
      </c>
      <c r="B46" s="35" t="s">
        <v>103</v>
      </c>
      <c r="C46" s="36">
        <v>273.30600000000004</v>
      </c>
      <c r="D46" s="78">
        <f t="shared" si="10"/>
        <v>0.10696089176108477</v>
      </c>
      <c r="E46" s="79"/>
    </row>
    <row r="47" spans="1:18" s="80" customFormat="1" ht="24.95" customHeight="1" x14ac:dyDescent="0.25">
      <c r="A47" s="77">
        <v>4</v>
      </c>
      <c r="B47" s="35" t="s">
        <v>126</v>
      </c>
      <c r="C47" s="36">
        <v>217.47</v>
      </c>
      <c r="D47" s="78">
        <f t="shared" si="10"/>
        <v>8.5108944301563447E-2</v>
      </c>
      <c r="E47" s="79"/>
    </row>
    <row r="48" spans="1:18" s="80" customFormat="1" ht="24.95" customHeight="1" x14ac:dyDescent="0.25">
      <c r="A48" s="81">
        <v>5</v>
      </c>
      <c r="B48" s="35" t="s">
        <v>105</v>
      </c>
      <c r="C48" s="36">
        <v>198.45000000000002</v>
      </c>
      <c r="D48" s="78">
        <f t="shared" si="10"/>
        <v>7.7665287150619711E-2</v>
      </c>
      <c r="E48" s="79"/>
    </row>
    <row r="49" spans="1:5" s="80" customFormat="1" ht="24.95" customHeight="1" x14ac:dyDescent="0.25">
      <c r="A49" s="77">
        <v>6</v>
      </c>
      <c r="B49" s="35" t="s">
        <v>104</v>
      </c>
      <c r="C49" s="36">
        <v>186.03</v>
      </c>
      <c r="D49" s="78">
        <f t="shared" si="10"/>
        <v>7.2804602512621733E-2</v>
      </c>
      <c r="E49" s="79"/>
    </row>
    <row r="50" spans="1:5" s="80" customFormat="1" ht="24.95" customHeight="1" x14ac:dyDescent="0.25">
      <c r="A50" s="81">
        <v>7</v>
      </c>
      <c r="B50" s="35" t="s">
        <v>106</v>
      </c>
      <c r="C50" s="36">
        <v>129.768</v>
      </c>
      <c r="D50" s="78">
        <f t="shared" si="10"/>
        <v>5.0785935918173937E-2</v>
      </c>
      <c r="E50" s="79"/>
    </row>
    <row r="51" spans="1:5" s="80" customFormat="1" ht="24.95" customHeight="1" x14ac:dyDescent="0.25">
      <c r="A51" s="77">
        <v>8</v>
      </c>
      <c r="B51" s="35" t="s">
        <v>107</v>
      </c>
      <c r="C51" s="36">
        <v>128.76299999999998</v>
      </c>
      <c r="D51" s="78">
        <f t="shared" si="10"/>
        <v>5.0392619649157179E-2</v>
      </c>
      <c r="E51" s="79"/>
    </row>
    <row r="52" spans="1:5" s="80" customFormat="1" ht="24.95" customHeight="1" x14ac:dyDescent="0.25">
      <c r="A52" s="81">
        <v>9</v>
      </c>
      <c r="B52" s="35" t="s">
        <v>56</v>
      </c>
      <c r="C52" s="36">
        <v>127.84</v>
      </c>
      <c r="D52" s="78">
        <f t="shared" si="10"/>
        <v>5.0031394856816444E-2</v>
      </c>
      <c r="E52" s="79"/>
    </row>
    <row r="53" spans="1:5" s="80" customFormat="1" ht="24.95" customHeight="1" thickBot="1" x14ac:dyDescent="0.3">
      <c r="A53" s="82">
        <v>10</v>
      </c>
      <c r="B53" s="49" t="s">
        <v>108</v>
      </c>
      <c r="C53" s="50">
        <v>118.52850000000001</v>
      </c>
      <c r="D53" s="83">
        <f t="shared" si="10"/>
        <v>4.6387251136468771E-2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07" priority="34" operator="containsText" text="中華">
      <formula>NOT(ISERROR(SEARCH("中華",A12)))</formula>
    </cfRule>
    <cfRule type="containsText" dxfId="406" priority="33" operator="containsText" text="湯凍">
      <formula>NOT(ISERROR(SEARCH("湯凍",A12)))</formula>
    </cfRule>
    <cfRule type="containsText" dxfId="405" priority="32" operator="containsText" text=")川燙小青花菜">
      <formula>NOT(ISERROR(SEARCH(")川燙小青花菜",A12)))</formula>
    </cfRule>
    <cfRule type="containsText" dxfId="404" priority="31" operator="containsText" text="青蔥">
      <formula>NOT(ISERROR(SEARCH("青蔥",A12)))</formula>
    </cfRule>
    <cfRule type="containsText" dxfId="403" priority="30" operator="containsText" text="白醬">
      <formula>NOT(ISERROR(SEARCH("白醬",A12)))</formula>
    </cfRule>
    <cfRule type="containsText" dxfId="402" priority="29" operator="containsText" text="024">
      <formula>NOT(ISERROR(SEARCH("024",A12)))</formula>
    </cfRule>
    <cfRule type="containsText" dxfId="401" priority="28" operator="containsText" text="煮白細麵生(方#12)">
      <formula>NOT(ISERROR(SEARCH("煮白細麵生(方#12)",A12)))</formula>
    </cfRule>
    <cfRule type="containsText" dxfId="400" priority="27" operator="containsText" text="綠豆芽">
      <formula>NOT(ISERROR(SEARCH("綠豆芽",A12)))</formula>
    </cfRule>
  </conditionalFormatting>
  <conditionalFormatting sqref="A28:A37">
    <cfRule type="containsText" dxfId="399" priority="5" operator="containsText" text="綠豆芽">
      <formula>NOT(ISERROR(SEARCH("綠豆芽",A28)))</formula>
    </cfRule>
    <cfRule type="containsText" dxfId="398" priority="6" operator="containsText" text="煮白細麵生(方#12)">
      <formula>NOT(ISERROR(SEARCH("煮白細麵生(方#12)",A28)))</formula>
    </cfRule>
    <cfRule type="containsText" dxfId="397" priority="7" operator="containsText" text="024">
      <formula>NOT(ISERROR(SEARCH("024",A28)))</formula>
    </cfRule>
    <cfRule type="containsText" dxfId="396" priority="8" operator="containsText" text="白醬">
      <formula>NOT(ISERROR(SEARCH("白醬",A28)))</formula>
    </cfRule>
    <cfRule type="containsText" dxfId="395" priority="9" operator="containsText" text="青蔥">
      <formula>NOT(ISERROR(SEARCH("青蔥",A28)))</formula>
    </cfRule>
    <cfRule type="containsText" dxfId="394" priority="10" operator="containsText" text=")川燙小青花菜">
      <formula>NOT(ISERROR(SEARCH(")川燙小青花菜",A28)))</formula>
    </cfRule>
    <cfRule type="containsText" dxfId="393" priority="11" operator="containsText" text="湯凍">
      <formula>NOT(ISERROR(SEARCH("湯凍",A28)))</formula>
    </cfRule>
    <cfRule type="containsText" dxfId="392" priority="12" operator="containsText" text="中華">
      <formula>NOT(ISERROR(SEARCH("中華",A28)))</formula>
    </cfRule>
  </conditionalFormatting>
  <conditionalFormatting sqref="A44:A53">
    <cfRule type="containsText" dxfId="391" priority="17" operator="containsText" text="綠豆芽">
      <formula>NOT(ISERROR(SEARCH("綠豆芽",A44)))</formula>
    </cfRule>
    <cfRule type="containsText" dxfId="390" priority="18" operator="containsText" text="煮白細麵生(方#12)">
      <formula>NOT(ISERROR(SEARCH("煮白細麵生(方#12)",A44)))</formula>
    </cfRule>
    <cfRule type="containsText" dxfId="389" priority="19" operator="containsText" text="024">
      <formula>NOT(ISERROR(SEARCH("024",A44)))</formula>
    </cfRule>
    <cfRule type="containsText" dxfId="388" priority="20" operator="containsText" text="白醬">
      <formula>NOT(ISERROR(SEARCH("白醬",A44)))</formula>
    </cfRule>
    <cfRule type="containsText" dxfId="387" priority="21" operator="containsText" text="青蔥">
      <formula>NOT(ISERROR(SEARCH("青蔥",A44)))</formula>
    </cfRule>
    <cfRule type="containsText" dxfId="386" priority="22" operator="containsText" text=")川燙小青花菜">
      <formula>NOT(ISERROR(SEARCH(")川燙小青花菜",A44)))</formula>
    </cfRule>
    <cfRule type="containsText" dxfId="385" priority="23" operator="containsText" text="湯凍">
      <formula>NOT(ISERROR(SEARCH("湯凍",A44)))</formula>
    </cfRule>
    <cfRule type="containsText" dxfId="384" priority="24" operator="containsText" text="中華">
      <formula>NOT(ISERROR(SEARCH("中華",A44)))</formula>
    </cfRule>
  </conditionalFormatting>
  <conditionalFormatting sqref="D44:D53">
    <cfRule type="cellIs" dxfId="383" priority="16" operator="greaterThan">
      <formula>0.146</formula>
    </cfRule>
  </conditionalFormatting>
  <conditionalFormatting sqref="E5">
    <cfRule type="cellIs" dxfId="382" priority="25" operator="greaterThan">
      <formula>0.072</formula>
    </cfRule>
    <cfRule type="cellIs" dxfId="381" priority="26" operator="greaterThan">
      <formula>7.2</formula>
    </cfRule>
    <cfRule type="cellIs" dxfId="380" priority="14" operator="greaterThan">
      <formula>0.0025</formula>
    </cfRule>
  </conditionalFormatting>
  <conditionalFormatting sqref="G5">
    <cfRule type="cellIs" dxfId="379" priority="3" operator="greaterThan">
      <formula>7.2</formula>
    </cfRule>
    <cfRule type="cellIs" dxfId="378" priority="2" operator="greaterThan">
      <formula>0.072</formula>
    </cfRule>
    <cfRule type="cellIs" dxfId="377" priority="1" operator="greaterThan">
      <formula>0.0025</formula>
    </cfRule>
  </conditionalFormatting>
  <conditionalFormatting sqref="H12:H22">
    <cfRule type="cellIs" dxfId="376" priority="15" operator="greaterThan">
      <formula>1.1</formula>
    </cfRule>
  </conditionalFormatting>
  <conditionalFormatting sqref="H28:H37">
    <cfRule type="cellIs" dxfId="375" priority="4" operator="greaterThan">
      <formula>1.1</formula>
    </cfRule>
  </conditionalFormatting>
  <conditionalFormatting sqref="I5">
    <cfRule type="cellIs" dxfId="37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2500-CA3A-4007-8F89-4887A59EB366}">
  <sheetPr>
    <tabColor rgb="FFFF0000"/>
    <pageSetUpPr fitToPage="1"/>
  </sheetPr>
  <dimension ref="A1:R56"/>
  <sheetViews>
    <sheetView topLeftCell="C7"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45910</v>
      </c>
      <c r="B3" s="149"/>
      <c r="C3" s="150">
        <v>7585453.29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18325.580500000011</v>
      </c>
      <c r="E5" s="24">
        <f>D5/C3</f>
        <v>2.4158846939521541E-3</v>
      </c>
      <c r="F5" s="23">
        <v>54158.092599999996</v>
      </c>
      <c r="G5" s="25">
        <f>F5/C3</f>
        <v>7.1397305512904945E-3</v>
      </c>
      <c r="H5" s="26">
        <f>SUM(C12:C21)</f>
        <v>4007.0427999999997</v>
      </c>
      <c r="I5" s="27">
        <f>H5/D5</f>
        <v>0.21865843758673825</v>
      </c>
      <c r="J5" s="26">
        <f>SUM(C28:C37)</f>
        <v>14337.106299999992</v>
      </c>
      <c r="K5" s="28">
        <f>J5/F5</f>
        <v>0.26472694313462569</v>
      </c>
      <c r="L5" s="29">
        <v>2265.1703000000002</v>
      </c>
      <c r="M5" s="30">
        <f>L5/D5</f>
        <v>0.12360701479552033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158</v>
      </c>
      <c r="C12" s="36">
        <v>740.3823000000001</v>
      </c>
      <c r="D12" s="37">
        <v>121.41</v>
      </c>
      <c r="E12" s="37">
        <v>128.1</v>
      </c>
      <c r="F12" s="37">
        <v>0</v>
      </c>
      <c r="G12" s="36">
        <v>110.67</v>
      </c>
      <c r="H12" s="38">
        <f>(E12+F12)/D12</f>
        <v>1.0551025450951321</v>
      </c>
      <c r="I12" s="36">
        <v>740.38229999999976</v>
      </c>
      <c r="J12" s="37">
        <v>6.69</v>
      </c>
      <c r="K12" s="39">
        <f>J12/D12</f>
        <v>5.5102545095132204E-2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67</v>
      </c>
      <c r="Q12" s="44"/>
      <c r="R12" s="45" t="s">
        <v>144</v>
      </c>
    </row>
    <row r="13" spans="1:18" s="46" customFormat="1" ht="24.95" customHeight="1" x14ac:dyDescent="0.25">
      <c r="A13" s="47">
        <v>2</v>
      </c>
      <c r="B13" s="35" t="s">
        <v>63</v>
      </c>
      <c r="C13" s="36">
        <v>624.6</v>
      </c>
      <c r="D13" s="37">
        <v>3198</v>
      </c>
      <c r="E13" s="37">
        <v>3258</v>
      </c>
      <c r="F13" s="37">
        <v>0</v>
      </c>
      <c r="G13" s="36">
        <v>10.41</v>
      </c>
      <c r="H13" s="38">
        <f t="shared" ref="H13:H21" si="1">(E13+F13)/D13</f>
        <v>1.0187617260787993</v>
      </c>
      <c r="I13" s="36">
        <v>624.6</v>
      </c>
      <c r="J13" s="37">
        <v>60</v>
      </c>
      <c r="K13" s="39">
        <f>J13/D13</f>
        <v>1.8761726078799251E-2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3" t="s">
        <v>64</v>
      </c>
      <c r="Q13" s="44"/>
      <c r="R13" s="45" t="s">
        <v>65</v>
      </c>
    </row>
    <row r="14" spans="1:18" s="46" customFormat="1" ht="24.95" customHeight="1" x14ac:dyDescent="0.25">
      <c r="A14" s="47">
        <v>3</v>
      </c>
      <c r="B14" s="35" t="s">
        <v>112</v>
      </c>
      <c r="C14" s="36">
        <v>556.91999999999996</v>
      </c>
      <c r="D14" s="37">
        <v>4948</v>
      </c>
      <c r="E14" s="37">
        <v>5050</v>
      </c>
      <c r="F14" s="37">
        <v>0</v>
      </c>
      <c r="G14" s="36">
        <v>5.46</v>
      </c>
      <c r="H14" s="38">
        <f>(E14+F14)/D14</f>
        <v>1.0206143896523847</v>
      </c>
      <c r="I14" s="36">
        <v>556.91999999999996</v>
      </c>
      <c r="J14" s="37">
        <v>102</v>
      </c>
      <c r="K14" s="39">
        <f t="shared" ref="K14:K21" si="4">J14/D14</f>
        <v>2.0614389652384803E-2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3" t="s">
        <v>64</v>
      </c>
      <c r="Q14" s="44" t="s">
        <v>113</v>
      </c>
      <c r="R14" s="45" t="s">
        <v>98</v>
      </c>
    </row>
    <row r="15" spans="1:18" s="46" customFormat="1" ht="24.95" customHeight="1" x14ac:dyDescent="0.25">
      <c r="A15" s="34">
        <v>4</v>
      </c>
      <c r="B15" s="35" t="s">
        <v>159</v>
      </c>
      <c r="C15" s="36">
        <v>339.93789999999996</v>
      </c>
      <c r="D15" s="37">
        <v>22.96</v>
      </c>
      <c r="E15" s="37">
        <v>24.09</v>
      </c>
      <c r="F15" s="37">
        <v>0</v>
      </c>
      <c r="G15" s="36">
        <v>300.83</v>
      </c>
      <c r="H15" s="38">
        <f>(E15+F15)/D15</f>
        <v>1.0492160278745644</v>
      </c>
      <c r="I15" s="36">
        <v>339.93789999999967</v>
      </c>
      <c r="J15" s="37">
        <v>1.1299999999999999</v>
      </c>
      <c r="K15" s="39">
        <f t="shared" si="4"/>
        <v>4.9216027874564451E-2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69" t="s">
        <v>235</v>
      </c>
      <c r="Q15" s="44"/>
      <c r="R15" s="45" t="s">
        <v>68</v>
      </c>
    </row>
    <row r="16" spans="1:18" s="46" customFormat="1" ht="24.95" customHeight="1" x14ac:dyDescent="0.25">
      <c r="A16" s="47">
        <v>5</v>
      </c>
      <c r="B16" s="35" t="s">
        <v>69</v>
      </c>
      <c r="C16" s="36">
        <v>323.23089999999996</v>
      </c>
      <c r="D16" s="37">
        <v>50.93</v>
      </c>
      <c r="E16" s="37">
        <v>53.21</v>
      </c>
      <c r="F16" s="37">
        <v>0</v>
      </c>
      <c r="G16" s="36">
        <v>153.19</v>
      </c>
      <c r="H16" s="38">
        <f t="shared" si="1"/>
        <v>1.0447673277046927</v>
      </c>
      <c r="I16" s="36">
        <v>349.27320000000014</v>
      </c>
      <c r="J16" s="37">
        <v>2.11</v>
      </c>
      <c r="K16" s="39">
        <f t="shared" si="4"/>
        <v>4.1429412919693695E-2</v>
      </c>
      <c r="L16" s="40">
        <f t="shared" si="2"/>
        <v>0.17000000000000126</v>
      </c>
      <c r="M16" s="41">
        <f t="shared" si="3"/>
        <v>3.3379147849990432E-3</v>
      </c>
      <c r="N16" s="42">
        <f t="shared" si="0"/>
        <v>26.042300000000193</v>
      </c>
      <c r="O16" s="43" t="s">
        <v>57</v>
      </c>
      <c r="P16" s="69" t="s">
        <v>235</v>
      </c>
      <c r="Q16" s="44"/>
      <c r="R16" s="45" t="s">
        <v>70</v>
      </c>
    </row>
    <row r="17" spans="1:18" s="46" customFormat="1" ht="24.95" customHeight="1" x14ac:dyDescent="0.25">
      <c r="A17" s="34">
        <v>6</v>
      </c>
      <c r="B17" s="35" t="s">
        <v>135</v>
      </c>
      <c r="C17" s="36">
        <v>296.15519999999998</v>
      </c>
      <c r="D17" s="37">
        <v>30.78</v>
      </c>
      <c r="E17" s="37">
        <v>32.299999999999997</v>
      </c>
      <c r="F17" s="37">
        <v>0</v>
      </c>
      <c r="G17" s="36">
        <v>208.56</v>
      </c>
      <c r="H17" s="38">
        <f t="shared" si="1"/>
        <v>1.0493827160493825</v>
      </c>
      <c r="I17" s="36">
        <v>317.01119999999918</v>
      </c>
      <c r="J17" s="37">
        <v>1.42</v>
      </c>
      <c r="K17" s="39">
        <f t="shared" si="4"/>
        <v>4.6133853151397008E-2</v>
      </c>
      <c r="L17" s="40">
        <f t="shared" si="2"/>
        <v>9.9999999999996092E-2</v>
      </c>
      <c r="M17" s="41">
        <f t="shared" si="3"/>
        <v>3.2488628979855778E-3</v>
      </c>
      <c r="N17" s="42">
        <f t="shared" si="0"/>
        <v>20.855999999999185</v>
      </c>
      <c r="O17" s="43" t="s">
        <v>57</v>
      </c>
      <c r="P17" s="69" t="s">
        <v>235</v>
      </c>
      <c r="Q17" s="44"/>
      <c r="R17" s="45" t="s">
        <v>136</v>
      </c>
    </row>
    <row r="18" spans="1:18" s="46" customFormat="1" ht="24.95" customHeight="1" x14ac:dyDescent="0.25">
      <c r="A18" s="47">
        <v>7</v>
      </c>
      <c r="B18" s="35" t="s">
        <v>114</v>
      </c>
      <c r="C18" s="36">
        <v>284.75669999999997</v>
      </c>
      <c r="D18" s="37">
        <v>108.96</v>
      </c>
      <c r="E18" s="37">
        <v>112.55</v>
      </c>
      <c r="F18" s="37">
        <v>0</v>
      </c>
      <c r="G18" s="36">
        <v>141.66999999999999</v>
      </c>
      <c r="H18" s="38">
        <f t="shared" si="1"/>
        <v>1.0329478707782673</v>
      </c>
      <c r="I18" s="36">
        <v>508.59530000000046</v>
      </c>
      <c r="J18" s="37">
        <v>2.0099999999999998</v>
      </c>
      <c r="K18" s="39">
        <f t="shared" si="4"/>
        <v>1.844713656387665E-2</v>
      </c>
      <c r="L18" s="40">
        <f>((E18+F18)-D18)-J18</f>
        <v>1.5800000000000036</v>
      </c>
      <c r="M18" s="41">
        <f t="shared" si="3"/>
        <v>1.4500734214390637E-2</v>
      </c>
      <c r="N18" s="42">
        <f t="shared" si="0"/>
        <v>223.8386000000005</v>
      </c>
      <c r="O18" s="43" t="s">
        <v>57</v>
      </c>
      <c r="P18" s="69" t="s">
        <v>235</v>
      </c>
      <c r="Q18" s="44"/>
      <c r="R18" s="45" t="s">
        <v>95</v>
      </c>
    </row>
    <row r="19" spans="1:18" s="46" customFormat="1" ht="24.95" customHeight="1" x14ac:dyDescent="0.25">
      <c r="A19" s="34">
        <v>8</v>
      </c>
      <c r="B19" s="35" t="s">
        <v>78</v>
      </c>
      <c r="C19" s="36">
        <v>282.2</v>
      </c>
      <c r="D19" s="37">
        <v>7920</v>
      </c>
      <c r="E19" s="37">
        <v>7902</v>
      </c>
      <c r="F19" s="37">
        <v>350</v>
      </c>
      <c r="G19" s="36">
        <v>0.85</v>
      </c>
      <c r="H19" s="38">
        <f t="shared" si="1"/>
        <v>1.0419191919191919</v>
      </c>
      <c r="I19" s="36">
        <v>282.2</v>
      </c>
      <c r="J19" s="37">
        <v>332</v>
      </c>
      <c r="K19" s="39">
        <f t="shared" si="4"/>
        <v>4.1919191919191919E-2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3" t="s">
        <v>64</v>
      </c>
      <c r="Q19" s="44"/>
      <c r="R19" s="45" t="s">
        <v>79</v>
      </c>
    </row>
    <row r="20" spans="1:18" s="46" customFormat="1" ht="24.95" customHeight="1" x14ac:dyDescent="0.25">
      <c r="A20" s="47">
        <v>9</v>
      </c>
      <c r="B20" s="35" t="s">
        <v>103</v>
      </c>
      <c r="C20" s="36">
        <v>280.75979999999998</v>
      </c>
      <c r="D20" s="37">
        <v>36.090000000000003</v>
      </c>
      <c r="E20" s="37">
        <v>37.799999999999997</v>
      </c>
      <c r="F20" s="37">
        <v>0</v>
      </c>
      <c r="G20" s="36">
        <v>248.46</v>
      </c>
      <c r="H20" s="38">
        <f t="shared" si="1"/>
        <v>1.0473815461346632</v>
      </c>
      <c r="I20" s="36">
        <v>424.86659999999847</v>
      </c>
      <c r="J20" s="37">
        <v>1.1299999999999999</v>
      </c>
      <c r="K20" s="39">
        <f t="shared" si="4"/>
        <v>3.13106123579939E-2</v>
      </c>
      <c r="L20" s="40">
        <f t="shared" si="2"/>
        <v>0.57999999999999385</v>
      </c>
      <c r="M20" s="41">
        <f t="shared" si="3"/>
        <v>1.6070933776669266E-2</v>
      </c>
      <c r="N20" s="42">
        <f t="shared" si="0"/>
        <v>144.10679999999849</v>
      </c>
      <c r="O20" s="43" t="s">
        <v>57</v>
      </c>
      <c r="P20" s="69" t="s">
        <v>235</v>
      </c>
      <c r="Q20" s="44"/>
      <c r="R20" s="45" t="s">
        <v>58</v>
      </c>
    </row>
    <row r="21" spans="1:18" s="46" customFormat="1" ht="24.95" customHeight="1" thickBot="1" x14ac:dyDescent="0.3">
      <c r="A21" s="48">
        <v>10</v>
      </c>
      <c r="B21" s="49" t="s">
        <v>59</v>
      </c>
      <c r="C21" s="50">
        <v>278.09999999999997</v>
      </c>
      <c r="D21" s="51">
        <v>4720</v>
      </c>
      <c r="E21" s="51">
        <v>4738</v>
      </c>
      <c r="F21" s="51">
        <v>0</v>
      </c>
      <c r="G21" s="50">
        <v>15.45</v>
      </c>
      <c r="H21" s="52">
        <f t="shared" si="1"/>
        <v>1.0038135593220339</v>
      </c>
      <c r="I21" s="50">
        <v>278.09999999999997</v>
      </c>
      <c r="J21" s="51">
        <v>18</v>
      </c>
      <c r="K21" s="53">
        <f t="shared" si="4"/>
        <v>3.8135593220338985E-3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7" t="s">
        <v>60</v>
      </c>
      <c r="Q21" s="57" t="s">
        <v>61</v>
      </c>
      <c r="R21" s="58" t="s">
        <v>62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82</v>
      </c>
      <c r="C28" s="36">
        <v>2584.447899999996</v>
      </c>
      <c r="D28" s="37">
        <v>758.78</v>
      </c>
      <c r="E28" s="37">
        <v>757.25</v>
      </c>
      <c r="F28" s="37">
        <v>19.059999999999999</v>
      </c>
      <c r="G28" s="36">
        <v>147.43</v>
      </c>
      <c r="H28" s="68">
        <f t="shared" ref="H28:H37" si="5">(E28+F28)/D28</f>
        <v>1.0231028756688367</v>
      </c>
      <c r="I28" s="36">
        <v>2584.447899999996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17.529999999999973</v>
      </c>
      <c r="N28" s="41">
        <f t="shared" ref="N28:N37" si="9">M28/D28</f>
        <v>2.3102875668836783E-2</v>
      </c>
      <c r="O28" s="43" t="s">
        <v>83</v>
      </c>
      <c r="P28" s="69" t="s">
        <v>84</v>
      </c>
      <c r="Q28" s="44" t="s">
        <v>85</v>
      </c>
      <c r="R28" s="45" t="s">
        <v>58</v>
      </c>
    </row>
    <row r="29" spans="1:18" s="67" customFormat="1" ht="24.95" customHeight="1" x14ac:dyDescent="0.25">
      <c r="A29" s="47">
        <v>2</v>
      </c>
      <c r="B29" s="35" t="s">
        <v>134</v>
      </c>
      <c r="C29" s="36">
        <v>1946.7476000000026</v>
      </c>
      <c r="D29" s="37">
        <v>105.74</v>
      </c>
      <c r="E29" s="37">
        <v>105.93</v>
      </c>
      <c r="F29" s="37">
        <v>5.13</v>
      </c>
      <c r="G29" s="36">
        <v>365.93</v>
      </c>
      <c r="H29" s="68">
        <f t="shared" si="5"/>
        <v>1.0503120862492907</v>
      </c>
      <c r="I29" s="36">
        <v>1946.7476000000026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5.3200000000000074</v>
      </c>
      <c r="N29" s="41">
        <f t="shared" si="9"/>
        <v>5.0312086249290788E-2</v>
      </c>
      <c r="O29" s="43" t="s">
        <v>83</v>
      </c>
      <c r="P29" s="69" t="s">
        <v>235</v>
      </c>
      <c r="Q29" s="44"/>
      <c r="R29" s="45" t="s">
        <v>72</v>
      </c>
    </row>
    <row r="30" spans="1:18" s="67" customFormat="1" ht="24.95" customHeight="1" x14ac:dyDescent="0.25">
      <c r="A30" s="47">
        <v>3</v>
      </c>
      <c r="B30" s="35" t="s">
        <v>94</v>
      </c>
      <c r="C30" s="36">
        <v>1623.490400000004</v>
      </c>
      <c r="D30" s="37">
        <v>195.22</v>
      </c>
      <c r="E30" s="37">
        <v>194.46</v>
      </c>
      <c r="F30" s="37">
        <v>3.44</v>
      </c>
      <c r="G30" s="36">
        <v>605.78</v>
      </c>
      <c r="H30" s="68">
        <f t="shared" si="5"/>
        <v>1.0137281016289315</v>
      </c>
      <c r="I30" s="36">
        <v>1623.490400000004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2.6800000000000068</v>
      </c>
      <c r="N30" s="41">
        <f t="shared" si="9"/>
        <v>1.3728101628931497E-2</v>
      </c>
      <c r="O30" s="43" t="s">
        <v>83</v>
      </c>
      <c r="P30" s="44" t="s">
        <v>60</v>
      </c>
      <c r="Q30" s="44" t="s">
        <v>87</v>
      </c>
      <c r="R30" s="45" t="s">
        <v>95</v>
      </c>
    </row>
    <row r="31" spans="1:18" s="67" customFormat="1" ht="24.95" customHeight="1" x14ac:dyDescent="0.25">
      <c r="A31" s="34">
        <v>4</v>
      </c>
      <c r="B31" s="35" t="s">
        <v>110</v>
      </c>
      <c r="C31" s="36">
        <v>1588.4792000000004</v>
      </c>
      <c r="D31" s="37">
        <v>108.25</v>
      </c>
      <c r="E31" s="37">
        <v>108.75</v>
      </c>
      <c r="F31" s="37">
        <v>3.78</v>
      </c>
      <c r="G31" s="36">
        <v>371.14</v>
      </c>
      <c r="H31" s="68">
        <f t="shared" si="5"/>
        <v>1.0395381062355658</v>
      </c>
      <c r="I31" s="36">
        <v>1588.4792000000004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4.2800000000000011</v>
      </c>
      <c r="N31" s="41">
        <f t="shared" si="9"/>
        <v>3.9538106235565827E-2</v>
      </c>
      <c r="O31" s="43" t="s">
        <v>83</v>
      </c>
      <c r="P31" s="69" t="s">
        <v>235</v>
      </c>
      <c r="Q31" s="44"/>
      <c r="R31" s="45" t="s">
        <v>58</v>
      </c>
    </row>
    <row r="32" spans="1:18" s="67" customFormat="1" ht="24.95" customHeight="1" x14ac:dyDescent="0.25">
      <c r="A32" s="47">
        <v>5</v>
      </c>
      <c r="B32" s="35" t="s">
        <v>86</v>
      </c>
      <c r="C32" s="36">
        <v>1507.8491999999899</v>
      </c>
      <c r="D32" s="37">
        <v>4424.3100000000004</v>
      </c>
      <c r="E32" s="37">
        <v>4396.59</v>
      </c>
      <c r="F32" s="37">
        <v>66</v>
      </c>
      <c r="G32" s="36">
        <v>39.39</v>
      </c>
      <c r="H32" s="68">
        <f t="shared" si="5"/>
        <v>1.0086521966137092</v>
      </c>
      <c r="I32" s="36">
        <v>1507.8491999999899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38.279999999999745</v>
      </c>
      <c r="N32" s="41">
        <f t="shared" si="9"/>
        <v>8.6521966137091972E-3</v>
      </c>
      <c r="O32" s="43" t="s">
        <v>83</v>
      </c>
      <c r="P32" s="44" t="s">
        <v>60</v>
      </c>
      <c r="Q32" s="44" t="s">
        <v>87</v>
      </c>
      <c r="R32" s="45" t="s">
        <v>58</v>
      </c>
    </row>
    <row r="33" spans="1:18" s="67" customFormat="1" ht="24.95" customHeight="1" x14ac:dyDescent="0.25">
      <c r="A33" s="34">
        <v>6</v>
      </c>
      <c r="B33" s="35" t="s">
        <v>160</v>
      </c>
      <c r="C33" s="36">
        <v>1089.5136</v>
      </c>
      <c r="D33" s="37">
        <v>9.2200000000000006</v>
      </c>
      <c r="E33" s="37">
        <v>11.46</v>
      </c>
      <c r="F33" s="37">
        <v>0</v>
      </c>
      <c r="G33" s="36">
        <v>486.39</v>
      </c>
      <c r="H33" s="68">
        <f t="shared" si="5"/>
        <v>1.2429501084598698</v>
      </c>
      <c r="I33" s="36">
        <v>1089.5136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2.2400000000000002</v>
      </c>
      <c r="N33" s="41">
        <f t="shared" si="9"/>
        <v>0.24295010845986986</v>
      </c>
      <c r="O33" s="43" t="s">
        <v>83</v>
      </c>
      <c r="P33" s="69" t="s">
        <v>235</v>
      </c>
      <c r="Q33" s="44"/>
      <c r="R33" s="45" t="s">
        <v>130</v>
      </c>
    </row>
    <row r="34" spans="1:18" s="67" customFormat="1" ht="24.95" customHeight="1" x14ac:dyDescent="0.25">
      <c r="A34" s="47">
        <v>7</v>
      </c>
      <c r="B34" s="35" t="s">
        <v>150</v>
      </c>
      <c r="C34" s="36">
        <v>1057.1315999999995</v>
      </c>
      <c r="D34" s="37">
        <v>184.49</v>
      </c>
      <c r="E34" s="37">
        <v>183.71</v>
      </c>
      <c r="F34" s="37">
        <v>4.75</v>
      </c>
      <c r="G34" s="36">
        <v>266.27999999999997</v>
      </c>
      <c r="H34" s="68">
        <f t="shared" si="5"/>
        <v>1.0215187815057727</v>
      </c>
      <c r="I34" s="36">
        <v>1057.1315999999995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3.9699999999999989</v>
      </c>
      <c r="N34" s="41">
        <f t="shared" si="9"/>
        <v>2.1518781505772664E-2</v>
      </c>
      <c r="O34" s="43" t="s">
        <v>83</v>
      </c>
      <c r="P34" s="69" t="s">
        <v>235</v>
      </c>
      <c r="Q34" s="44"/>
      <c r="R34" s="45" t="s">
        <v>151</v>
      </c>
    </row>
    <row r="35" spans="1:18" s="67" customFormat="1" ht="24.95" customHeight="1" x14ac:dyDescent="0.25">
      <c r="A35" s="34">
        <v>8</v>
      </c>
      <c r="B35" s="35" t="s">
        <v>161</v>
      </c>
      <c r="C35" s="36">
        <v>1052.7971999999991</v>
      </c>
      <c r="D35" s="37">
        <v>24.6</v>
      </c>
      <c r="E35" s="37">
        <v>24.57</v>
      </c>
      <c r="F35" s="37">
        <v>2.2000000000000002</v>
      </c>
      <c r="G35" s="36">
        <v>485.16</v>
      </c>
      <c r="H35" s="68">
        <f t="shared" si="5"/>
        <v>1.0882113821138211</v>
      </c>
      <c r="I35" s="36">
        <v>1052.7971999999991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2.1699999999999982</v>
      </c>
      <c r="N35" s="41">
        <f t="shared" si="9"/>
        <v>8.8211382113821055E-2</v>
      </c>
      <c r="O35" s="43" t="s">
        <v>83</v>
      </c>
      <c r="P35" s="69" t="s">
        <v>235</v>
      </c>
      <c r="Q35" s="44"/>
      <c r="R35" s="45" t="s">
        <v>93</v>
      </c>
    </row>
    <row r="36" spans="1:18" s="67" customFormat="1" ht="24.95" customHeight="1" x14ac:dyDescent="0.25">
      <c r="A36" s="47">
        <v>9</v>
      </c>
      <c r="B36" s="35" t="s">
        <v>88</v>
      </c>
      <c r="C36" s="36">
        <v>993.36</v>
      </c>
      <c r="D36" s="37">
        <v>21.32</v>
      </c>
      <c r="E36" s="37">
        <v>21.42</v>
      </c>
      <c r="F36" s="37">
        <v>1.4</v>
      </c>
      <c r="G36" s="36">
        <v>662.24</v>
      </c>
      <c r="H36" s="68">
        <f t="shared" si="5"/>
        <v>1.0703564727954973</v>
      </c>
      <c r="I36" s="36">
        <v>993.36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1.5</v>
      </c>
      <c r="N36" s="41">
        <f t="shared" si="9"/>
        <v>7.0356472795497185E-2</v>
      </c>
      <c r="O36" s="43" t="s">
        <v>97</v>
      </c>
      <c r="P36" s="69" t="s">
        <v>235</v>
      </c>
      <c r="Q36" s="44"/>
      <c r="R36" s="45" t="s">
        <v>65</v>
      </c>
    </row>
    <row r="37" spans="1:18" s="67" customFormat="1" ht="24.95" customHeight="1" thickBot="1" x14ac:dyDescent="0.3">
      <c r="A37" s="48">
        <v>10</v>
      </c>
      <c r="B37" s="49" t="s">
        <v>99</v>
      </c>
      <c r="C37" s="50">
        <v>893.28960000000086</v>
      </c>
      <c r="D37" s="51">
        <v>25.37</v>
      </c>
      <c r="E37" s="51">
        <v>25.05</v>
      </c>
      <c r="F37" s="51">
        <v>1.76</v>
      </c>
      <c r="G37" s="50">
        <v>620.34</v>
      </c>
      <c r="H37" s="70">
        <f t="shared" si="5"/>
        <v>1.0567599527000395</v>
      </c>
      <c r="I37" s="50">
        <v>893.28960000000086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1.4400000000000013</v>
      </c>
      <c r="N37" s="55">
        <f t="shared" si="9"/>
        <v>5.6759952700039466E-2</v>
      </c>
      <c r="O37" s="57" t="s">
        <v>97</v>
      </c>
      <c r="P37" s="71" t="s">
        <v>235</v>
      </c>
      <c r="Q37" s="72"/>
      <c r="R37" s="58" t="s">
        <v>100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103</v>
      </c>
      <c r="C44" s="36">
        <v>280.75979999999998</v>
      </c>
      <c r="D44" s="78">
        <f t="shared" ref="D44:D53" si="10">C44/$L$5</f>
        <v>0.12394644234916904</v>
      </c>
      <c r="E44" s="79"/>
    </row>
    <row r="45" spans="1:18" s="80" customFormat="1" ht="24.95" customHeight="1" x14ac:dyDescent="0.25">
      <c r="A45" s="81">
        <v>2</v>
      </c>
      <c r="B45" s="35" t="s">
        <v>126</v>
      </c>
      <c r="C45" s="36">
        <v>250.42</v>
      </c>
      <c r="D45" s="78">
        <f t="shared" si="10"/>
        <v>0.11055239422837213</v>
      </c>
      <c r="E45" s="79"/>
    </row>
    <row r="46" spans="1:18" s="80" customFormat="1" ht="24.95" customHeight="1" x14ac:dyDescent="0.25">
      <c r="A46" s="81">
        <v>3</v>
      </c>
      <c r="B46" s="35" t="s">
        <v>73</v>
      </c>
      <c r="C46" s="36">
        <v>239.9624</v>
      </c>
      <c r="D46" s="78">
        <f t="shared" si="10"/>
        <v>0.10593569940414634</v>
      </c>
      <c r="E46" s="79"/>
    </row>
    <row r="47" spans="1:18" s="80" customFormat="1" ht="24.95" customHeight="1" x14ac:dyDescent="0.25">
      <c r="A47" s="77">
        <v>4</v>
      </c>
      <c r="B47" s="35" t="s">
        <v>125</v>
      </c>
      <c r="C47" s="36">
        <v>234</v>
      </c>
      <c r="D47" s="78">
        <f t="shared" si="10"/>
        <v>0.10330349113265345</v>
      </c>
      <c r="E47" s="79"/>
    </row>
    <row r="48" spans="1:18" s="80" customFormat="1" ht="24.95" customHeight="1" x14ac:dyDescent="0.25">
      <c r="A48" s="81">
        <v>5</v>
      </c>
      <c r="B48" s="35" t="s">
        <v>105</v>
      </c>
      <c r="C48" s="36">
        <v>210.70000000000002</v>
      </c>
      <c r="D48" s="78">
        <f t="shared" si="10"/>
        <v>9.3017288810470458E-2</v>
      </c>
      <c r="E48" s="79"/>
    </row>
    <row r="49" spans="1:5" s="80" customFormat="1" ht="24.95" customHeight="1" x14ac:dyDescent="0.25">
      <c r="A49" s="77">
        <v>6</v>
      </c>
      <c r="B49" s="35" t="s">
        <v>104</v>
      </c>
      <c r="C49" s="36">
        <v>203.57999999999998</v>
      </c>
      <c r="D49" s="78">
        <f t="shared" si="10"/>
        <v>8.9874037285408506E-2</v>
      </c>
      <c r="E49" s="79"/>
    </row>
    <row r="50" spans="1:5" s="80" customFormat="1" ht="24.95" customHeight="1" x14ac:dyDescent="0.25">
      <c r="A50" s="81">
        <v>7</v>
      </c>
      <c r="B50" s="35" t="s">
        <v>106</v>
      </c>
      <c r="C50" s="36">
        <v>129.768</v>
      </c>
      <c r="D50" s="78">
        <f t="shared" si="10"/>
        <v>5.7288407851718695E-2</v>
      </c>
      <c r="E50" s="79"/>
    </row>
    <row r="51" spans="1:5" s="80" customFormat="1" ht="24.95" customHeight="1" x14ac:dyDescent="0.25">
      <c r="A51" s="77">
        <v>8</v>
      </c>
      <c r="B51" s="35" t="s">
        <v>107</v>
      </c>
      <c r="C51" s="36">
        <v>128.76299999999998</v>
      </c>
      <c r="D51" s="78">
        <f t="shared" si="10"/>
        <v>5.6844732601341263E-2</v>
      </c>
      <c r="E51" s="79"/>
    </row>
    <row r="52" spans="1:5" s="80" customFormat="1" ht="24.95" customHeight="1" x14ac:dyDescent="0.25">
      <c r="A52" s="81">
        <v>9</v>
      </c>
      <c r="B52" s="35" t="s">
        <v>56</v>
      </c>
      <c r="C52" s="36">
        <v>127.84</v>
      </c>
      <c r="D52" s="78">
        <f t="shared" si="10"/>
        <v>5.6437257719651364E-2</v>
      </c>
      <c r="E52" s="79"/>
    </row>
    <row r="53" spans="1:5" s="80" customFormat="1" ht="24.95" customHeight="1" thickBot="1" x14ac:dyDescent="0.3">
      <c r="A53" s="82">
        <v>10</v>
      </c>
      <c r="B53" s="49" t="s">
        <v>108</v>
      </c>
      <c r="C53" s="50">
        <v>118.52850000000001</v>
      </c>
      <c r="D53" s="83">
        <f t="shared" si="10"/>
        <v>5.2326529268020158E-2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73" priority="34" operator="containsText" text="中華">
      <formula>NOT(ISERROR(SEARCH("中華",A12)))</formula>
    </cfRule>
    <cfRule type="containsText" dxfId="372" priority="33" operator="containsText" text="湯凍">
      <formula>NOT(ISERROR(SEARCH("湯凍",A12)))</formula>
    </cfRule>
    <cfRule type="containsText" dxfId="371" priority="32" operator="containsText" text=")川燙小青花菜">
      <formula>NOT(ISERROR(SEARCH(")川燙小青花菜",A12)))</formula>
    </cfRule>
    <cfRule type="containsText" dxfId="370" priority="31" operator="containsText" text="青蔥">
      <formula>NOT(ISERROR(SEARCH("青蔥",A12)))</formula>
    </cfRule>
    <cfRule type="containsText" dxfId="369" priority="30" operator="containsText" text="白醬">
      <formula>NOT(ISERROR(SEARCH("白醬",A12)))</formula>
    </cfRule>
    <cfRule type="containsText" dxfId="368" priority="29" operator="containsText" text="024">
      <formula>NOT(ISERROR(SEARCH("024",A12)))</formula>
    </cfRule>
    <cfRule type="containsText" dxfId="367" priority="28" operator="containsText" text="煮白細麵生(方#12)">
      <formula>NOT(ISERROR(SEARCH("煮白細麵生(方#12)",A12)))</formula>
    </cfRule>
    <cfRule type="containsText" dxfId="366" priority="27" operator="containsText" text="綠豆芽">
      <formula>NOT(ISERROR(SEARCH("綠豆芽",A12)))</formula>
    </cfRule>
  </conditionalFormatting>
  <conditionalFormatting sqref="A28:A37">
    <cfRule type="containsText" dxfId="365" priority="5" operator="containsText" text="綠豆芽">
      <formula>NOT(ISERROR(SEARCH("綠豆芽",A28)))</formula>
    </cfRule>
    <cfRule type="containsText" dxfId="364" priority="6" operator="containsText" text="煮白細麵生(方#12)">
      <formula>NOT(ISERROR(SEARCH("煮白細麵生(方#12)",A28)))</formula>
    </cfRule>
    <cfRule type="containsText" dxfId="363" priority="7" operator="containsText" text="024">
      <formula>NOT(ISERROR(SEARCH("024",A28)))</formula>
    </cfRule>
    <cfRule type="containsText" dxfId="362" priority="8" operator="containsText" text="白醬">
      <formula>NOT(ISERROR(SEARCH("白醬",A28)))</formula>
    </cfRule>
    <cfRule type="containsText" dxfId="361" priority="9" operator="containsText" text="青蔥">
      <formula>NOT(ISERROR(SEARCH("青蔥",A28)))</formula>
    </cfRule>
    <cfRule type="containsText" dxfId="360" priority="10" operator="containsText" text=")川燙小青花菜">
      <formula>NOT(ISERROR(SEARCH(")川燙小青花菜",A28)))</formula>
    </cfRule>
    <cfRule type="containsText" dxfId="359" priority="11" operator="containsText" text="湯凍">
      <formula>NOT(ISERROR(SEARCH("湯凍",A28)))</formula>
    </cfRule>
    <cfRule type="containsText" dxfId="358" priority="12" operator="containsText" text="中華">
      <formula>NOT(ISERROR(SEARCH("中華",A28)))</formula>
    </cfRule>
  </conditionalFormatting>
  <conditionalFormatting sqref="A44:A53">
    <cfRule type="containsText" dxfId="357" priority="17" operator="containsText" text="綠豆芽">
      <formula>NOT(ISERROR(SEARCH("綠豆芽",A44)))</formula>
    </cfRule>
    <cfRule type="containsText" dxfId="356" priority="18" operator="containsText" text="煮白細麵生(方#12)">
      <formula>NOT(ISERROR(SEARCH("煮白細麵生(方#12)",A44)))</formula>
    </cfRule>
    <cfRule type="containsText" dxfId="355" priority="19" operator="containsText" text="024">
      <formula>NOT(ISERROR(SEARCH("024",A44)))</formula>
    </cfRule>
    <cfRule type="containsText" dxfId="354" priority="20" operator="containsText" text="白醬">
      <formula>NOT(ISERROR(SEARCH("白醬",A44)))</formula>
    </cfRule>
    <cfRule type="containsText" dxfId="353" priority="21" operator="containsText" text="青蔥">
      <formula>NOT(ISERROR(SEARCH("青蔥",A44)))</formula>
    </cfRule>
    <cfRule type="containsText" dxfId="352" priority="22" operator="containsText" text=")川燙小青花菜">
      <formula>NOT(ISERROR(SEARCH(")川燙小青花菜",A44)))</formula>
    </cfRule>
    <cfRule type="containsText" dxfId="351" priority="23" operator="containsText" text="湯凍">
      <formula>NOT(ISERROR(SEARCH("湯凍",A44)))</formula>
    </cfRule>
    <cfRule type="containsText" dxfId="350" priority="24" operator="containsText" text="中華">
      <formula>NOT(ISERROR(SEARCH("中華",A44)))</formula>
    </cfRule>
  </conditionalFormatting>
  <conditionalFormatting sqref="D44:D53">
    <cfRule type="cellIs" dxfId="349" priority="16" operator="greaterThan">
      <formula>0.146</formula>
    </cfRule>
  </conditionalFormatting>
  <conditionalFormatting sqref="E5">
    <cfRule type="cellIs" dxfId="348" priority="25" operator="greaterThan">
      <formula>0.072</formula>
    </cfRule>
    <cfRule type="cellIs" dxfId="347" priority="26" operator="greaterThan">
      <formula>7.2</formula>
    </cfRule>
    <cfRule type="cellIs" dxfId="346" priority="14" operator="greaterThan">
      <formula>0.0025</formula>
    </cfRule>
  </conditionalFormatting>
  <conditionalFormatting sqref="G5">
    <cfRule type="cellIs" dxfId="345" priority="3" operator="greaterThan">
      <formula>7.2</formula>
    </cfRule>
    <cfRule type="cellIs" dxfId="344" priority="2" operator="greaterThan">
      <formula>0.072</formula>
    </cfRule>
    <cfRule type="cellIs" dxfId="343" priority="1" operator="greaterThan">
      <formula>0.0025</formula>
    </cfRule>
  </conditionalFormatting>
  <conditionalFormatting sqref="H12:H22">
    <cfRule type="cellIs" dxfId="342" priority="15" operator="greaterThan">
      <formula>1.1</formula>
    </cfRule>
  </conditionalFormatting>
  <conditionalFormatting sqref="H28:H37">
    <cfRule type="cellIs" dxfId="341" priority="4" operator="greaterThan">
      <formula>1.1</formula>
    </cfRule>
  </conditionalFormatting>
  <conditionalFormatting sqref="I5">
    <cfRule type="cellIs" dxfId="34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6D91-3940-45AC-A7C3-E7ABFD36B5BF}">
  <sheetPr>
    <tabColor rgb="FFFF0000"/>
    <pageSetUpPr fitToPage="1"/>
  </sheetPr>
  <dimension ref="A1:R56"/>
  <sheetViews>
    <sheetView topLeftCell="E13"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45909</v>
      </c>
      <c r="B3" s="149"/>
      <c r="C3" s="150">
        <v>7852972.2199999997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18989.067600000009</v>
      </c>
      <c r="E5" s="24">
        <f>D5/C3</f>
        <v>2.4180739556977585E-3</v>
      </c>
      <c r="F5" s="23">
        <v>56792.052099999979</v>
      </c>
      <c r="G5" s="25">
        <f>F5/C3</f>
        <v>7.2319181208054728E-3</v>
      </c>
      <c r="H5" s="26">
        <f>SUM(C12:C21)</f>
        <v>6211.8667999999998</v>
      </c>
      <c r="I5" s="27">
        <f>H5/D5</f>
        <v>0.32712858423864882</v>
      </c>
      <c r="J5" s="26">
        <f>SUM(C28:C37)</f>
        <v>13180.341699999964</v>
      </c>
      <c r="K5" s="28">
        <f>J5/F5</f>
        <v>0.23208074391803796</v>
      </c>
      <c r="L5" s="29">
        <v>3586.7374</v>
      </c>
      <c r="M5" s="30">
        <f>L5/D5</f>
        <v>0.18888433468950303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59</v>
      </c>
      <c r="C12" s="36">
        <v>1236</v>
      </c>
      <c r="D12" s="37">
        <v>4583</v>
      </c>
      <c r="E12" s="37">
        <v>4663</v>
      </c>
      <c r="F12" s="37">
        <v>0</v>
      </c>
      <c r="G12" s="36">
        <v>15.45</v>
      </c>
      <c r="H12" s="38">
        <f>(E12+F12)/D12</f>
        <v>1.0174558149683612</v>
      </c>
      <c r="I12" s="36">
        <v>1236</v>
      </c>
      <c r="J12" s="37">
        <v>80</v>
      </c>
      <c r="K12" s="39">
        <f>J12/D12</f>
        <v>1.7455814968361336E-2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117</v>
      </c>
      <c r="C13" s="36">
        <v>1139.52</v>
      </c>
      <c r="D13" s="37">
        <v>147.52000000000001</v>
      </c>
      <c r="E13" s="37">
        <v>159.39000000000001</v>
      </c>
      <c r="F13" s="37">
        <v>0</v>
      </c>
      <c r="G13" s="36">
        <v>96</v>
      </c>
      <c r="H13" s="38">
        <f t="shared" ref="H13:H21" si="1">(E13+F13)/D13</f>
        <v>1.0804636659436009</v>
      </c>
      <c r="I13" s="36">
        <v>1139.5200000000004</v>
      </c>
      <c r="J13" s="37">
        <v>11.87</v>
      </c>
      <c r="K13" s="39">
        <f>J13/D13</f>
        <v>8.0463665943600854E-2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69" t="s">
        <v>84</v>
      </c>
      <c r="Q13" s="44"/>
      <c r="R13" s="45" t="s">
        <v>119</v>
      </c>
    </row>
    <row r="14" spans="1:18" s="46" customFormat="1" ht="24.95" customHeight="1" x14ac:dyDescent="0.25">
      <c r="A14" s="47">
        <v>3</v>
      </c>
      <c r="B14" s="35" t="s">
        <v>148</v>
      </c>
      <c r="C14" s="36">
        <v>736.96900000000005</v>
      </c>
      <c r="D14" s="37">
        <v>90.26</v>
      </c>
      <c r="E14" s="37">
        <v>96.160000000000011</v>
      </c>
      <c r="F14" s="37">
        <v>0</v>
      </c>
      <c r="G14" s="36">
        <v>124.91</v>
      </c>
      <c r="H14" s="38">
        <f>(E14+F14)/D14</f>
        <v>1.0653667183691558</v>
      </c>
      <c r="I14" s="36">
        <v>736.96900000000073</v>
      </c>
      <c r="J14" s="37">
        <v>5.9</v>
      </c>
      <c r="K14" s="39">
        <f t="shared" ref="K14:K21" si="4">J14/D14</f>
        <v>6.5366718369155766E-2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67</v>
      </c>
      <c r="Q14" s="44"/>
      <c r="R14" s="45" t="s">
        <v>149</v>
      </c>
    </row>
    <row r="15" spans="1:18" s="46" customFormat="1" ht="24.95" customHeight="1" x14ac:dyDescent="0.25">
      <c r="A15" s="34">
        <v>4</v>
      </c>
      <c r="B15" s="35" t="s">
        <v>82</v>
      </c>
      <c r="C15" s="36">
        <v>654.58920000000012</v>
      </c>
      <c r="D15" s="37">
        <v>773.85</v>
      </c>
      <c r="E15" s="37">
        <v>783.43</v>
      </c>
      <c r="F15" s="37">
        <v>5.8</v>
      </c>
      <c r="G15" s="36">
        <v>147.43</v>
      </c>
      <c r="H15" s="38">
        <f>(E15+F15)/D15</f>
        <v>1.0198746527104734</v>
      </c>
      <c r="I15" s="36">
        <v>2267.4733999999826</v>
      </c>
      <c r="J15" s="37">
        <v>4.4400000000000004</v>
      </c>
      <c r="K15" s="39">
        <f t="shared" si="4"/>
        <v>5.7375460360534992E-3</v>
      </c>
      <c r="L15" s="40">
        <f t="shared" si="2"/>
        <v>10.93999999999988</v>
      </c>
      <c r="M15" s="41">
        <f t="shared" si="3"/>
        <v>1.4137106674419952E-2</v>
      </c>
      <c r="N15" s="42">
        <f t="shared" si="0"/>
        <v>1612.8841999999825</v>
      </c>
      <c r="O15" s="43" t="s">
        <v>57</v>
      </c>
      <c r="P15" s="69" t="s">
        <v>84</v>
      </c>
      <c r="Q15" s="44" t="s">
        <v>85</v>
      </c>
      <c r="R15" s="45" t="s">
        <v>58</v>
      </c>
    </row>
    <row r="16" spans="1:18" s="46" customFormat="1" ht="24.95" customHeight="1" x14ac:dyDescent="0.25">
      <c r="A16" s="47">
        <v>5</v>
      </c>
      <c r="B16" s="35" t="s">
        <v>147</v>
      </c>
      <c r="C16" s="36">
        <v>515.37599999999998</v>
      </c>
      <c r="D16" s="37">
        <v>263.61</v>
      </c>
      <c r="E16" s="37">
        <v>260.21000000000004</v>
      </c>
      <c r="F16" s="37">
        <v>8.8000000000000007</v>
      </c>
      <c r="G16" s="36">
        <v>95.44</v>
      </c>
      <c r="H16" s="38">
        <f t="shared" si="1"/>
        <v>1.0204848071013999</v>
      </c>
      <c r="I16" s="36">
        <v>515.37600000000327</v>
      </c>
      <c r="J16" s="37">
        <v>5.4</v>
      </c>
      <c r="K16" s="39">
        <f t="shared" si="4"/>
        <v>2.0484807101399796E-2</v>
      </c>
      <c r="L16" s="40">
        <f t="shared" si="2"/>
        <v>3.3750779948604759E-14</v>
      </c>
      <c r="M16" s="41">
        <f t="shared" si="3"/>
        <v>1.2803300310536307E-16</v>
      </c>
      <c r="N16" s="42">
        <f t="shared" si="0"/>
        <v>3.221174438294838E-12</v>
      </c>
      <c r="O16" s="43" t="s">
        <v>57</v>
      </c>
      <c r="P16" s="69" t="s">
        <v>235</v>
      </c>
      <c r="Q16" s="44"/>
      <c r="R16" s="45" t="s">
        <v>58</v>
      </c>
    </row>
    <row r="17" spans="1:18" s="46" customFormat="1" ht="24.95" customHeight="1" x14ac:dyDescent="0.25">
      <c r="A17" s="34">
        <v>6</v>
      </c>
      <c r="B17" s="35" t="s">
        <v>69</v>
      </c>
      <c r="C17" s="36">
        <v>459.57</v>
      </c>
      <c r="D17" s="37">
        <v>51.24</v>
      </c>
      <c r="E17" s="37">
        <v>55.81</v>
      </c>
      <c r="F17" s="37">
        <v>0</v>
      </c>
      <c r="G17" s="36">
        <v>153.19</v>
      </c>
      <c r="H17" s="38">
        <f t="shared" si="1"/>
        <v>1.0891881342701015</v>
      </c>
      <c r="I17" s="36">
        <v>700.07830000000001</v>
      </c>
      <c r="J17" s="37">
        <v>3</v>
      </c>
      <c r="K17" s="39">
        <f t="shared" si="4"/>
        <v>5.8548009367681494E-2</v>
      </c>
      <c r="L17" s="40">
        <f t="shared" si="2"/>
        <v>1.5700000000000003</v>
      </c>
      <c r="M17" s="41">
        <f t="shared" si="3"/>
        <v>3.0640124902419987E-2</v>
      </c>
      <c r="N17" s="42">
        <f t="shared" si="0"/>
        <v>240.50830000000005</v>
      </c>
      <c r="O17" s="43" t="s">
        <v>57</v>
      </c>
      <c r="P17" s="44" t="s">
        <v>67</v>
      </c>
      <c r="Q17" s="44"/>
      <c r="R17" s="45" t="s">
        <v>70</v>
      </c>
    </row>
    <row r="18" spans="1:18" s="46" customFormat="1" ht="24.95" customHeight="1" x14ac:dyDescent="0.25">
      <c r="A18" s="47">
        <v>7</v>
      </c>
      <c r="B18" s="35" t="s">
        <v>162</v>
      </c>
      <c r="C18" s="36">
        <v>429.79220000000004</v>
      </c>
      <c r="D18" s="37">
        <v>312</v>
      </c>
      <c r="E18" s="37">
        <v>313.19</v>
      </c>
      <c r="F18" s="37">
        <v>16</v>
      </c>
      <c r="G18" s="36">
        <v>108.26</v>
      </c>
      <c r="H18" s="38">
        <f t="shared" si="1"/>
        <v>1.0550961538461539</v>
      </c>
      <c r="I18" s="36">
        <v>1860.9893999999999</v>
      </c>
      <c r="J18" s="37">
        <v>3.97</v>
      </c>
      <c r="K18" s="39">
        <f t="shared" si="4"/>
        <v>1.2724358974358975E-2</v>
      </c>
      <c r="L18" s="40">
        <f>((E18+F18)-D18)-J18</f>
        <v>13.219999999999997</v>
      </c>
      <c r="M18" s="41">
        <f t="shared" si="3"/>
        <v>4.2371794871794863E-2</v>
      </c>
      <c r="N18" s="42">
        <f t="shared" si="0"/>
        <v>1431.1971999999998</v>
      </c>
      <c r="O18" s="43" t="s">
        <v>57</v>
      </c>
      <c r="P18" s="44" t="s">
        <v>67</v>
      </c>
      <c r="Q18" s="44"/>
      <c r="R18" s="45" t="s">
        <v>163</v>
      </c>
    </row>
    <row r="19" spans="1:18" s="46" customFormat="1" ht="24.95" customHeight="1" x14ac:dyDescent="0.25">
      <c r="A19" s="34">
        <v>8</v>
      </c>
      <c r="B19" s="35" t="s">
        <v>164</v>
      </c>
      <c r="C19" s="36">
        <v>365.03759999999994</v>
      </c>
      <c r="D19" s="37">
        <v>330.26</v>
      </c>
      <c r="E19" s="37">
        <v>327.38</v>
      </c>
      <c r="F19" s="37">
        <v>8.4</v>
      </c>
      <c r="G19" s="36">
        <v>66.13</v>
      </c>
      <c r="H19" s="38">
        <f t="shared" si="1"/>
        <v>1.0167141040392418</v>
      </c>
      <c r="I19" s="36">
        <v>365.03759999999875</v>
      </c>
      <c r="J19" s="37">
        <v>5.52</v>
      </c>
      <c r="K19" s="39">
        <f t="shared" si="4"/>
        <v>1.6714104039241808E-2</v>
      </c>
      <c r="L19" s="40">
        <f t="shared" si="2"/>
        <v>-1.7763568394002505E-14</v>
      </c>
      <c r="M19" s="41">
        <f t="shared" si="3"/>
        <v>-5.3786617798106056E-17</v>
      </c>
      <c r="N19" s="42">
        <f t="shared" si="0"/>
        <v>-1.1747047778953856E-12</v>
      </c>
      <c r="O19" s="43" t="s">
        <v>57</v>
      </c>
      <c r="P19" s="69" t="s">
        <v>235</v>
      </c>
      <c r="Q19" s="44"/>
      <c r="R19" s="45" t="s">
        <v>165</v>
      </c>
    </row>
    <row r="20" spans="1:18" s="46" customFormat="1" ht="24.95" customHeight="1" x14ac:dyDescent="0.25">
      <c r="A20" s="47">
        <v>9</v>
      </c>
      <c r="B20" s="35" t="s">
        <v>112</v>
      </c>
      <c r="C20" s="36">
        <v>338.52</v>
      </c>
      <c r="D20" s="37">
        <v>5908</v>
      </c>
      <c r="E20" s="37">
        <v>5870</v>
      </c>
      <c r="F20" s="37">
        <v>100</v>
      </c>
      <c r="G20" s="36">
        <v>5.46</v>
      </c>
      <c r="H20" s="38">
        <f t="shared" si="1"/>
        <v>1.0104942450914014</v>
      </c>
      <c r="I20" s="36">
        <v>338.52</v>
      </c>
      <c r="J20" s="37">
        <v>62</v>
      </c>
      <c r="K20" s="39">
        <f t="shared" si="4"/>
        <v>1.049424509140149E-2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3" t="s">
        <v>64</v>
      </c>
      <c r="Q20" s="44" t="s">
        <v>113</v>
      </c>
      <c r="R20" s="45" t="s">
        <v>98</v>
      </c>
    </row>
    <row r="21" spans="1:18" s="46" customFormat="1" ht="24.95" customHeight="1" thickBot="1" x14ac:dyDescent="0.3">
      <c r="A21" s="48">
        <v>10</v>
      </c>
      <c r="B21" s="49" t="s">
        <v>166</v>
      </c>
      <c r="C21" s="50">
        <v>336.49279999999993</v>
      </c>
      <c r="D21" s="51">
        <v>37.74</v>
      </c>
      <c r="E21" s="51">
        <v>40.06</v>
      </c>
      <c r="F21" s="51">
        <v>0</v>
      </c>
      <c r="G21" s="50">
        <v>145.04</v>
      </c>
      <c r="H21" s="52">
        <f t="shared" si="1"/>
        <v>1.0614732379438261</v>
      </c>
      <c r="I21" s="50">
        <v>336.49280000000005</v>
      </c>
      <c r="J21" s="51">
        <v>2.3199999999999998</v>
      </c>
      <c r="K21" s="53">
        <f t="shared" si="4"/>
        <v>6.147323794382617E-2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7" t="s">
        <v>67</v>
      </c>
      <c r="Q21" s="57"/>
      <c r="R21" s="58" t="s">
        <v>165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167</v>
      </c>
      <c r="C28" s="36">
        <v>2098.6602000000003</v>
      </c>
      <c r="D28" s="37">
        <v>31.36</v>
      </c>
      <c r="E28" s="37">
        <v>31.54</v>
      </c>
      <c r="F28" s="37">
        <v>5.6</v>
      </c>
      <c r="G28" s="36">
        <v>363.09</v>
      </c>
      <c r="H28" s="68">
        <f t="shared" ref="H28:H37" si="5">(E28+F28)/D28</f>
        <v>1.184311224489796</v>
      </c>
      <c r="I28" s="36">
        <v>2098.6602000000003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5.7800000000000011</v>
      </c>
      <c r="N28" s="41">
        <f t="shared" ref="N28:N37" si="9">M28/D28</f>
        <v>0.18431122448979595</v>
      </c>
      <c r="O28" s="43" t="s">
        <v>83</v>
      </c>
      <c r="P28" s="69" t="s">
        <v>235</v>
      </c>
      <c r="Q28" s="44"/>
      <c r="R28" s="45" t="s">
        <v>155</v>
      </c>
    </row>
    <row r="29" spans="1:18" s="67" customFormat="1" ht="24.95" customHeight="1" x14ac:dyDescent="0.25">
      <c r="A29" s="47">
        <v>2</v>
      </c>
      <c r="B29" s="35" t="s">
        <v>137</v>
      </c>
      <c r="C29" s="36">
        <v>1666.7439999999992</v>
      </c>
      <c r="D29" s="37">
        <v>63.46</v>
      </c>
      <c r="E29" s="37">
        <v>64.209999999999994</v>
      </c>
      <c r="F29" s="37">
        <v>1.9</v>
      </c>
      <c r="G29" s="36">
        <v>628.96</v>
      </c>
      <c r="H29" s="68">
        <f t="shared" si="5"/>
        <v>1.041758588086984</v>
      </c>
      <c r="I29" s="36">
        <v>1666.7439999999992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2.6499999999999986</v>
      </c>
      <c r="N29" s="41">
        <f t="shared" si="9"/>
        <v>4.1758588086983905E-2</v>
      </c>
      <c r="O29" s="43" t="s">
        <v>83</v>
      </c>
      <c r="P29" s="69" t="s">
        <v>235</v>
      </c>
      <c r="Q29" s="44"/>
      <c r="R29" s="45" t="s">
        <v>138</v>
      </c>
    </row>
    <row r="30" spans="1:18" s="67" customFormat="1" ht="24.95" customHeight="1" x14ac:dyDescent="0.25">
      <c r="A30" s="47">
        <v>3</v>
      </c>
      <c r="B30" s="35" t="s">
        <v>82</v>
      </c>
      <c r="C30" s="36">
        <v>1612.8841999999825</v>
      </c>
      <c r="D30" s="37">
        <v>773.85</v>
      </c>
      <c r="E30" s="37">
        <v>783.43</v>
      </c>
      <c r="F30" s="37">
        <v>5.8</v>
      </c>
      <c r="G30" s="36">
        <v>147.43</v>
      </c>
      <c r="H30" s="68">
        <f t="shared" si="5"/>
        <v>1.0198746527104734</v>
      </c>
      <c r="I30" s="36">
        <v>2267.4733999999826</v>
      </c>
      <c r="J30" s="37">
        <v>4.4400000000000004</v>
      </c>
      <c r="K30" s="39">
        <f t="shared" si="6"/>
        <v>5.7375460360534992E-3</v>
      </c>
      <c r="L30" s="42">
        <f t="shared" si="7"/>
        <v>654.58920000000012</v>
      </c>
      <c r="M30" s="40">
        <f t="shared" si="8"/>
        <v>10.93999999999988</v>
      </c>
      <c r="N30" s="41">
        <f t="shared" si="9"/>
        <v>1.4137106674419952E-2</v>
      </c>
      <c r="O30" s="43" t="s">
        <v>83</v>
      </c>
      <c r="P30" s="69" t="s">
        <v>84</v>
      </c>
      <c r="Q30" s="44" t="s">
        <v>85</v>
      </c>
      <c r="R30" s="45" t="s">
        <v>58</v>
      </c>
    </row>
    <row r="31" spans="1:18" s="67" customFormat="1" ht="24.95" customHeight="1" x14ac:dyDescent="0.25">
      <c r="A31" s="34">
        <v>4</v>
      </c>
      <c r="B31" s="35" t="s">
        <v>88</v>
      </c>
      <c r="C31" s="36">
        <v>1503.2847999999997</v>
      </c>
      <c r="D31" s="37">
        <v>24.54</v>
      </c>
      <c r="E31" s="37">
        <v>24.81</v>
      </c>
      <c r="F31" s="37">
        <v>2</v>
      </c>
      <c r="G31" s="36">
        <v>662.24</v>
      </c>
      <c r="H31" s="68">
        <f t="shared" si="5"/>
        <v>1.0925020374898124</v>
      </c>
      <c r="I31" s="36">
        <v>1503.2847999999997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2.2699999999999996</v>
      </c>
      <c r="N31" s="41">
        <f t="shared" si="9"/>
        <v>9.2502037489812533E-2</v>
      </c>
      <c r="O31" s="43" t="s">
        <v>83</v>
      </c>
      <c r="P31" s="69" t="s">
        <v>235</v>
      </c>
      <c r="Q31" s="44"/>
      <c r="R31" s="45" t="s">
        <v>65</v>
      </c>
    </row>
    <row r="32" spans="1:18" s="67" customFormat="1" ht="24.95" customHeight="1" x14ac:dyDescent="0.25">
      <c r="A32" s="47">
        <v>5</v>
      </c>
      <c r="B32" s="35" t="s">
        <v>86</v>
      </c>
      <c r="C32" s="36">
        <v>1457.0360999999914</v>
      </c>
      <c r="D32" s="37">
        <v>4247.91</v>
      </c>
      <c r="E32" s="37">
        <v>4226.7</v>
      </c>
      <c r="F32" s="37">
        <v>58.2</v>
      </c>
      <c r="G32" s="36">
        <v>39.39</v>
      </c>
      <c r="H32" s="68">
        <f t="shared" si="5"/>
        <v>1.0087078116061781</v>
      </c>
      <c r="I32" s="36">
        <v>1457.0360999999914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36.989999999999782</v>
      </c>
      <c r="N32" s="41">
        <f t="shared" si="9"/>
        <v>8.7078116061780463E-3</v>
      </c>
      <c r="O32" s="43" t="s">
        <v>83</v>
      </c>
      <c r="P32" s="44" t="s">
        <v>60</v>
      </c>
      <c r="Q32" s="44" t="s">
        <v>87</v>
      </c>
      <c r="R32" s="45" t="s">
        <v>58</v>
      </c>
    </row>
    <row r="33" spans="1:18" s="67" customFormat="1" ht="24.95" customHeight="1" x14ac:dyDescent="0.25">
      <c r="A33" s="34">
        <v>6</v>
      </c>
      <c r="B33" s="35" t="s">
        <v>162</v>
      </c>
      <c r="C33" s="36">
        <v>1431.1971999999998</v>
      </c>
      <c r="D33" s="37">
        <v>312</v>
      </c>
      <c r="E33" s="37">
        <v>313.19</v>
      </c>
      <c r="F33" s="37">
        <v>16</v>
      </c>
      <c r="G33" s="36">
        <v>108.26</v>
      </c>
      <c r="H33" s="68">
        <f t="shared" si="5"/>
        <v>1.0550961538461539</v>
      </c>
      <c r="I33" s="36">
        <v>1860.9893999999999</v>
      </c>
      <c r="J33" s="37">
        <v>3.97</v>
      </c>
      <c r="K33" s="39">
        <f t="shared" si="6"/>
        <v>1.2724358974358975E-2</v>
      </c>
      <c r="L33" s="42">
        <f t="shared" si="7"/>
        <v>429.79220000000004</v>
      </c>
      <c r="M33" s="40">
        <f t="shared" si="8"/>
        <v>13.219999999999997</v>
      </c>
      <c r="N33" s="41">
        <f t="shared" si="9"/>
        <v>4.2371794871794863E-2</v>
      </c>
      <c r="O33" s="43" t="s">
        <v>83</v>
      </c>
      <c r="P33" s="69" t="s">
        <v>235</v>
      </c>
      <c r="Q33" s="44"/>
      <c r="R33" s="45" t="s">
        <v>163</v>
      </c>
    </row>
    <row r="34" spans="1:18" s="67" customFormat="1" ht="24.95" customHeight="1" x14ac:dyDescent="0.25">
      <c r="A34" s="47">
        <v>7</v>
      </c>
      <c r="B34" s="35" t="s">
        <v>94</v>
      </c>
      <c r="C34" s="36">
        <v>957.1323999999903</v>
      </c>
      <c r="D34" s="37">
        <v>202.87</v>
      </c>
      <c r="E34" s="37">
        <v>201.44</v>
      </c>
      <c r="F34" s="37">
        <v>3.01</v>
      </c>
      <c r="G34" s="36">
        <v>605.78</v>
      </c>
      <c r="H34" s="68">
        <f t="shared" si="5"/>
        <v>1.0077882387735988</v>
      </c>
      <c r="I34" s="36">
        <v>957.1323999999903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1.5799999999999841</v>
      </c>
      <c r="N34" s="41">
        <f t="shared" si="9"/>
        <v>7.7882387735987782E-3</v>
      </c>
      <c r="O34" s="43" t="s">
        <v>83</v>
      </c>
      <c r="P34" s="44" t="s">
        <v>60</v>
      </c>
      <c r="Q34" s="44" t="s">
        <v>87</v>
      </c>
      <c r="R34" s="45" t="s">
        <v>95</v>
      </c>
    </row>
    <row r="35" spans="1:18" s="67" customFormat="1" ht="24.95" customHeight="1" x14ac:dyDescent="0.25">
      <c r="A35" s="34">
        <v>8</v>
      </c>
      <c r="B35" s="35" t="s">
        <v>134</v>
      </c>
      <c r="C35" s="36">
        <v>951.41800000000319</v>
      </c>
      <c r="D35" s="37">
        <v>110.5</v>
      </c>
      <c r="E35" s="37">
        <v>110.23</v>
      </c>
      <c r="F35" s="37">
        <v>2.87</v>
      </c>
      <c r="G35" s="36">
        <v>365.93</v>
      </c>
      <c r="H35" s="68">
        <f t="shared" si="5"/>
        <v>1.023529411764706</v>
      </c>
      <c r="I35" s="36">
        <v>951.41800000000319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2.6000000000000085</v>
      </c>
      <c r="N35" s="41">
        <f t="shared" si="9"/>
        <v>2.3529411764705958E-2</v>
      </c>
      <c r="O35" s="43" t="s">
        <v>83</v>
      </c>
      <c r="P35" s="69" t="s">
        <v>235</v>
      </c>
      <c r="Q35" s="44"/>
      <c r="R35" s="45" t="s">
        <v>72</v>
      </c>
    </row>
    <row r="36" spans="1:18" s="67" customFormat="1" ht="24.95" customHeight="1" x14ac:dyDescent="0.25">
      <c r="A36" s="47">
        <v>9</v>
      </c>
      <c r="B36" s="35" t="s">
        <v>91</v>
      </c>
      <c r="C36" s="36">
        <v>759.6899999999963</v>
      </c>
      <c r="D36" s="37">
        <v>551.82000000000005</v>
      </c>
      <c r="E36" s="37">
        <v>527.64</v>
      </c>
      <c r="F36" s="37">
        <v>47.18</v>
      </c>
      <c r="G36" s="36">
        <v>33.03</v>
      </c>
      <c r="H36" s="68">
        <f t="shared" si="5"/>
        <v>1.0416802580551627</v>
      </c>
      <c r="I36" s="36">
        <v>759.6899999999963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22.999999999999886</v>
      </c>
      <c r="N36" s="41">
        <f t="shared" si="9"/>
        <v>4.1680258055162706E-2</v>
      </c>
      <c r="O36" s="43" t="s">
        <v>97</v>
      </c>
      <c r="P36" s="69" t="s">
        <v>235</v>
      </c>
      <c r="Q36" s="44"/>
      <c r="R36" s="45" t="s">
        <v>77</v>
      </c>
    </row>
    <row r="37" spans="1:18" s="67" customFormat="1" ht="24.95" customHeight="1" thickBot="1" x14ac:dyDescent="0.3">
      <c r="A37" s="48">
        <v>10</v>
      </c>
      <c r="B37" s="49" t="s">
        <v>161</v>
      </c>
      <c r="C37" s="50">
        <v>742.29480000000058</v>
      </c>
      <c r="D37" s="51">
        <v>27.24</v>
      </c>
      <c r="E37" s="51">
        <v>27.45</v>
      </c>
      <c r="F37" s="51">
        <v>1.32</v>
      </c>
      <c r="G37" s="50">
        <v>485.16</v>
      </c>
      <c r="H37" s="70">
        <f t="shared" si="5"/>
        <v>1.0561674008810573</v>
      </c>
      <c r="I37" s="50">
        <v>742.29480000000058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1.5300000000000011</v>
      </c>
      <c r="N37" s="55">
        <f t="shared" si="9"/>
        <v>5.6167400881057317E-2</v>
      </c>
      <c r="O37" s="57" t="s">
        <v>97</v>
      </c>
      <c r="P37" s="71" t="s">
        <v>235</v>
      </c>
      <c r="Q37" s="72"/>
      <c r="R37" s="58" t="s">
        <v>93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82</v>
      </c>
      <c r="C44" s="36">
        <v>654.58920000000012</v>
      </c>
      <c r="D44" s="78">
        <f t="shared" ref="D44:D53" si="10">C44/$L$5</f>
        <v>0.18250268335786168</v>
      </c>
      <c r="E44" s="79"/>
    </row>
    <row r="45" spans="1:18" s="80" customFormat="1" ht="24.95" customHeight="1" x14ac:dyDescent="0.25">
      <c r="A45" s="81">
        <v>2</v>
      </c>
      <c r="B45" s="35" t="s">
        <v>147</v>
      </c>
      <c r="C45" s="36">
        <v>515.37599999999998</v>
      </c>
      <c r="D45" s="78">
        <f t="shared" si="10"/>
        <v>0.14368935958344761</v>
      </c>
      <c r="E45" s="79"/>
    </row>
    <row r="46" spans="1:18" s="80" customFormat="1" ht="24.95" customHeight="1" x14ac:dyDescent="0.25">
      <c r="A46" s="81">
        <v>3</v>
      </c>
      <c r="B46" s="35" t="s">
        <v>168</v>
      </c>
      <c r="C46" s="36">
        <v>323.82449999999994</v>
      </c>
      <c r="D46" s="78">
        <f t="shared" si="10"/>
        <v>9.028386075880547E-2</v>
      </c>
      <c r="E46" s="79"/>
    </row>
    <row r="47" spans="1:18" s="80" customFormat="1" ht="24.95" customHeight="1" x14ac:dyDescent="0.25">
      <c r="A47" s="77">
        <v>4</v>
      </c>
      <c r="B47" s="35" t="s">
        <v>108</v>
      </c>
      <c r="C47" s="36">
        <v>230.17469999999997</v>
      </c>
      <c r="D47" s="78">
        <f t="shared" si="10"/>
        <v>6.4173836646083976E-2</v>
      </c>
      <c r="E47" s="79"/>
    </row>
    <row r="48" spans="1:18" s="80" customFormat="1" ht="24.95" customHeight="1" x14ac:dyDescent="0.25">
      <c r="A48" s="81">
        <v>5</v>
      </c>
      <c r="B48" s="35" t="s">
        <v>105</v>
      </c>
      <c r="C48" s="36">
        <v>215.60000000000002</v>
      </c>
      <c r="D48" s="78">
        <f t="shared" si="10"/>
        <v>6.0110338716182571E-2</v>
      </c>
      <c r="E48" s="79"/>
    </row>
    <row r="49" spans="1:5" s="80" customFormat="1" ht="24.95" customHeight="1" x14ac:dyDescent="0.25">
      <c r="A49" s="77">
        <v>6</v>
      </c>
      <c r="B49" s="35" t="s">
        <v>104</v>
      </c>
      <c r="C49" s="36">
        <v>210.6</v>
      </c>
      <c r="D49" s="78">
        <f t="shared" si="10"/>
        <v>5.87163141633954E-2</v>
      </c>
      <c r="E49" s="79"/>
    </row>
    <row r="50" spans="1:5" s="80" customFormat="1" ht="24.95" customHeight="1" x14ac:dyDescent="0.25">
      <c r="A50" s="81">
        <v>7</v>
      </c>
      <c r="B50" s="35" t="s">
        <v>109</v>
      </c>
      <c r="C50" s="36">
        <v>188.24</v>
      </c>
      <c r="D50" s="78">
        <f t="shared" si="10"/>
        <v>5.24822363633312E-2</v>
      </c>
      <c r="E50" s="79"/>
    </row>
    <row r="51" spans="1:5" s="80" customFormat="1" ht="24.95" customHeight="1" x14ac:dyDescent="0.25">
      <c r="A51" s="77">
        <v>8</v>
      </c>
      <c r="B51" s="35" t="s">
        <v>103</v>
      </c>
      <c r="C51" s="36">
        <v>178.8912</v>
      </c>
      <c r="D51" s="78">
        <f t="shared" si="10"/>
        <v>4.9875745015511869E-2</v>
      </c>
      <c r="E51" s="79"/>
    </row>
    <row r="52" spans="1:5" s="80" customFormat="1" ht="24.95" customHeight="1" x14ac:dyDescent="0.25">
      <c r="A52" s="81">
        <v>9</v>
      </c>
      <c r="B52" s="35" t="s">
        <v>56</v>
      </c>
      <c r="C52" s="36">
        <v>172.584</v>
      </c>
      <c r="D52" s="78">
        <f t="shared" si="10"/>
        <v>4.8117266683644029E-2</v>
      </c>
      <c r="E52" s="79"/>
    </row>
    <row r="53" spans="1:5" s="80" customFormat="1" ht="24.95" customHeight="1" thickBot="1" x14ac:dyDescent="0.3">
      <c r="A53" s="82">
        <v>10</v>
      </c>
      <c r="B53" s="49" t="s">
        <v>125</v>
      </c>
      <c r="C53" s="50">
        <v>172</v>
      </c>
      <c r="D53" s="83">
        <f t="shared" si="10"/>
        <v>4.7954444615878486E-2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39" priority="34" operator="containsText" text="中華">
      <formula>NOT(ISERROR(SEARCH("中華",A12)))</formula>
    </cfRule>
    <cfRule type="containsText" dxfId="338" priority="33" operator="containsText" text="湯凍">
      <formula>NOT(ISERROR(SEARCH("湯凍",A12)))</formula>
    </cfRule>
    <cfRule type="containsText" dxfId="337" priority="32" operator="containsText" text=")川燙小青花菜">
      <formula>NOT(ISERROR(SEARCH(")川燙小青花菜",A12)))</formula>
    </cfRule>
    <cfRule type="containsText" dxfId="336" priority="31" operator="containsText" text="青蔥">
      <formula>NOT(ISERROR(SEARCH("青蔥",A12)))</formula>
    </cfRule>
    <cfRule type="containsText" dxfId="335" priority="30" operator="containsText" text="白醬">
      <formula>NOT(ISERROR(SEARCH("白醬",A12)))</formula>
    </cfRule>
    <cfRule type="containsText" dxfId="334" priority="29" operator="containsText" text="024">
      <formula>NOT(ISERROR(SEARCH("024",A12)))</formula>
    </cfRule>
    <cfRule type="containsText" dxfId="333" priority="28" operator="containsText" text="煮白細麵生(方#12)">
      <formula>NOT(ISERROR(SEARCH("煮白細麵生(方#12)",A12)))</formula>
    </cfRule>
    <cfRule type="containsText" dxfId="332" priority="27" operator="containsText" text="綠豆芽">
      <formula>NOT(ISERROR(SEARCH("綠豆芽",A12)))</formula>
    </cfRule>
  </conditionalFormatting>
  <conditionalFormatting sqref="A28:A37">
    <cfRule type="containsText" dxfId="331" priority="5" operator="containsText" text="綠豆芽">
      <formula>NOT(ISERROR(SEARCH("綠豆芽",A28)))</formula>
    </cfRule>
    <cfRule type="containsText" dxfId="330" priority="6" operator="containsText" text="煮白細麵生(方#12)">
      <formula>NOT(ISERROR(SEARCH("煮白細麵生(方#12)",A28)))</formula>
    </cfRule>
    <cfRule type="containsText" dxfId="329" priority="7" operator="containsText" text="024">
      <formula>NOT(ISERROR(SEARCH("024",A28)))</formula>
    </cfRule>
    <cfRule type="containsText" dxfId="328" priority="8" operator="containsText" text="白醬">
      <formula>NOT(ISERROR(SEARCH("白醬",A28)))</formula>
    </cfRule>
    <cfRule type="containsText" dxfId="327" priority="9" operator="containsText" text="青蔥">
      <formula>NOT(ISERROR(SEARCH("青蔥",A28)))</formula>
    </cfRule>
    <cfRule type="containsText" dxfId="326" priority="10" operator="containsText" text=")川燙小青花菜">
      <formula>NOT(ISERROR(SEARCH(")川燙小青花菜",A28)))</formula>
    </cfRule>
    <cfRule type="containsText" dxfId="325" priority="11" operator="containsText" text="湯凍">
      <formula>NOT(ISERROR(SEARCH("湯凍",A28)))</formula>
    </cfRule>
    <cfRule type="containsText" dxfId="324" priority="12" operator="containsText" text="中華">
      <formula>NOT(ISERROR(SEARCH("中華",A28)))</formula>
    </cfRule>
  </conditionalFormatting>
  <conditionalFormatting sqref="A44:A53">
    <cfRule type="containsText" dxfId="323" priority="17" operator="containsText" text="綠豆芽">
      <formula>NOT(ISERROR(SEARCH("綠豆芽",A44)))</formula>
    </cfRule>
    <cfRule type="containsText" dxfId="322" priority="18" operator="containsText" text="煮白細麵生(方#12)">
      <formula>NOT(ISERROR(SEARCH("煮白細麵生(方#12)",A44)))</formula>
    </cfRule>
    <cfRule type="containsText" dxfId="321" priority="19" operator="containsText" text="024">
      <formula>NOT(ISERROR(SEARCH("024",A44)))</formula>
    </cfRule>
    <cfRule type="containsText" dxfId="320" priority="20" operator="containsText" text="白醬">
      <formula>NOT(ISERROR(SEARCH("白醬",A44)))</formula>
    </cfRule>
    <cfRule type="containsText" dxfId="319" priority="21" operator="containsText" text="青蔥">
      <formula>NOT(ISERROR(SEARCH("青蔥",A44)))</formula>
    </cfRule>
    <cfRule type="containsText" dxfId="318" priority="22" operator="containsText" text=")川燙小青花菜">
      <formula>NOT(ISERROR(SEARCH(")川燙小青花菜",A44)))</formula>
    </cfRule>
    <cfRule type="containsText" dxfId="317" priority="23" operator="containsText" text="湯凍">
      <formula>NOT(ISERROR(SEARCH("湯凍",A44)))</formula>
    </cfRule>
    <cfRule type="containsText" dxfId="316" priority="24" operator="containsText" text="中華">
      <formula>NOT(ISERROR(SEARCH("中華",A44)))</formula>
    </cfRule>
  </conditionalFormatting>
  <conditionalFormatting sqref="D44:D53">
    <cfRule type="cellIs" dxfId="315" priority="16" operator="greaterThan">
      <formula>0.146</formula>
    </cfRule>
  </conditionalFormatting>
  <conditionalFormatting sqref="E5">
    <cfRule type="cellIs" dxfId="314" priority="25" operator="greaterThan">
      <formula>0.072</formula>
    </cfRule>
    <cfRule type="cellIs" dxfId="313" priority="26" operator="greaterThan">
      <formula>7.2</formula>
    </cfRule>
    <cfRule type="cellIs" dxfId="312" priority="14" operator="greaterThan">
      <formula>0.0025</formula>
    </cfRule>
  </conditionalFormatting>
  <conditionalFormatting sqref="G5">
    <cfRule type="cellIs" dxfId="311" priority="3" operator="greaterThan">
      <formula>7.2</formula>
    </cfRule>
    <cfRule type="cellIs" dxfId="310" priority="2" operator="greaterThan">
      <formula>0.072</formula>
    </cfRule>
    <cfRule type="cellIs" dxfId="309" priority="1" operator="greaterThan">
      <formula>0.0025</formula>
    </cfRule>
  </conditionalFormatting>
  <conditionalFormatting sqref="H12:H22">
    <cfRule type="cellIs" dxfId="308" priority="15" operator="greaterThan">
      <formula>1.1</formula>
    </cfRule>
  </conditionalFormatting>
  <conditionalFormatting sqref="H28:H37">
    <cfRule type="cellIs" dxfId="307" priority="4" operator="greaterThan">
      <formula>1.1</formula>
    </cfRule>
  </conditionalFormatting>
  <conditionalFormatting sqref="I5">
    <cfRule type="cellIs" dxfId="30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E843-6FD5-43BD-9DD9-96C353FC7B31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45908</v>
      </c>
      <c r="B3" s="149"/>
      <c r="C3" s="150">
        <v>7945762.29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19226.279599999991</v>
      </c>
      <c r="E5" s="24">
        <f>D5/C3</f>
        <v>2.4196897538952163E-3</v>
      </c>
      <c r="F5" s="23">
        <v>57407.437200000008</v>
      </c>
      <c r="G5" s="25">
        <f>F5/C3</f>
        <v>7.2249124885411095E-3</v>
      </c>
      <c r="H5" s="26">
        <f>SUM(C12:C21)</f>
        <v>3542.9085999999998</v>
      </c>
      <c r="I5" s="27">
        <f>H5/D5</f>
        <v>0.18427426801803098</v>
      </c>
      <c r="J5" s="26">
        <f>SUM(C28:C37)</f>
        <v>15998.349600000021</v>
      </c>
      <c r="K5" s="28">
        <f>J5/F5</f>
        <v>0.27868078388979223</v>
      </c>
      <c r="L5" s="29">
        <v>2450.7745</v>
      </c>
      <c r="M5" s="30">
        <f>L5/D5</f>
        <v>0.12747003325594003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59</v>
      </c>
      <c r="C12" s="36">
        <v>772.5</v>
      </c>
      <c r="D12" s="37">
        <v>4554</v>
      </c>
      <c r="E12" s="37">
        <v>4604</v>
      </c>
      <c r="F12" s="37">
        <v>0</v>
      </c>
      <c r="G12" s="36">
        <v>15.45</v>
      </c>
      <c r="H12" s="38">
        <f>(E12+F12)/D12</f>
        <v>1.0109793588054459</v>
      </c>
      <c r="I12" s="36">
        <v>772.5</v>
      </c>
      <c r="J12" s="37">
        <v>50</v>
      </c>
      <c r="K12" s="39">
        <f>J12/D12</f>
        <v>1.0979358805445762E-2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112</v>
      </c>
      <c r="C13" s="36">
        <v>371.28</v>
      </c>
      <c r="D13" s="37">
        <v>5456</v>
      </c>
      <c r="E13" s="37">
        <v>5424</v>
      </c>
      <c r="F13" s="37">
        <v>100</v>
      </c>
      <c r="G13" s="36">
        <v>5.46</v>
      </c>
      <c r="H13" s="38">
        <f t="shared" ref="H13:H21" si="1">(E13+F13)/D13</f>
        <v>1.0124633431085044</v>
      </c>
      <c r="I13" s="36">
        <v>371.28</v>
      </c>
      <c r="J13" s="37">
        <v>68</v>
      </c>
      <c r="K13" s="39">
        <f>J13/D13</f>
        <v>1.2463343108504398E-2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3" t="s">
        <v>64</v>
      </c>
      <c r="Q13" s="44" t="s">
        <v>113</v>
      </c>
      <c r="R13" s="45" t="s">
        <v>98</v>
      </c>
    </row>
    <row r="14" spans="1:18" s="46" customFormat="1" ht="24.95" customHeight="1" x14ac:dyDescent="0.25">
      <c r="A14" s="47">
        <v>3</v>
      </c>
      <c r="B14" s="35" t="s">
        <v>66</v>
      </c>
      <c r="C14" s="36">
        <v>361.79050000000001</v>
      </c>
      <c r="D14" s="37">
        <v>57.59</v>
      </c>
      <c r="E14" s="37">
        <v>60.43</v>
      </c>
      <c r="F14" s="37">
        <v>0</v>
      </c>
      <c r="G14" s="36">
        <v>183.65</v>
      </c>
      <c r="H14" s="38">
        <f>(E14+F14)/D14</f>
        <v>1.0493141170342073</v>
      </c>
      <c r="I14" s="36">
        <v>521.56599999999935</v>
      </c>
      <c r="J14" s="37">
        <v>1.97</v>
      </c>
      <c r="K14" s="39">
        <f t="shared" ref="K14:K21" si="4">J14/D14</f>
        <v>3.4207327661052264E-2</v>
      </c>
      <c r="L14" s="40">
        <f t="shared" si="2"/>
        <v>0.86999999999999633</v>
      </c>
      <c r="M14" s="41">
        <f t="shared" si="3"/>
        <v>1.5106789373154997E-2</v>
      </c>
      <c r="N14" s="42">
        <f t="shared" si="0"/>
        <v>159.77549999999934</v>
      </c>
      <c r="O14" s="43" t="s">
        <v>57</v>
      </c>
      <c r="P14" s="69" t="s">
        <v>235</v>
      </c>
      <c r="Q14" s="44"/>
      <c r="R14" s="45" t="s">
        <v>68</v>
      </c>
    </row>
    <row r="15" spans="1:18" s="46" customFormat="1" ht="24.95" customHeight="1" x14ac:dyDescent="0.25">
      <c r="A15" s="34">
        <v>4</v>
      </c>
      <c r="B15" s="35" t="s">
        <v>63</v>
      </c>
      <c r="C15" s="36">
        <v>353.94</v>
      </c>
      <c r="D15" s="37">
        <v>4074</v>
      </c>
      <c r="E15" s="37">
        <v>4018</v>
      </c>
      <c r="F15" s="37">
        <v>90</v>
      </c>
      <c r="G15" s="36">
        <v>10.41</v>
      </c>
      <c r="H15" s="38">
        <f>(E15+F15)/D15</f>
        <v>1.0083456062837506</v>
      </c>
      <c r="I15" s="36">
        <v>353.94</v>
      </c>
      <c r="J15" s="37">
        <v>34</v>
      </c>
      <c r="K15" s="39">
        <f t="shared" si="4"/>
        <v>8.3456062837506135E-3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3" t="s">
        <v>64</v>
      </c>
      <c r="Q15" s="44"/>
      <c r="R15" s="45" t="s">
        <v>65</v>
      </c>
    </row>
    <row r="16" spans="1:18" s="46" customFormat="1" ht="24.95" customHeight="1" x14ac:dyDescent="0.25">
      <c r="A16" s="47">
        <v>5</v>
      </c>
      <c r="B16" s="35" t="s">
        <v>69</v>
      </c>
      <c r="C16" s="36">
        <v>321.69900000000001</v>
      </c>
      <c r="D16" s="37">
        <v>52.83</v>
      </c>
      <c r="E16" s="37">
        <v>56.09</v>
      </c>
      <c r="F16" s="37">
        <v>0</v>
      </c>
      <c r="G16" s="36">
        <v>153.19</v>
      </c>
      <c r="H16" s="38">
        <f t="shared" si="1"/>
        <v>1.0617073632405831</v>
      </c>
      <c r="I16" s="36">
        <v>499.39940000000075</v>
      </c>
      <c r="J16" s="37">
        <v>2.1</v>
      </c>
      <c r="K16" s="39">
        <f t="shared" si="4"/>
        <v>3.9750141964792735E-2</v>
      </c>
      <c r="L16" s="40">
        <f t="shared" si="2"/>
        <v>1.160000000000005</v>
      </c>
      <c r="M16" s="41">
        <f t="shared" si="3"/>
        <v>2.1957221275790365E-2</v>
      </c>
      <c r="N16" s="42">
        <f t="shared" si="0"/>
        <v>177.70040000000077</v>
      </c>
      <c r="O16" s="43" t="s">
        <v>57</v>
      </c>
      <c r="P16" s="44" t="s">
        <v>67</v>
      </c>
      <c r="Q16" s="44"/>
      <c r="R16" s="45" t="s">
        <v>70</v>
      </c>
    </row>
    <row r="17" spans="1:18" s="46" customFormat="1" ht="24.95" customHeight="1" x14ac:dyDescent="0.25">
      <c r="A17" s="34">
        <v>6</v>
      </c>
      <c r="B17" s="35" t="s">
        <v>135</v>
      </c>
      <c r="C17" s="36">
        <v>312.84000000000003</v>
      </c>
      <c r="D17" s="37">
        <v>34.11</v>
      </c>
      <c r="E17" s="37">
        <v>35.700000000000003</v>
      </c>
      <c r="F17" s="37">
        <v>0</v>
      </c>
      <c r="G17" s="36">
        <v>208.56</v>
      </c>
      <c r="H17" s="38">
        <f t="shared" si="1"/>
        <v>1.046613896218118</v>
      </c>
      <c r="I17" s="36">
        <v>331.61040000000071</v>
      </c>
      <c r="J17" s="37">
        <v>1.5</v>
      </c>
      <c r="K17" s="39">
        <f t="shared" si="4"/>
        <v>4.3975373790677223E-2</v>
      </c>
      <c r="L17" s="40">
        <f t="shared" si="2"/>
        <v>9.0000000000003411E-2</v>
      </c>
      <c r="M17" s="41">
        <f t="shared" si="3"/>
        <v>2.6385224274407333E-3</v>
      </c>
      <c r="N17" s="42">
        <f t="shared" si="0"/>
        <v>18.770400000000713</v>
      </c>
      <c r="O17" s="43" t="s">
        <v>57</v>
      </c>
      <c r="P17" s="69" t="s">
        <v>235</v>
      </c>
      <c r="Q17" s="44"/>
      <c r="R17" s="45" t="s">
        <v>136</v>
      </c>
    </row>
    <row r="18" spans="1:18" s="46" customFormat="1" ht="24.95" customHeight="1" x14ac:dyDescent="0.25">
      <c r="A18" s="47">
        <v>7</v>
      </c>
      <c r="B18" s="35" t="s">
        <v>82</v>
      </c>
      <c r="C18" s="36">
        <v>265.37400000000002</v>
      </c>
      <c r="D18" s="37">
        <v>782.16</v>
      </c>
      <c r="E18" s="37">
        <v>780.83</v>
      </c>
      <c r="F18" s="37">
        <v>24.2</v>
      </c>
      <c r="G18" s="36">
        <v>147.43</v>
      </c>
      <c r="H18" s="38">
        <f t="shared" si="1"/>
        <v>1.0292395417817328</v>
      </c>
      <c r="I18" s="36">
        <v>3371.7241000000176</v>
      </c>
      <c r="J18" s="37">
        <v>1.8</v>
      </c>
      <c r="K18" s="39">
        <f t="shared" si="4"/>
        <v>2.3013194231359313E-3</v>
      </c>
      <c r="L18" s="40">
        <f>((E18+F18)-D18)-J18</f>
        <v>21.070000000000118</v>
      </c>
      <c r="M18" s="41">
        <f t="shared" si="3"/>
        <v>2.6938222358596858E-2</v>
      </c>
      <c r="N18" s="42">
        <f t="shared" si="0"/>
        <v>3106.3501000000174</v>
      </c>
      <c r="O18" s="43" t="s">
        <v>57</v>
      </c>
      <c r="P18" s="69" t="s">
        <v>84</v>
      </c>
      <c r="Q18" s="44" t="s">
        <v>85</v>
      </c>
      <c r="R18" s="45" t="s">
        <v>58</v>
      </c>
    </row>
    <row r="19" spans="1:18" s="46" customFormat="1" ht="24.95" customHeight="1" x14ac:dyDescent="0.25">
      <c r="A19" s="34">
        <v>8</v>
      </c>
      <c r="B19" s="35" t="s">
        <v>120</v>
      </c>
      <c r="C19" s="36">
        <v>262.21530000000001</v>
      </c>
      <c r="D19" s="37">
        <v>23.18</v>
      </c>
      <c r="E19" s="37">
        <v>24.29</v>
      </c>
      <c r="F19" s="37">
        <v>0</v>
      </c>
      <c r="G19" s="36">
        <v>236.23</v>
      </c>
      <c r="H19" s="38">
        <f t="shared" si="1"/>
        <v>1.0478861087144089</v>
      </c>
      <c r="I19" s="36">
        <v>262.21529999999984</v>
      </c>
      <c r="J19" s="37">
        <v>1.1100000000000001</v>
      </c>
      <c r="K19" s="39">
        <f t="shared" si="4"/>
        <v>4.788610871440898E-2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69" t="s">
        <v>235</v>
      </c>
      <c r="Q19" s="44"/>
      <c r="R19" s="45" t="s">
        <v>121</v>
      </c>
    </row>
    <row r="20" spans="1:18" s="46" customFormat="1" ht="24.95" customHeight="1" x14ac:dyDescent="0.25">
      <c r="A20" s="47">
        <v>9</v>
      </c>
      <c r="B20" s="35" t="s">
        <v>76</v>
      </c>
      <c r="C20" s="36">
        <v>261.50399999999996</v>
      </c>
      <c r="D20" s="37">
        <v>65.97</v>
      </c>
      <c r="E20" s="37">
        <v>65.78</v>
      </c>
      <c r="F20" s="37">
        <v>5.32</v>
      </c>
      <c r="G20" s="36">
        <v>108.96</v>
      </c>
      <c r="H20" s="38">
        <f t="shared" si="1"/>
        <v>1.0777626193724419</v>
      </c>
      <c r="I20" s="36">
        <v>558.96479999999951</v>
      </c>
      <c r="J20" s="37">
        <v>2.4</v>
      </c>
      <c r="K20" s="39">
        <f t="shared" si="4"/>
        <v>3.6380172805820829E-2</v>
      </c>
      <c r="L20" s="40">
        <f t="shared" si="2"/>
        <v>2.7299999999999955</v>
      </c>
      <c r="M20" s="41">
        <f t="shared" si="3"/>
        <v>4.1382446566621121E-2</v>
      </c>
      <c r="N20" s="42">
        <f t="shared" si="0"/>
        <v>297.46079999999949</v>
      </c>
      <c r="O20" s="43" t="s">
        <v>57</v>
      </c>
      <c r="P20" s="69" t="s">
        <v>67</v>
      </c>
      <c r="Q20" s="44"/>
      <c r="R20" s="45" t="s">
        <v>77</v>
      </c>
    </row>
    <row r="21" spans="1:18" s="46" customFormat="1" ht="24.95" customHeight="1" thickBot="1" x14ac:dyDescent="0.3">
      <c r="A21" s="48">
        <v>10</v>
      </c>
      <c r="B21" s="49" t="s">
        <v>154</v>
      </c>
      <c r="C21" s="50">
        <v>259.76580000000001</v>
      </c>
      <c r="D21" s="51">
        <v>41.38</v>
      </c>
      <c r="E21" s="51">
        <v>45</v>
      </c>
      <c r="F21" s="51">
        <v>0</v>
      </c>
      <c r="G21" s="50">
        <v>102.27</v>
      </c>
      <c r="H21" s="52">
        <f t="shared" si="1"/>
        <v>1.0874818753020783</v>
      </c>
      <c r="I21" s="50">
        <v>370.21739999999971</v>
      </c>
      <c r="J21" s="51">
        <v>2.54</v>
      </c>
      <c r="K21" s="53">
        <f t="shared" si="4"/>
        <v>6.1382310294828414E-2</v>
      </c>
      <c r="L21" s="54">
        <f t="shared" si="2"/>
        <v>1.0799999999999974</v>
      </c>
      <c r="M21" s="55">
        <f t="shared" si="3"/>
        <v>2.6099565007249814E-2</v>
      </c>
      <c r="N21" s="56">
        <f t="shared" si="0"/>
        <v>110.45159999999973</v>
      </c>
      <c r="O21" s="57" t="s">
        <v>57</v>
      </c>
      <c r="P21" s="57" t="s">
        <v>67</v>
      </c>
      <c r="Q21" s="57"/>
      <c r="R21" s="58" t="s">
        <v>155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82</v>
      </c>
      <c r="C28" s="36">
        <v>3106.3501000000178</v>
      </c>
      <c r="D28" s="37">
        <v>782.16</v>
      </c>
      <c r="E28" s="37">
        <v>780.83</v>
      </c>
      <c r="F28" s="37">
        <v>24.2</v>
      </c>
      <c r="G28" s="36">
        <v>147.43</v>
      </c>
      <c r="H28" s="68">
        <f t="shared" ref="H28:H37" si="5">(E28+F28)/D28</f>
        <v>1.0292395417817328</v>
      </c>
      <c r="I28" s="36">
        <v>3371.7241000000176</v>
      </c>
      <c r="J28" s="37">
        <v>1.8</v>
      </c>
      <c r="K28" s="39">
        <f t="shared" ref="K28:K37" si="6">J28/D28</f>
        <v>2.3013194231359313E-3</v>
      </c>
      <c r="L28" s="42">
        <f t="shared" ref="L28:L37" si="7">J28*G28</f>
        <v>265.37400000000002</v>
      </c>
      <c r="M28" s="40">
        <f t="shared" ref="M28:M37" si="8">((E28+F28)-D28)-J28</f>
        <v>21.070000000000118</v>
      </c>
      <c r="N28" s="41">
        <f t="shared" ref="N28:N37" si="9">M28/D28</f>
        <v>2.6938222358596858E-2</v>
      </c>
      <c r="O28" s="43" t="s">
        <v>83</v>
      </c>
      <c r="P28" s="69" t="s">
        <v>84</v>
      </c>
      <c r="Q28" s="44" t="s">
        <v>85</v>
      </c>
      <c r="R28" s="45" t="s">
        <v>58</v>
      </c>
    </row>
    <row r="29" spans="1:18" s="67" customFormat="1" ht="24.95" customHeight="1" x14ac:dyDescent="0.25">
      <c r="A29" s="47">
        <v>2</v>
      </c>
      <c r="B29" s="35" t="s">
        <v>94</v>
      </c>
      <c r="C29" s="36">
        <v>1726.4730000000136</v>
      </c>
      <c r="D29" s="37">
        <v>209.75</v>
      </c>
      <c r="E29" s="37">
        <v>210.02</v>
      </c>
      <c r="F29" s="37">
        <v>2.58</v>
      </c>
      <c r="G29" s="36">
        <v>605.78</v>
      </c>
      <c r="H29" s="68">
        <f t="shared" si="5"/>
        <v>1.0135876042908225</v>
      </c>
      <c r="I29" s="36">
        <v>1726.4730000000136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2.8500000000000227</v>
      </c>
      <c r="N29" s="41">
        <f t="shared" si="9"/>
        <v>1.3587604290822517E-2</v>
      </c>
      <c r="O29" s="43" t="s">
        <v>83</v>
      </c>
      <c r="P29" s="44" t="s">
        <v>60</v>
      </c>
      <c r="Q29" s="44" t="s">
        <v>87</v>
      </c>
      <c r="R29" s="45" t="s">
        <v>95</v>
      </c>
    </row>
    <row r="30" spans="1:18" s="67" customFormat="1" ht="24.95" customHeight="1" x14ac:dyDescent="0.25">
      <c r="A30" s="47">
        <v>3</v>
      </c>
      <c r="B30" s="35" t="s">
        <v>156</v>
      </c>
      <c r="C30" s="36">
        <v>1596.1727999999996</v>
      </c>
      <c r="D30" s="37">
        <v>273.95</v>
      </c>
      <c r="E30" s="37">
        <v>282.39</v>
      </c>
      <c r="F30" s="37">
        <v>0</v>
      </c>
      <c r="G30" s="36">
        <v>189.12</v>
      </c>
      <c r="H30" s="68">
        <f t="shared" si="5"/>
        <v>1.0308085417046906</v>
      </c>
      <c r="I30" s="36">
        <v>1596.1727999999996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8.4399999999999977</v>
      </c>
      <c r="N30" s="41">
        <f t="shared" si="9"/>
        <v>3.0808541704690631E-2</v>
      </c>
      <c r="O30" s="43" t="s">
        <v>83</v>
      </c>
      <c r="P30" s="69" t="s">
        <v>235</v>
      </c>
      <c r="Q30" s="44"/>
      <c r="R30" s="45" t="s">
        <v>157</v>
      </c>
    </row>
    <row r="31" spans="1:18" s="67" customFormat="1" ht="24.95" customHeight="1" x14ac:dyDescent="0.25">
      <c r="A31" s="34">
        <v>4</v>
      </c>
      <c r="B31" s="35" t="s">
        <v>142</v>
      </c>
      <c r="C31" s="36">
        <v>1583.9316999999996</v>
      </c>
      <c r="D31" s="37">
        <v>110.12</v>
      </c>
      <c r="E31" s="37">
        <v>106.93</v>
      </c>
      <c r="F31" s="37">
        <v>17.100000000000001</v>
      </c>
      <c r="G31" s="36">
        <v>113.87</v>
      </c>
      <c r="H31" s="68">
        <f t="shared" si="5"/>
        <v>1.1263167453686886</v>
      </c>
      <c r="I31" s="36">
        <v>1583.9316999999996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13.909999999999997</v>
      </c>
      <c r="N31" s="41">
        <f t="shared" si="9"/>
        <v>0.12631674536868867</v>
      </c>
      <c r="O31" s="43" t="s">
        <v>83</v>
      </c>
      <c r="P31" s="69" t="s">
        <v>235</v>
      </c>
      <c r="Q31" s="44"/>
      <c r="R31" s="45" t="s">
        <v>121</v>
      </c>
    </row>
    <row r="32" spans="1:18" s="67" customFormat="1" ht="24.95" customHeight="1" x14ac:dyDescent="0.25">
      <c r="A32" s="47">
        <v>5</v>
      </c>
      <c r="B32" s="35" t="s">
        <v>124</v>
      </c>
      <c r="C32" s="36">
        <v>1537.5498000000041</v>
      </c>
      <c r="D32" s="37">
        <v>52.16</v>
      </c>
      <c r="E32" s="37">
        <v>51.32</v>
      </c>
      <c r="F32" s="37">
        <v>3.06</v>
      </c>
      <c r="G32" s="36">
        <v>692.59</v>
      </c>
      <c r="H32" s="68">
        <f t="shared" si="5"/>
        <v>1.0425613496932518</v>
      </c>
      <c r="I32" s="36">
        <v>1537.5498000000041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2.220000000000006</v>
      </c>
      <c r="N32" s="41">
        <f t="shared" si="9"/>
        <v>4.2561349693251649E-2</v>
      </c>
      <c r="O32" s="43" t="s">
        <v>83</v>
      </c>
      <c r="P32" s="69" t="s">
        <v>235</v>
      </c>
      <c r="Q32" s="44"/>
      <c r="R32" s="45" t="s">
        <v>121</v>
      </c>
    </row>
    <row r="33" spans="1:18" s="67" customFormat="1" ht="24.95" customHeight="1" x14ac:dyDescent="0.25">
      <c r="A33" s="34">
        <v>6</v>
      </c>
      <c r="B33" s="35" t="s">
        <v>86</v>
      </c>
      <c r="C33" s="36">
        <v>1499.5772999999886</v>
      </c>
      <c r="D33" s="37">
        <v>4415.43</v>
      </c>
      <c r="E33" s="37">
        <v>4396.5</v>
      </c>
      <c r="F33" s="37">
        <v>57</v>
      </c>
      <c r="G33" s="36">
        <v>39.39</v>
      </c>
      <c r="H33" s="68">
        <f t="shared" si="5"/>
        <v>1.0086220368118166</v>
      </c>
      <c r="I33" s="36">
        <v>1499.5772999999886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38.069999999999709</v>
      </c>
      <c r="N33" s="41">
        <f t="shared" si="9"/>
        <v>8.622036811816676E-3</v>
      </c>
      <c r="O33" s="43" t="s">
        <v>83</v>
      </c>
      <c r="P33" s="44" t="s">
        <v>60</v>
      </c>
      <c r="Q33" s="44" t="s">
        <v>87</v>
      </c>
      <c r="R33" s="45" t="s">
        <v>58</v>
      </c>
    </row>
    <row r="34" spans="1:18" s="67" customFormat="1" ht="24.95" customHeight="1" x14ac:dyDescent="0.25">
      <c r="A34" s="47">
        <v>7</v>
      </c>
      <c r="B34" s="35" t="s">
        <v>127</v>
      </c>
      <c r="C34" s="36">
        <v>1339.8065999999942</v>
      </c>
      <c r="D34" s="37">
        <v>125.93</v>
      </c>
      <c r="E34" s="37">
        <v>129.07</v>
      </c>
      <c r="F34" s="37">
        <v>0</v>
      </c>
      <c r="G34" s="36">
        <v>426.69</v>
      </c>
      <c r="H34" s="68">
        <f t="shared" si="5"/>
        <v>1.0249344874136423</v>
      </c>
      <c r="I34" s="36">
        <v>1339.8065999999942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3.1399999999999864</v>
      </c>
      <c r="N34" s="41">
        <f t="shared" si="9"/>
        <v>2.4934487413642389E-2</v>
      </c>
      <c r="O34" s="43" t="s">
        <v>83</v>
      </c>
      <c r="P34" s="69" t="s">
        <v>235</v>
      </c>
      <c r="Q34" s="44"/>
      <c r="R34" s="45" t="s">
        <v>128</v>
      </c>
    </row>
    <row r="35" spans="1:18" s="67" customFormat="1" ht="24.95" customHeight="1" x14ac:dyDescent="0.25">
      <c r="A35" s="34">
        <v>8</v>
      </c>
      <c r="B35" s="35" t="s">
        <v>137</v>
      </c>
      <c r="C35" s="36">
        <v>1283.078400000004</v>
      </c>
      <c r="D35" s="37">
        <v>67.3</v>
      </c>
      <c r="E35" s="37">
        <v>67.44</v>
      </c>
      <c r="F35" s="37">
        <v>1.9</v>
      </c>
      <c r="G35" s="36">
        <v>628.96</v>
      </c>
      <c r="H35" s="68">
        <f t="shared" si="5"/>
        <v>1.0303120356612185</v>
      </c>
      <c r="I35" s="36">
        <v>1283.078400000004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2.0400000000000063</v>
      </c>
      <c r="N35" s="41">
        <f t="shared" si="9"/>
        <v>3.0312035661218519E-2</v>
      </c>
      <c r="O35" s="43" t="s">
        <v>83</v>
      </c>
      <c r="P35" s="69" t="s">
        <v>235</v>
      </c>
      <c r="Q35" s="44"/>
      <c r="R35" s="45" t="s">
        <v>138</v>
      </c>
    </row>
    <row r="36" spans="1:18" s="67" customFormat="1" ht="24.95" customHeight="1" x14ac:dyDescent="0.25">
      <c r="A36" s="47">
        <v>9</v>
      </c>
      <c r="B36" s="35" t="s">
        <v>90</v>
      </c>
      <c r="C36" s="36">
        <v>1173.1122999999995</v>
      </c>
      <c r="D36" s="37">
        <v>56.54</v>
      </c>
      <c r="E36" s="37">
        <v>54.97</v>
      </c>
      <c r="F36" s="37">
        <v>3.36</v>
      </c>
      <c r="G36" s="36">
        <v>655.37</v>
      </c>
      <c r="H36" s="68">
        <f t="shared" si="5"/>
        <v>1.0316590024761232</v>
      </c>
      <c r="I36" s="36">
        <v>1173.1122999999995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1.7899999999999991</v>
      </c>
      <c r="N36" s="41">
        <f t="shared" si="9"/>
        <v>3.1659002476123084E-2</v>
      </c>
      <c r="O36" s="43" t="s">
        <v>97</v>
      </c>
      <c r="P36" s="69" t="s">
        <v>235</v>
      </c>
      <c r="Q36" s="44"/>
      <c r="R36" s="45" t="s">
        <v>77</v>
      </c>
    </row>
    <row r="37" spans="1:18" s="67" customFormat="1" ht="24.95" customHeight="1" thickBot="1" x14ac:dyDescent="0.3">
      <c r="A37" s="48">
        <v>10</v>
      </c>
      <c r="B37" s="49" t="s">
        <v>88</v>
      </c>
      <c r="C37" s="50">
        <v>1152.2976000000012</v>
      </c>
      <c r="D37" s="51">
        <v>27.16</v>
      </c>
      <c r="E37" s="51">
        <v>27.3</v>
      </c>
      <c r="F37" s="51">
        <v>1.6</v>
      </c>
      <c r="G37" s="50">
        <v>662.24</v>
      </c>
      <c r="H37" s="70">
        <f t="shared" si="5"/>
        <v>1.0640648011782032</v>
      </c>
      <c r="I37" s="50">
        <v>1152.2976000000012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1.740000000000002</v>
      </c>
      <c r="N37" s="55">
        <f t="shared" si="9"/>
        <v>6.4064801178203318E-2</v>
      </c>
      <c r="O37" s="57" t="s">
        <v>97</v>
      </c>
      <c r="P37" s="71" t="s">
        <v>235</v>
      </c>
      <c r="Q37" s="72"/>
      <c r="R37" s="58" t="s">
        <v>65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82</v>
      </c>
      <c r="C44" s="36">
        <v>265.37400000000002</v>
      </c>
      <c r="D44" s="78">
        <f t="shared" ref="D44:D53" si="10">C44/$L$5</f>
        <v>0.10828168809492673</v>
      </c>
      <c r="E44" s="79"/>
    </row>
    <row r="45" spans="1:18" s="80" customFormat="1" ht="24.95" customHeight="1" x14ac:dyDescent="0.25">
      <c r="A45" s="81">
        <v>2</v>
      </c>
      <c r="B45" s="35" t="s">
        <v>105</v>
      </c>
      <c r="C45" s="36">
        <v>235.20000000000002</v>
      </c>
      <c r="D45" s="78">
        <f t="shared" si="10"/>
        <v>9.5969661835472828E-2</v>
      </c>
      <c r="E45" s="79"/>
    </row>
    <row r="46" spans="1:18" s="80" customFormat="1" ht="24.95" customHeight="1" x14ac:dyDescent="0.25">
      <c r="A46" s="81">
        <v>3</v>
      </c>
      <c r="B46" s="35" t="s">
        <v>109</v>
      </c>
      <c r="C46" s="36">
        <v>231.68000000000004</v>
      </c>
      <c r="D46" s="78">
        <f t="shared" si="10"/>
        <v>9.4533381182152834E-2</v>
      </c>
      <c r="E46" s="79"/>
    </row>
    <row r="47" spans="1:18" s="80" customFormat="1" ht="24.95" customHeight="1" x14ac:dyDescent="0.25">
      <c r="A47" s="77">
        <v>4</v>
      </c>
      <c r="B47" s="35" t="s">
        <v>104</v>
      </c>
      <c r="C47" s="36">
        <v>224.64</v>
      </c>
      <c r="D47" s="78">
        <f t="shared" si="10"/>
        <v>9.166081987551282E-2</v>
      </c>
      <c r="E47" s="79"/>
    </row>
    <row r="48" spans="1:18" s="80" customFormat="1" ht="24.95" customHeight="1" x14ac:dyDescent="0.25">
      <c r="A48" s="81">
        <v>5</v>
      </c>
      <c r="B48" s="35" t="s">
        <v>103</v>
      </c>
      <c r="C48" s="36">
        <v>223.614</v>
      </c>
      <c r="D48" s="78">
        <f t="shared" si="10"/>
        <v>9.1242176707812164E-2</v>
      </c>
      <c r="E48" s="79"/>
    </row>
    <row r="49" spans="1:5" s="80" customFormat="1" ht="24.95" customHeight="1" x14ac:dyDescent="0.25">
      <c r="A49" s="77">
        <v>6</v>
      </c>
      <c r="B49" s="35" t="s">
        <v>107</v>
      </c>
      <c r="C49" s="36">
        <v>210.08699999999999</v>
      </c>
      <c r="D49" s="78">
        <f t="shared" si="10"/>
        <v>8.5722697049442936E-2</v>
      </c>
      <c r="E49" s="79"/>
    </row>
    <row r="50" spans="1:5" s="80" customFormat="1" ht="24.95" customHeight="1" x14ac:dyDescent="0.25">
      <c r="A50" s="81">
        <v>7</v>
      </c>
      <c r="B50" s="35" t="s">
        <v>147</v>
      </c>
      <c r="C50" s="36">
        <v>174.65520000000001</v>
      </c>
      <c r="D50" s="78">
        <f t="shared" si="10"/>
        <v>7.1265308170947589E-2</v>
      </c>
      <c r="E50" s="79"/>
    </row>
    <row r="51" spans="1:5" s="80" customFormat="1" ht="24.95" customHeight="1" x14ac:dyDescent="0.25">
      <c r="A51" s="77">
        <v>8</v>
      </c>
      <c r="B51" s="35" t="s">
        <v>56</v>
      </c>
      <c r="C51" s="36">
        <v>172.584</v>
      </c>
      <c r="D51" s="78">
        <f t="shared" si="10"/>
        <v>7.042018757743726E-2</v>
      </c>
      <c r="E51" s="79"/>
    </row>
    <row r="52" spans="1:5" s="80" customFormat="1" ht="24.95" customHeight="1" x14ac:dyDescent="0.25">
      <c r="A52" s="81">
        <v>9</v>
      </c>
      <c r="B52" s="35" t="s">
        <v>125</v>
      </c>
      <c r="C52" s="36">
        <v>172</v>
      </c>
      <c r="D52" s="78">
        <f t="shared" si="10"/>
        <v>7.0181895559954618E-2</v>
      </c>
      <c r="E52" s="79"/>
    </row>
    <row r="53" spans="1:5" s="80" customFormat="1" ht="24.95" customHeight="1" thickBot="1" x14ac:dyDescent="0.3">
      <c r="A53" s="82">
        <v>10</v>
      </c>
      <c r="B53" s="49" t="s">
        <v>89</v>
      </c>
      <c r="C53" s="50">
        <v>132.48800000000003</v>
      </c>
      <c r="D53" s="83">
        <f t="shared" si="10"/>
        <v>5.4059645226437615E-2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305" priority="34" operator="containsText" text="中華">
      <formula>NOT(ISERROR(SEARCH("中華",A12)))</formula>
    </cfRule>
    <cfRule type="containsText" dxfId="304" priority="33" operator="containsText" text="湯凍">
      <formula>NOT(ISERROR(SEARCH("湯凍",A12)))</formula>
    </cfRule>
    <cfRule type="containsText" dxfId="303" priority="32" operator="containsText" text=")川燙小青花菜">
      <formula>NOT(ISERROR(SEARCH(")川燙小青花菜",A12)))</formula>
    </cfRule>
    <cfRule type="containsText" dxfId="302" priority="31" operator="containsText" text="青蔥">
      <formula>NOT(ISERROR(SEARCH("青蔥",A12)))</formula>
    </cfRule>
    <cfRule type="containsText" dxfId="301" priority="30" operator="containsText" text="白醬">
      <formula>NOT(ISERROR(SEARCH("白醬",A12)))</formula>
    </cfRule>
    <cfRule type="containsText" dxfId="300" priority="29" operator="containsText" text="024">
      <formula>NOT(ISERROR(SEARCH("024",A12)))</formula>
    </cfRule>
    <cfRule type="containsText" dxfId="299" priority="28" operator="containsText" text="煮白細麵生(方#12)">
      <formula>NOT(ISERROR(SEARCH("煮白細麵生(方#12)",A12)))</formula>
    </cfRule>
    <cfRule type="containsText" dxfId="298" priority="27" operator="containsText" text="綠豆芽">
      <formula>NOT(ISERROR(SEARCH("綠豆芽",A12)))</formula>
    </cfRule>
  </conditionalFormatting>
  <conditionalFormatting sqref="A28:A37">
    <cfRule type="containsText" dxfId="297" priority="5" operator="containsText" text="綠豆芽">
      <formula>NOT(ISERROR(SEARCH("綠豆芽",A28)))</formula>
    </cfRule>
    <cfRule type="containsText" dxfId="296" priority="6" operator="containsText" text="煮白細麵生(方#12)">
      <formula>NOT(ISERROR(SEARCH("煮白細麵生(方#12)",A28)))</formula>
    </cfRule>
    <cfRule type="containsText" dxfId="295" priority="7" operator="containsText" text="024">
      <formula>NOT(ISERROR(SEARCH("024",A28)))</formula>
    </cfRule>
    <cfRule type="containsText" dxfId="294" priority="8" operator="containsText" text="白醬">
      <formula>NOT(ISERROR(SEARCH("白醬",A28)))</formula>
    </cfRule>
    <cfRule type="containsText" dxfId="293" priority="9" operator="containsText" text="青蔥">
      <formula>NOT(ISERROR(SEARCH("青蔥",A28)))</formula>
    </cfRule>
    <cfRule type="containsText" dxfId="292" priority="10" operator="containsText" text=")川燙小青花菜">
      <formula>NOT(ISERROR(SEARCH(")川燙小青花菜",A28)))</formula>
    </cfRule>
    <cfRule type="containsText" dxfId="291" priority="11" operator="containsText" text="湯凍">
      <formula>NOT(ISERROR(SEARCH("湯凍",A28)))</formula>
    </cfRule>
    <cfRule type="containsText" dxfId="290" priority="12" operator="containsText" text="中華">
      <formula>NOT(ISERROR(SEARCH("中華",A28)))</formula>
    </cfRule>
  </conditionalFormatting>
  <conditionalFormatting sqref="A44:A53">
    <cfRule type="containsText" dxfId="289" priority="17" operator="containsText" text="綠豆芽">
      <formula>NOT(ISERROR(SEARCH("綠豆芽",A44)))</formula>
    </cfRule>
    <cfRule type="containsText" dxfId="288" priority="18" operator="containsText" text="煮白細麵生(方#12)">
      <formula>NOT(ISERROR(SEARCH("煮白細麵生(方#12)",A44)))</formula>
    </cfRule>
    <cfRule type="containsText" dxfId="287" priority="19" operator="containsText" text="024">
      <formula>NOT(ISERROR(SEARCH("024",A44)))</formula>
    </cfRule>
    <cfRule type="containsText" dxfId="286" priority="20" operator="containsText" text="白醬">
      <formula>NOT(ISERROR(SEARCH("白醬",A44)))</formula>
    </cfRule>
    <cfRule type="containsText" dxfId="285" priority="21" operator="containsText" text="青蔥">
      <formula>NOT(ISERROR(SEARCH("青蔥",A44)))</formula>
    </cfRule>
    <cfRule type="containsText" dxfId="284" priority="22" operator="containsText" text=")川燙小青花菜">
      <formula>NOT(ISERROR(SEARCH(")川燙小青花菜",A44)))</formula>
    </cfRule>
    <cfRule type="containsText" dxfId="283" priority="23" operator="containsText" text="湯凍">
      <formula>NOT(ISERROR(SEARCH("湯凍",A44)))</formula>
    </cfRule>
    <cfRule type="containsText" dxfId="282" priority="24" operator="containsText" text="中華">
      <formula>NOT(ISERROR(SEARCH("中華",A44)))</formula>
    </cfRule>
  </conditionalFormatting>
  <conditionalFormatting sqref="D44:D53">
    <cfRule type="cellIs" dxfId="281" priority="16" operator="greaterThan">
      <formula>0.146</formula>
    </cfRule>
  </conditionalFormatting>
  <conditionalFormatting sqref="E5">
    <cfRule type="cellIs" dxfId="280" priority="25" operator="greaterThan">
      <formula>0.072</formula>
    </cfRule>
    <cfRule type="cellIs" dxfId="279" priority="26" operator="greaterThan">
      <formula>7.2</formula>
    </cfRule>
    <cfRule type="cellIs" dxfId="278" priority="14" operator="greaterThan">
      <formula>0.0025</formula>
    </cfRule>
  </conditionalFormatting>
  <conditionalFormatting sqref="G5">
    <cfRule type="cellIs" dxfId="277" priority="3" operator="greaterThan">
      <formula>7.2</formula>
    </cfRule>
    <cfRule type="cellIs" dxfId="276" priority="2" operator="greaterThan">
      <formula>0.072</formula>
    </cfRule>
    <cfRule type="cellIs" dxfId="275" priority="1" operator="greaterThan">
      <formula>0.0025</formula>
    </cfRule>
  </conditionalFormatting>
  <conditionalFormatting sqref="H12:H22">
    <cfRule type="cellIs" dxfId="274" priority="15" operator="greaterThan">
      <formula>1.1</formula>
    </cfRule>
  </conditionalFormatting>
  <conditionalFormatting sqref="H28:H37">
    <cfRule type="cellIs" dxfId="273" priority="4" operator="greaterThan">
      <formula>1.1</formula>
    </cfRule>
  </conditionalFormatting>
  <conditionalFormatting sqref="I5">
    <cfRule type="cellIs" dxfId="27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92EA-034C-46F3-B68E-E4D38B783557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45907</v>
      </c>
      <c r="B3" s="149"/>
      <c r="C3" s="150">
        <v>8031264.3600000003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19417.672999999999</v>
      </c>
      <c r="E5" s="24">
        <f>D5/C3</f>
        <v>2.4177604085242684E-3</v>
      </c>
      <c r="F5" s="23">
        <v>58646.033500000012</v>
      </c>
      <c r="G5" s="25">
        <f>F5/C3</f>
        <v>7.3022167956627955E-3</v>
      </c>
      <c r="H5" s="26">
        <v>2976.0915</v>
      </c>
      <c r="I5" s="27">
        <f>H5/D5</f>
        <v>0.15326715513233743</v>
      </c>
      <c r="J5" s="26">
        <f>SUM(C28:C37)</f>
        <v>18030.284100000012</v>
      </c>
      <c r="K5" s="28">
        <f>J5/F5</f>
        <v>0.30744251612515289</v>
      </c>
      <c r="L5" s="29">
        <v>2858.7592</v>
      </c>
      <c r="M5" s="30">
        <f>L5/D5</f>
        <v>0.14722460307164509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03"/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03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03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03"/>
    </row>
    <row r="12" spans="1:18" s="46" customFormat="1" ht="24.95" customHeight="1" x14ac:dyDescent="0.25">
      <c r="A12" s="34">
        <v>1</v>
      </c>
      <c r="B12" s="35" t="s">
        <v>59</v>
      </c>
      <c r="C12" s="36">
        <v>432.59999999999997</v>
      </c>
      <c r="D12" s="37">
        <v>4732</v>
      </c>
      <c r="E12" s="37">
        <v>4760</v>
      </c>
      <c r="F12" s="37">
        <v>0</v>
      </c>
      <c r="G12" s="36">
        <v>15.45</v>
      </c>
      <c r="H12" s="38">
        <f>(E12+F12)/D12</f>
        <v>1.0059171597633136</v>
      </c>
      <c r="I12" s="36">
        <v>432.59999999999997</v>
      </c>
      <c r="J12" s="37">
        <v>28</v>
      </c>
      <c r="K12" s="39">
        <f>J12/D12</f>
        <v>5.9171597633136093E-3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63</v>
      </c>
      <c r="C13" s="36">
        <v>312.3</v>
      </c>
      <c r="D13" s="37">
        <v>3960</v>
      </c>
      <c r="E13" s="37">
        <v>3930</v>
      </c>
      <c r="F13" s="37">
        <v>60</v>
      </c>
      <c r="G13" s="36">
        <v>10.41</v>
      </c>
      <c r="H13" s="38">
        <f t="shared" ref="H13:H21" si="1">(E13+F13)/D13</f>
        <v>1.0075757575757576</v>
      </c>
      <c r="I13" s="36">
        <v>312.3</v>
      </c>
      <c r="J13" s="37">
        <v>30</v>
      </c>
      <c r="K13" s="39">
        <f>J13/D13</f>
        <v>7.575757575757576E-3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3" t="s">
        <v>64</v>
      </c>
      <c r="Q13" s="44"/>
      <c r="R13" s="45" t="s">
        <v>65</v>
      </c>
    </row>
    <row r="14" spans="1:18" s="46" customFormat="1" ht="24.95" customHeight="1" x14ac:dyDescent="0.25">
      <c r="A14" s="47">
        <v>3</v>
      </c>
      <c r="B14" s="35" t="s">
        <v>78</v>
      </c>
      <c r="C14" s="36">
        <v>309.39999999999998</v>
      </c>
      <c r="D14" s="37">
        <v>7872</v>
      </c>
      <c r="E14" s="37">
        <v>8236</v>
      </c>
      <c r="F14" s="37">
        <v>0</v>
      </c>
      <c r="G14" s="36">
        <v>0.85</v>
      </c>
      <c r="H14" s="38">
        <f>(E14+F14)/D14</f>
        <v>1.0462398373983739</v>
      </c>
      <c r="I14" s="36">
        <v>309.39999999999998</v>
      </c>
      <c r="J14" s="37">
        <v>364</v>
      </c>
      <c r="K14" s="39">
        <f t="shared" ref="K14:K21" si="4">J14/D14</f>
        <v>4.6239837398373985E-2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3" t="s">
        <v>64</v>
      </c>
      <c r="Q14" s="44"/>
      <c r="R14" s="45" t="s">
        <v>79</v>
      </c>
    </row>
    <row r="15" spans="1:18" s="46" customFormat="1" ht="24.95" customHeight="1" x14ac:dyDescent="0.25">
      <c r="A15" s="34">
        <v>4</v>
      </c>
      <c r="B15" s="35" t="s">
        <v>82</v>
      </c>
      <c r="C15" s="36">
        <v>308.12869999999998</v>
      </c>
      <c r="D15" s="37">
        <v>794.48</v>
      </c>
      <c r="E15" s="37">
        <v>791.75</v>
      </c>
      <c r="F15" s="37">
        <v>33.6</v>
      </c>
      <c r="G15" s="36">
        <v>147.43</v>
      </c>
      <c r="H15" s="38">
        <f>(E15+F15)/D15</f>
        <v>1.0388556036652905</v>
      </c>
      <c r="I15" s="36">
        <v>4551.1641000000009</v>
      </c>
      <c r="J15" s="37">
        <v>2.09</v>
      </c>
      <c r="K15" s="39">
        <f t="shared" si="4"/>
        <v>2.6306514953176917E-3</v>
      </c>
      <c r="L15" s="40">
        <f t="shared" si="2"/>
        <v>28.780000000000005</v>
      </c>
      <c r="M15" s="41">
        <f t="shared" si="3"/>
        <v>3.6224952169972818E-2</v>
      </c>
      <c r="N15" s="42">
        <f t="shared" si="0"/>
        <v>4243.0354000000007</v>
      </c>
      <c r="O15" s="43" t="s">
        <v>57</v>
      </c>
      <c r="P15" s="69" t="s">
        <v>84</v>
      </c>
      <c r="Q15" s="44" t="s">
        <v>85</v>
      </c>
      <c r="R15" s="45" t="s">
        <v>58</v>
      </c>
    </row>
    <row r="16" spans="1:18" s="46" customFormat="1" ht="24.95" customHeight="1" x14ac:dyDescent="0.25">
      <c r="A16" s="47">
        <v>5</v>
      </c>
      <c r="B16" s="35" t="s">
        <v>109</v>
      </c>
      <c r="C16" s="36">
        <v>289.60000000000002</v>
      </c>
      <c r="D16" s="37">
        <v>284.75</v>
      </c>
      <c r="E16" s="37">
        <v>289.64</v>
      </c>
      <c r="F16" s="37">
        <v>0</v>
      </c>
      <c r="G16" s="36">
        <v>144.80000000000001</v>
      </c>
      <c r="H16" s="38">
        <f t="shared" si="1"/>
        <v>1.017172958735733</v>
      </c>
      <c r="I16" s="36">
        <v>708.07199999999807</v>
      </c>
      <c r="J16" s="37">
        <v>2</v>
      </c>
      <c r="K16" s="39">
        <f t="shared" si="4"/>
        <v>7.0237050043898156E-3</v>
      </c>
      <c r="L16" s="40">
        <f t="shared" si="2"/>
        <v>2.8899999999999864</v>
      </c>
      <c r="M16" s="41">
        <f t="shared" si="3"/>
        <v>1.0149253731343236E-2</v>
      </c>
      <c r="N16" s="42">
        <f t="shared" si="0"/>
        <v>418.47199999999805</v>
      </c>
      <c r="O16" s="43" t="s">
        <v>57</v>
      </c>
      <c r="P16" s="69" t="s">
        <v>235</v>
      </c>
      <c r="Q16" s="44"/>
      <c r="R16" s="45" t="s">
        <v>58</v>
      </c>
    </row>
    <row r="17" spans="1:18" s="46" customFormat="1" ht="24.95" customHeight="1" x14ac:dyDescent="0.25">
      <c r="A17" s="34">
        <v>6</v>
      </c>
      <c r="B17" s="35" t="s">
        <v>131</v>
      </c>
      <c r="C17" s="36">
        <v>270.10000000000002</v>
      </c>
      <c r="D17" s="37">
        <v>26.56</v>
      </c>
      <c r="E17" s="37">
        <v>27.3</v>
      </c>
      <c r="F17" s="37">
        <v>0</v>
      </c>
      <c r="G17" s="36">
        <v>730</v>
      </c>
      <c r="H17" s="38">
        <f t="shared" si="1"/>
        <v>1.0278614457831325</v>
      </c>
      <c r="I17" s="36">
        <v>540.20000000000141</v>
      </c>
      <c r="J17" s="37">
        <v>0.37</v>
      </c>
      <c r="K17" s="39">
        <f t="shared" si="4"/>
        <v>1.3930722891566265E-2</v>
      </c>
      <c r="L17" s="40">
        <f t="shared" si="2"/>
        <v>0.37000000000000199</v>
      </c>
      <c r="M17" s="41">
        <f t="shared" si="3"/>
        <v>1.3930722891566341E-2</v>
      </c>
      <c r="N17" s="42">
        <f t="shared" si="0"/>
        <v>270.10000000000144</v>
      </c>
      <c r="O17" s="43" t="s">
        <v>57</v>
      </c>
      <c r="P17" s="69" t="s">
        <v>235</v>
      </c>
      <c r="Q17" s="44"/>
      <c r="R17" s="45" t="s">
        <v>123</v>
      </c>
    </row>
    <row r="18" spans="1:18" s="46" customFormat="1" ht="24.95" customHeight="1" x14ac:dyDescent="0.25">
      <c r="A18" s="47">
        <v>7</v>
      </c>
      <c r="B18" s="35" t="s">
        <v>147</v>
      </c>
      <c r="C18" s="36">
        <v>270.09519999999998</v>
      </c>
      <c r="D18" s="37">
        <v>289.23</v>
      </c>
      <c r="E18" s="37">
        <v>286.33</v>
      </c>
      <c r="F18" s="37">
        <v>6.76</v>
      </c>
      <c r="G18" s="36">
        <v>95.44</v>
      </c>
      <c r="H18" s="38">
        <f t="shared" si="1"/>
        <v>1.013345780174947</v>
      </c>
      <c r="I18" s="36">
        <v>368.39839999999589</v>
      </c>
      <c r="J18" s="37">
        <v>2.83</v>
      </c>
      <c r="K18" s="39">
        <f t="shared" si="4"/>
        <v>9.784600490958752E-3</v>
      </c>
      <c r="L18" s="40">
        <f>((E18+F18)-D18)-J18</f>
        <v>1.0299999999999567</v>
      </c>
      <c r="M18" s="41">
        <f t="shared" si="3"/>
        <v>3.5611796839883714E-3</v>
      </c>
      <c r="N18" s="42">
        <f t="shared" si="0"/>
        <v>98.303199999995869</v>
      </c>
      <c r="O18" s="43" t="s">
        <v>57</v>
      </c>
      <c r="P18" s="69" t="s">
        <v>235</v>
      </c>
      <c r="Q18" s="44"/>
      <c r="R18" s="45" t="s">
        <v>58</v>
      </c>
    </row>
    <row r="19" spans="1:18" s="46" customFormat="1" ht="24.95" customHeight="1" x14ac:dyDescent="0.25">
      <c r="A19" s="34">
        <v>8</v>
      </c>
      <c r="B19" s="35" t="s">
        <v>117</v>
      </c>
      <c r="C19" s="36">
        <v>268.79999999999995</v>
      </c>
      <c r="D19" s="37">
        <v>161.28</v>
      </c>
      <c r="E19" s="37">
        <v>164.08</v>
      </c>
      <c r="F19" s="37">
        <v>0</v>
      </c>
      <c r="G19" s="36">
        <v>96</v>
      </c>
      <c r="H19" s="38">
        <f t="shared" si="1"/>
        <v>1.0173611111111112</v>
      </c>
      <c r="I19" s="36">
        <v>268.80000000000109</v>
      </c>
      <c r="J19" s="37">
        <v>2.8</v>
      </c>
      <c r="K19" s="39">
        <f t="shared" si="4"/>
        <v>1.7361111111111108E-2</v>
      </c>
      <c r="L19" s="40">
        <f t="shared" si="2"/>
        <v>1.1546319456101628E-14</v>
      </c>
      <c r="M19" s="41">
        <f t="shared" si="3"/>
        <v>7.1591762500630139E-17</v>
      </c>
      <c r="N19" s="42">
        <f t="shared" si="0"/>
        <v>1.1084466677857563E-12</v>
      </c>
      <c r="O19" s="43" t="s">
        <v>57</v>
      </c>
      <c r="P19" s="69" t="s">
        <v>84</v>
      </c>
      <c r="Q19" s="44"/>
      <c r="R19" s="45" t="s">
        <v>119</v>
      </c>
    </row>
    <row r="20" spans="1:18" s="46" customFormat="1" ht="24.95" customHeight="1" x14ac:dyDescent="0.25">
      <c r="A20" s="47">
        <v>9</v>
      </c>
      <c r="B20" s="35" t="s">
        <v>71</v>
      </c>
      <c r="C20" s="36">
        <v>257.92199999999997</v>
      </c>
      <c r="D20" s="37">
        <v>169.88</v>
      </c>
      <c r="E20" s="37">
        <v>168.04999999999998</v>
      </c>
      <c r="F20" s="37">
        <v>4.83</v>
      </c>
      <c r="G20" s="36">
        <v>122.82</v>
      </c>
      <c r="H20" s="38">
        <f t="shared" si="1"/>
        <v>1.0176595243701436</v>
      </c>
      <c r="I20" s="36">
        <v>368.46</v>
      </c>
      <c r="J20" s="37">
        <v>2.1</v>
      </c>
      <c r="K20" s="39">
        <f t="shared" si="4"/>
        <v>1.2361667059100542E-2</v>
      </c>
      <c r="L20" s="40">
        <f t="shared" si="2"/>
        <v>0.89999999999999991</v>
      </c>
      <c r="M20" s="41">
        <f t="shared" si="3"/>
        <v>5.2978573110430893E-3</v>
      </c>
      <c r="N20" s="42">
        <f t="shared" si="0"/>
        <v>110.53799999999998</v>
      </c>
      <c r="O20" s="43" t="s">
        <v>57</v>
      </c>
      <c r="P20" s="69" t="s">
        <v>235</v>
      </c>
      <c r="Q20" s="44"/>
      <c r="R20" s="45" t="s">
        <v>72</v>
      </c>
    </row>
    <row r="21" spans="1:18" s="46" customFormat="1" ht="24.95" customHeight="1" thickBot="1" x14ac:dyDescent="0.3">
      <c r="A21" s="48">
        <v>10</v>
      </c>
      <c r="B21" s="49" t="s">
        <v>76</v>
      </c>
      <c r="C21" s="50">
        <v>257.14559999999994</v>
      </c>
      <c r="D21" s="51">
        <v>66.08</v>
      </c>
      <c r="E21" s="51">
        <v>69.099999999999994</v>
      </c>
      <c r="F21" s="51">
        <v>0</v>
      </c>
      <c r="G21" s="50">
        <v>108.96</v>
      </c>
      <c r="H21" s="52">
        <f t="shared" si="1"/>
        <v>1.0457021791767553</v>
      </c>
      <c r="I21" s="50">
        <v>329.05919999999952</v>
      </c>
      <c r="J21" s="51">
        <v>2.36</v>
      </c>
      <c r="K21" s="53">
        <f t="shared" si="4"/>
        <v>3.5714285714285712E-2</v>
      </c>
      <c r="L21" s="54">
        <f t="shared" si="2"/>
        <v>0.65999999999999615</v>
      </c>
      <c r="M21" s="55">
        <f t="shared" si="3"/>
        <v>9.9878934624696748E-3</v>
      </c>
      <c r="N21" s="56">
        <f t="shared" si="0"/>
        <v>71.913599999999576</v>
      </c>
      <c r="O21" s="57" t="s">
        <v>57</v>
      </c>
      <c r="P21" s="57" t="s">
        <v>235</v>
      </c>
      <c r="Q21" s="57"/>
      <c r="R21" s="58" t="s">
        <v>77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82</v>
      </c>
      <c r="C28" s="36">
        <v>4243.0354000000007</v>
      </c>
      <c r="D28" s="37">
        <v>794.48</v>
      </c>
      <c r="E28" s="37">
        <v>791.75</v>
      </c>
      <c r="F28" s="37">
        <v>33.6</v>
      </c>
      <c r="G28" s="36">
        <v>147.43</v>
      </c>
      <c r="H28" s="68">
        <f t="shared" ref="H28:H37" si="5">(E28+F28)/D28</f>
        <v>1.0388556036652905</v>
      </c>
      <c r="I28" s="36">
        <v>4551.1641000000009</v>
      </c>
      <c r="J28" s="37">
        <v>2.09</v>
      </c>
      <c r="K28" s="39">
        <f t="shared" ref="K28:K37" si="6">J28/D28</f>
        <v>2.6306514953176917E-3</v>
      </c>
      <c r="L28" s="42">
        <f t="shared" ref="L28:L37" si="7">J28*G28</f>
        <v>308.12869999999998</v>
      </c>
      <c r="M28" s="40">
        <f t="shared" ref="M28:M37" si="8">((E28+F28)-D28)-J28</f>
        <v>28.780000000000005</v>
      </c>
      <c r="N28" s="41">
        <f t="shared" ref="N28:N37" si="9">M28/D28</f>
        <v>3.6224952169972818E-2</v>
      </c>
      <c r="O28" s="43" t="s">
        <v>83</v>
      </c>
      <c r="P28" s="69" t="s">
        <v>84</v>
      </c>
      <c r="Q28" s="44" t="s">
        <v>85</v>
      </c>
      <c r="R28" s="45" t="s">
        <v>58</v>
      </c>
    </row>
    <row r="29" spans="1:18" s="67" customFormat="1" ht="24.95" customHeight="1" x14ac:dyDescent="0.25">
      <c r="A29" s="47">
        <v>2</v>
      </c>
      <c r="B29" s="35" t="s">
        <v>94</v>
      </c>
      <c r="C29" s="36">
        <v>2102.0565999999994</v>
      </c>
      <c r="D29" s="37">
        <v>200.04</v>
      </c>
      <c r="E29" s="37">
        <v>198.78</v>
      </c>
      <c r="F29" s="37">
        <v>4.7300000000000004</v>
      </c>
      <c r="G29" s="36">
        <v>605.78</v>
      </c>
      <c r="H29" s="68">
        <f t="shared" si="5"/>
        <v>1.0173465306938612</v>
      </c>
      <c r="I29" s="36">
        <v>2102.0565999999994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3.4699999999999989</v>
      </c>
      <c r="N29" s="41">
        <f t="shared" si="9"/>
        <v>1.7346530693861224E-2</v>
      </c>
      <c r="O29" s="43" t="s">
        <v>83</v>
      </c>
      <c r="P29" s="44" t="s">
        <v>60</v>
      </c>
      <c r="Q29" s="44" t="s">
        <v>87</v>
      </c>
      <c r="R29" s="45" t="s">
        <v>95</v>
      </c>
    </row>
    <row r="30" spans="1:18" s="67" customFormat="1" ht="24.95" customHeight="1" x14ac:dyDescent="0.25">
      <c r="A30" s="47">
        <v>3</v>
      </c>
      <c r="B30" s="35" t="s">
        <v>124</v>
      </c>
      <c r="C30" s="36">
        <v>1960.0296999999989</v>
      </c>
      <c r="D30" s="37">
        <v>52.43</v>
      </c>
      <c r="E30" s="37">
        <v>50.22</v>
      </c>
      <c r="F30" s="37">
        <v>5.04</v>
      </c>
      <c r="G30" s="36">
        <v>692.59</v>
      </c>
      <c r="H30" s="68">
        <f t="shared" si="5"/>
        <v>1.0539767308792676</v>
      </c>
      <c r="I30" s="36">
        <v>1960.0296999999989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2.8299999999999983</v>
      </c>
      <c r="N30" s="41">
        <f t="shared" si="9"/>
        <v>5.3976730879267562E-2</v>
      </c>
      <c r="O30" s="43" t="s">
        <v>83</v>
      </c>
      <c r="P30" s="69" t="s">
        <v>235</v>
      </c>
      <c r="Q30" s="44"/>
      <c r="R30" s="45" t="s">
        <v>121</v>
      </c>
    </row>
    <row r="31" spans="1:18" s="67" customFormat="1" ht="24.95" customHeight="1" x14ac:dyDescent="0.25">
      <c r="A31" s="34">
        <v>4</v>
      </c>
      <c r="B31" s="35" t="s">
        <v>142</v>
      </c>
      <c r="C31" s="36">
        <v>1785.4816000000008</v>
      </c>
      <c r="D31" s="37">
        <v>110.69</v>
      </c>
      <c r="E31" s="37">
        <v>107.37</v>
      </c>
      <c r="F31" s="37">
        <v>19</v>
      </c>
      <c r="G31" s="36">
        <v>113.87</v>
      </c>
      <c r="H31" s="68">
        <f t="shared" si="5"/>
        <v>1.141656879573584</v>
      </c>
      <c r="I31" s="36">
        <v>1785.4816000000008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15.680000000000007</v>
      </c>
      <c r="N31" s="41">
        <f t="shared" si="9"/>
        <v>0.14165687957358394</v>
      </c>
      <c r="O31" s="43" t="s">
        <v>83</v>
      </c>
      <c r="P31" s="69" t="s">
        <v>235</v>
      </c>
      <c r="Q31" s="44"/>
      <c r="R31" s="45" t="s">
        <v>121</v>
      </c>
    </row>
    <row r="32" spans="1:18" s="67" customFormat="1" ht="24.95" customHeight="1" x14ac:dyDescent="0.25">
      <c r="A32" s="47">
        <v>5</v>
      </c>
      <c r="B32" s="35" t="s">
        <v>86</v>
      </c>
      <c r="C32" s="36">
        <v>1707.1626000000058</v>
      </c>
      <c r="D32" s="37">
        <v>4641.75</v>
      </c>
      <c r="E32" s="37">
        <v>4621.49</v>
      </c>
      <c r="F32" s="37">
        <v>63.6</v>
      </c>
      <c r="G32" s="36">
        <v>39.39</v>
      </c>
      <c r="H32" s="68">
        <f t="shared" si="5"/>
        <v>1.0093369957451392</v>
      </c>
      <c r="I32" s="36">
        <v>1707.1626000000058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43.340000000000146</v>
      </c>
      <c r="N32" s="41">
        <f t="shared" si="9"/>
        <v>9.3369957451392566E-3</v>
      </c>
      <c r="O32" s="43" t="s">
        <v>83</v>
      </c>
      <c r="P32" s="44" t="s">
        <v>141</v>
      </c>
      <c r="Q32" s="44" t="s">
        <v>87</v>
      </c>
      <c r="R32" s="45" t="s">
        <v>58</v>
      </c>
    </row>
    <row r="33" spans="1:18" s="67" customFormat="1" ht="24.95" customHeight="1" x14ac:dyDescent="0.25">
      <c r="A33" s="34">
        <v>6</v>
      </c>
      <c r="B33" s="35" t="s">
        <v>127</v>
      </c>
      <c r="C33" s="36">
        <v>1476.3474000000033</v>
      </c>
      <c r="D33" s="37">
        <v>127.32</v>
      </c>
      <c r="E33" s="37">
        <v>130.78</v>
      </c>
      <c r="F33" s="37">
        <v>0</v>
      </c>
      <c r="G33" s="36">
        <v>426.69</v>
      </c>
      <c r="H33" s="68">
        <f t="shared" si="5"/>
        <v>1.0271756204838203</v>
      </c>
      <c r="I33" s="36">
        <v>1476.3474000000033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3.460000000000008</v>
      </c>
      <c r="N33" s="41">
        <f t="shared" si="9"/>
        <v>2.717562048382036E-2</v>
      </c>
      <c r="O33" s="43" t="s">
        <v>83</v>
      </c>
      <c r="P33" s="69" t="s">
        <v>235</v>
      </c>
      <c r="Q33" s="44"/>
      <c r="R33" s="45" t="s">
        <v>128</v>
      </c>
    </row>
    <row r="34" spans="1:18" s="67" customFormat="1" ht="24.95" customHeight="1" x14ac:dyDescent="0.25">
      <c r="A34" s="47">
        <v>7</v>
      </c>
      <c r="B34" s="35" t="s">
        <v>99</v>
      </c>
      <c r="C34" s="36">
        <v>1420.5785999999973</v>
      </c>
      <c r="D34" s="37">
        <v>31.59</v>
      </c>
      <c r="E34" s="37">
        <v>31.9</v>
      </c>
      <c r="F34" s="37">
        <v>1.98</v>
      </c>
      <c r="G34" s="36">
        <v>620.34</v>
      </c>
      <c r="H34" s="68">
        <f t="shared" si="5"/>
        <v>1.0724912947135168</v>
      </c>
      <c r="I34" s="36">
        <v>1420.5785999999973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2.2899999999999956</v>
      </c>
      <c r="N34" s="41">
        <f t="shared" si="9"/>
        <v>7.2491294713516799E-2</v>
      </c>
      <c r="O34" s="43" t="s">
        <v>83</v>
      </c>
      <c r="P34" s="69" t="s">
        <v>235</v>
      </c>
      <c r="Q34" s="44"/>
      <c r="R34" s="45" t="s">
        <v>100</v>
      </c>
    </row>
    <row r="35" spans="1:18" s="67" customFormat="1" ht="24.95" customHeight="1" x14ac:dyDescent="0.25">
      <c r="A35" s="34">
        <v>8</v>
      </c>
      <c r="B35" s="35" t="s">
        <v>150</v>
      </c>
      <c r="C35" s="36">
        <v>1267.492800000005</v>
      </c>
      <c r="D35" s="37">
        <v>195.79</v>
      </c>
      <c r="E35" s="37">
        <v>200.55</v>
      </c>
      <c r="F35" s="37">
        <v>0</v>
      </c>
      <c r="G35" s="36">
        <v>266.27999999999997</v>
      </c>
      <c r="H35" s="68">
        <f t="shared" si="5"/>
        <v>1.0243117626027889</v>
      </c>
      <c r="I35" s="36">
        <v>1267.492800000005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4.7600000000000193</v>
      </c>
      <c r="N35" s="41">
        <f t="shared" si="9"/>
        <v>2.4311762602788802E-2</v>
      </c>
      <c r="O35" s="43" t="s">
        <v>83</v>
      </c>
      <c r="P35" s="69" t="s">
        <v>235</v>
      </c>
      <c r="Q35" s="44"/>
      <c r="R35" s="45" t="s">
        <v>151</v>
      </c>
    </row>
    <row r="36" spans="1:18" s="67" customFormat="1" ht="24.95" customHeight="1" x14ac:dyDescent="0.25">
      <c r="A36" s="47">
        <v>9</v>
      </c>
      <c r="B36" s="35" t="s">
        <v>152</v>
      </c>
      <c r="C36" s="36">
        <v>1083.6150000000016</v>
      </c>
      <c r="D36" s="37">
        <v>70.209999999999994</v>
      </c>
      <c r="E36" s="37">
        <v>72.16</v>
      </c>
      <c r="F36" s="37">
        <v>0</v>
      </c>
      <c r="G36" s="36">
        <v>555.70000000000005</v>
      </c>
      <c r="H36" s="68">
        <f t="shared" si="5"/>
        <v>1.0277738213929639</v>
      </c>
      <c r="I36" s="36">
        <v>1083.6150000000016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1.9500000000000028</v>
      </c>
      <c r="N36" s="41">
        <f t="shared" si="9"/>
        <v>2.7773821392964009E-2</v>
      </c>
      <c r="O36" s="43" t="s">
        <v>97</v>
      </c>
      <c r="P36" s="69" t="s">
        <v>235</v>
      </c>
      <c r="Q36" s="44"/>
      <c r="R36" s="45" t="s">
        <v>153</v>
      </c>
    </row>
    <row r="37" spans="1:18" s="67" customFormat="1" ht="24.95" customHeight="1" thickBot="1" x14ac:dyDescent="0.3">
      <c r="A37" s="48">
        <v>10</v>
      </c>
      <c r="B37" s="49" t="s">
        <v>92</v>
      </c>
      <c r="C37" s="50">
        <v>984.48440000000267</v>
      </c>
      <c r="D37" s="51">
        <v>354.2</v>
      </c>
      <c r="E37" s="51">
        <v>354.22</v>
      </c>
      <c r="F37" s="51">
        <v>14</v>
      </c>
      <c r="G37" s="50">
        <v>70.22</v>
      </c>
      <c r="H37" s="70">
        <f t="shared" si="5"/>
        <v>1.0395821569734613</v>
      </c>
      <c r="I37" s="50">
        <v>984.48440000000267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14.020000000000039</v>
      </c>
      <c r="N37" s="55">
        <f t="shared" si="9"/>
        <v>3.958215697346143E-2</v>
      </c>
      <c r="O37" s="57" t="s">
        <v>97</v>
      </c>
      <c r="P37" s="71" t="s">
        <v>235</v>
      </c>
      <c r="Q37" s="72"/>
      <c r="R37" s="58" t="s">
        <v>93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82</v>
      </c>
      <c r="C44" s="36">
        <v>308.12869999999998</v>
      </c>
      <c r="D44" s="78">
        <f t="shared" ref="D44:D53" si="10">C44/$L$5</f>
        <v>0.10778406939626115</v>
      </c>
      <c r="E44" s="79"/>
    </row>
    <row r="45" spans="1:18" s="80" customFormat="1" ht="24.95" customHeight="1" x14ac:dyDescent="0.25">
      <c r="A45" s="81">
        <v>2</v>
      </c>
      <c r="B45" s="35" t="s">
        <v>109</v>
      </c>
      <c r="C45" s="36">
        <v>289.60000000000002</v>
      </c>
      <c r="D45" s="78">
        <f t="shared" si="10"/>
        <v>0.10130269104162394</v>
      </c>
      <c r="E45" s="79"/>
    </row>
    <row r="46" spans="1:18" s="80" customFormat="1" ht="24.95" customHeight="1" x14ac:dyDescent="0.25">
      <c r="A46" s="81">
        <v>3</v>
      </c>
      <c r="B46" s="35" t="s">
        <v>147</v>
      </c>
      <c r="C46" s="36">
        <v>270.09519999999998</v>
      </c>
      <c r="D46" s="78">
        <f t="shared" si="10"/>
        <v>9.4479870847464162E-2</v>
      </c>
      <c r="E46" s="79"/>
    </row>
    <row r="47" spans="1:18" s="80" customFormat="1" ht="24.95" customHeight="1" x14ac:dyDescent="0.25">
      <c r="A47" s="77">
        <v>4</v>
      </c>
      <c r="B47" s="35" t="s">
        <v>105</v>
      </c>
      <c r="C47" s="36">
        <v>245.00000000000003</v>
      </c>
      <c r="D47" s="78">
        <f t="shared" si="10"/>
        <v>8.5701516937837938E-2</v>
      </c>
      <c r="E47" s="79"/>
    </row>
    <row r="48" spans="1:18" s="80" customFormat="1" ht="24.95" customHeight="1" x14ac:dyDescent="0.25">
      <c r="A48" s="81">
        <v>5</v>
      </c>
      <c r="B48" s="35" t="s">
        <v>104</v>
      </c>
      <c r="C48" s="36">
        <v>242.19</v>
      </c>
      <c r="D48" s="78">
        <f t="shared" si="10"/>
        <v>8.4718573008877418E-2</v>
      </c>
      <c r="E48" s="79"/>
    </row>
    <row r="49" spans="1:5" s="80" customFormat="1" ht="24.95" customHeight="1" x14ac:dyDescent="0.25">
      <c r="A49" s="77">
        <v>6</v>
      </c>
      <c r="B49" s="35" t="s">
        <v>126</v>
      </c>
      <c r="C49" s="36">
        <v>224.06</v>
      </c>
      <c r="D49" s="78">
        <f t="shared" si="10"/>
        <v>7.8376660755477418E-2</v>
      </c>
      <c r="E49" s="79"/>
    </row>
    <row r="50" spans="1:5" s="80" customFormat="1" ht="24.95" customHeight="1" x14ac:dyDescent="0.25">
      <c r="A50" s="81">
        <v>7</v>
      </c>
      <c r="B50" s="35" t="s">
        <v>103</v>
      </c>
      <c r="C50" s="36">
        <v>223.614</v>
      </c>
      <c r="D50" s="78">
        <f t="shared" si="10"/>
        <v>7.822064901443955E-2</v>
      </c>
      <c r="E50" s="79"/>
    </row>
    <row r="51" spans="1:5" s="80" customFormat="1" ht="24.95" customHeight="1" x14ac:dyDescent="0.25">
      <c r="A51" s="77">
        <v>8</v>
      </c>
      <c r="B51" s="35" t="s">
        <v>107</v>
      </c>
      <c r="C51" s="36">
        <v>210.08699999999999</v>
      </c>
      <c r="D51" s="78">
        <f t="shared" si="10"/>
        <v>7.3488875873141041E-2</v>
      </c>
      <c r="E51" s="79"/>
    </row>
    <row r="52" spans="1:5" s="80" customFormat="1" ht="24.95" customHeight="1" x14ac:dyDescent="0.25">
      <c r="A52" s="81">
        <v>9</v>
      </c>
      <c r="B52" s="35" t="s">
        <v>56</v>
      </c>
      <c r="C52" s="36">
        <v>172.584</v>
      </c>
      <c r="D52" s="78">
        <f t="shared" si="10"/>
        <v>6.0370247343672738E-2</v>
      </c>
      <c r="E52" s="79"/>
    </row>
    <row r="53" spans="1:5" s="80" customFormat="1" ht="24.95" customHeight="1" thickBot="1" x14ac:dyDescent="0.3">
      <c r="A53" s="82">
        <v>10</v>
      </c>
      <c r="B53" s="49" t="s">
        <v>125</v>
      </c>
      <c r="C53" s="50">
        <v>172</v>
      </c>
      <c r="D53" s="83">
        <f t="shared" si="10"/>
        <v>6.0165962911461729E-2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71" priority="34" operator="containsText" text="中華">
      <formula>NOT(ISERROR(SEARCH("中華",A12)))</formula>
    </cfRule>
    <cfRule type="containsText" dxfId="270" priority="33" operator="containsText" text="湯凍">
      <formula>NOT(ISERROR(SEARCH("湯凍",A12)))</formula>
    </cfRule>
    <cfRule type="containsText" dxfId="269" priority="32" operator="containsText" text=")川燙小青花菜">
      <formula>NOT(ISERROR(SEARCH(")川燙小青花菜",A12)))</formula>
    </cfRule>
    <cfRule type="containsText" dxfId="268" priority="31" operator="containsText" text="青蔥">
      <formula>NOT(ISERROR(SEARCH("青蔥",A12)))</formula>
    </cfRule>
    <cfRule type="containsText" dxfId="267" priority="30" operator="containsText" text="白醬">
      <formula>NOT(ISERROR(SEARCH("白醬",A12)))</formula>
    </cfRule>
    <cfRule type="containsText" dxfId="266" priority="29" operator="containsText" text="024">
      <formula>NOT(ISERROR(SEARCH("024",A12)))</formula>
    </cfRule>
    <cfRule type="containsText" dxfId="265" priority="28" operator="containsText" text="煮白細麵生(方#12)">
      <formula>NOT(ISERROR(SEARCH("煮白細麵生(方#12)",A12)))</formula>
    </cfRule>
    <cfRule type="containsText" dxfId="264" priority="27" operator="containsText" text="綠豆芽">
      <formula>NOT(ISERROR(SEARCH("綠豆芽",A12)))</formula>
    </cfRule>
  </conditionalFormatting>
  <conditionalFormatting sqref="A28:A37">
    <cfRule type="containsText" dxfId="263" priority="5" operator="containsText" text="綠豆芽">
      <formula>NOT(ISERROR(SEARCH("綠豆芽",A28)))</formula>
    </cfRule>
    <cfRule type="containsText" dxfId="262" priority="6" operator="containsText" text="煮白細麵生(方#12)">
      <formula>NOT(ISERROR(SEARCH("煮白細麵生(方#12)",A28)))</formula>
    </cfRule>
    <cfRule type="containsText" dxfId="261" priority="7" operator="containsText" text="024">
      <formula>NOT(ISERROR(SEARCH("024",A28)))</formula>
    </cfRule>
    <cfRule type="containsText" dxfId="260" priority="8" operator="containsText" text="白醬">
      <formula>NOT(ISERROR(SEARCH("白醬",A28)))</formula>
    </cfRule>
    <cfRule type="containsText" dxfId="259" priority="9" operator="containsText" text="青蔥">
      <formula>NOT(ISERROR(SEARCH("青蔥",A28)))</formula>
    </cfRule>
    <cfRule type="containsText" dxfId="258" priority="10" operator="containsText" text=")川燙小青花菜">
      <formula>NOT(ISERROR(SEARCH(")川燙小青花菜",A28)))</formula>
    </cfRule>
    <cfRule type="containsText" dxfId="257" priority="11" operator="containsText" text="湯凍">
      <formula>NOT(ISERROR(SEARCH("湯凍",A28)))</formula>
    </cfRule>
    <cfRule type="containsText" dxfId="256" priority="12" operator="containsText" text="中華">
      <formula>NOT(ISERROR(SEARCH("中華",A28)))</formula>
    </cfRule>
  </conditionalFormatting>
  <conditionalFormatting sqref="A44:A53">
    <cfRule type="containsText" dxfId="255" priority="17" operator="containsText" text="綠豆芽">
      <formula>NOT(ISERROR(SEARCH("綠豆芽",A44)))</formula>
    </cfRule>
    <cfRule type="containsText" dxfId="254" priority="18" operator="containsText" text="煮白細麵生(方#12)">
      <formula>NOT(ISERROR(SEARCH("煮白細麵生(方#12)",A44)))</formula>
    </cfRule>
    <cfRule type="containsText" dxfId="253" priority="19" operator="containsText" text="024">
      <formula>NOT(ISERROR(SEARCH("024",A44)))</formula>
    </cfRule>
    <cfRule type="containsText" dxfId="252" priority="20" operator="containsText" text="白醬">
      <formula>NOT(ISERROR(SEARCH("白醬",A44)))</formula>
    </cfRule>
    <cfRule type="containsText" dxfId="251" priority="21" operator="containsText" text="青蔥">
      <formula>NOT(ISERROR(SEARCH("青蔥",A44)))</formula>
    </cfRule>
    <cfRule type="containsText" dxfId="250" priority="22" operator="containsText" text=")川燙小青花菜">
      <formula>NOT(ISERROR(SEARCH(")川燙小青花菜",A44)))</formula>
    </cfRule>
    <cfRule type="containsText" dxfId="249" priority="23" operator="containsText" text="湯凍">
      <formula>NOT(ISERROR(SEARCH("湯凍",A44)))</formula>
    </cfRule>
    <cfRule type="containsText" dxfId="248" priority="24" operator="containsText" text="中華">
      <formula>NOT(ISERROR(SEARCH("中華",A44)))</formula>
    </cfRule>
  </conditionalFormatting>
  <conditionalFormatting sqref="D44:D53">
    <cfRule type="cellIs" dxfId="247" priority="16" operator="greaterThan">
      <formula>0.146</formula>
    </cfRule>
  </conditionalFormatting>
  <conditionalFormatting sqref="E5">
    <cfRule type="cellIs" dxfId="246" priority="25" operator="greaterThan">
      <formula>0.072</formula>
    </cfRule>
    <cfRule type="cellIs" dxfId="245" priority="26" operator="greaterThan">
      <formula>7.2</formula>
    </cfRule>
    <cfRule type="cellIs" dxfId="244" priority="14" operator="greaterThan">
      <formula>0.0025</formula>
    </cfRule>
  </conditionalFormatting>
  <conditionalFormatting sqref="G5">
    <cfRule type="cellIs" dxfId="243" priority="3" operator="greaterThan">
      <formula>7.2</formula>
    </cfRule>
    <cfRule type="cellIs" dxfId="242" priority="2" operator="greaterThan">
      <formula>0.072</formula>
    </cfRule>
    <cfRule type="cellIs" dxfId="241" priority="1" operator="greaterThan">
      <formula>0.0025</formula>
    </cfRule>
  </conditionalFormatting>
  <conditionalFormatting sqref="H12:H22">
    <cfRule type="cellIs" dxfId="240" priority="15" operator="greaterThan">
      <formula>1.1</formula>
    </cfRule>
  </conditionalFormatting>
  <conditionalFormatting sqref="H28:H37">
    <cfRule type="cellIs" dxfId="239" priority="4" operator="greaterThan">
      <formula>1.1</formula>
    </cfRule>
  </conditionalFormatting>
  <conditionalFormatting sqref="I5">
    <cfRule type="cellIs" dxfId="23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B279-02A4-4530-8495-B4A4F7A883FE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45906</v>
      </c>
      <c r="B3" s="149"/>
      <c r="C3" s="150">
        <v>6064269.0899999999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14614.187100000005</v>
      </c>
      <c r="E5" s="24">
        <f>D5/C3</f>
        <v>2.4098843377677367E-3</v>
      </c>
      <c r="F5" s="23">
        <v>43815.584400000014</v>
      </c>
      <c r="G5" s="25">
        <f>F5/C3</f>
        <v>7.2252045134758381E-3</v>
      </c>
      <c r="H5" s="26">
        <f>SUM(C12:C21)</f>
        <v>4195.5953999999992</v>
      </c>
      <c r="I5" s="27">
        <f>H5/D5</f>
        <v>0.28709057652614822</v>
      </c>
      <c r="J5" s="26">
        <f>SUM(C28:C37)</f>
        <v>19012.177499999976</v>
      </c>
      <c r="K5" s="28">
        <f>J5/F5</f>
        <v>0.43391358943052166</v>
      </c>
      <c r="L5" s="29">
        <v>2184.1961000000001</v>
      </c>
      <c r="M5" s="30">
        <f>L5/D5</f>
        <v>0.14945724213425457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71</v>
      </c>
      <c r="C12" s="36">
        <v>982.56</v>
      </c>
      <c r="D12" s="37">
        <v>103.27</v>
      </c>
      <c r="E12" s="37">
        <v>111.27</v>
      </c>
      <c r="F12" s="37">
        <v>0</v>
      </c>
      <c r="G12" s="36">
        <v>122.82</v>
      </c>
      <c r="H12" s="38">
        <f>(E12+F12)/D12</f>
        <v>1.0774668345114748</v>
      </c>
      <c r="I12" s="36">
        <v>982.56</v>
      </c>
      <c r="J12" s="37">
        <v>8</v>
      </c>
      <c r="K12" s="39">
        <f>J12/D12</f>
        <v>7.7466834511474778E-2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67</v>
      </c>
      <c r="Q12" s="44"/>
      <c r="R12" s="45" t="s">
        <v>72</v>
      </c>
    </row>
    <row r="13" spans="1:18" s="46" customFormat="1" ht="24.95" customHeight="1" x14ac:dyDescent="0.25">
      <c r="A13" s="47">
        <v>2</v>
      </c>
      <c r="B13" s="35" t="s">
        <v>59</v>
      </c>
      <c r="C13" s="36">
        <v>942.44999999999993</v>
      </c>
      <c r="D13" s="37">
        <v>3235</v>
      </c>
      <c r="E13" s="37">
        <v>3296</v>
      </c>
      <c r="F13" s="37">
        <v>0</v>
      </c>
      <c r="G13" s="36">
        <v>15.45</v>
      </c>
      <c r="H13" s="38">
        <f t="shared" ref="H13:H21" si="1">(E13+F13)/D13</f>
        <v>1.0188562596599691</v>
      </c>
      <c r="I13" s="36">
        <v>942.44999999999993</v>
      </c>
      <c r="J13" s="37">
        <v>61</v>
      </c>
      <c r="K13" s="39">
        <f>J13/D13</f>
        <v>1.8856259659969087E-2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60</v>
      </c>
      <c r="Q13" s="44" t="s">
        <v>61</v>
      </c>
      <c r="R13" s="45" t="s">
        <v>62</v>
      </c>
    </row>
    <row r="14" spans="1:18" s="46" customFormat="1" ht="24.95" customHeight="1" x14ac:dyDescent="0.25">
      <c r="A14" s="47">
        <v>3</v>
      </c>
      <c r="B14" s="35" t="s">
        <v>63</v>
      </c>
      <c r="C14" s="36">
        <v>374.76</v>
      </c>
      <c r="D14" s="37">
        <v>3327</v>
      </c>
      <c r="E14" s="37">
        <v>3363</v>
      </c>
      <c r="F14" s="37">
        <v>0</v>
      </c>
      <c r="G14" s="36">
        <v>10.41</v>
      </c>
      <c r="H14" s="38">
        <f>(E14+F14)/D14</f>
        <v>1.0108205590622181</v>
      </c>
      <c r="I14" s="36">
        <v>374.76</v>
      </c>
      <c r="J14" s="37">
        <v>36</v>
      </c>
      <c r="K14" s="39">
        <f t="shared" ref="K14:K21" si="4">J14/D14</f>
        <v>1.0820559062218215E-2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3" t="s">
        <v>64</v>
      </c>
      <c r="Q14" s="44"/>
      <c r="R14" s="45" t="s">
        <v>65</v>
      </c>
    </row>
    <row r="15" spans="1:18" s="46" customFormat="1" ht="24.95" customHeight="1" x14ac:dyDescent="0.25">
      <c r="A15" s="34">
        <v>4</v>
      </c>
      <c r="B15" s="35" t="s">
        <v>78</v>
      </c>
      <c r="C15" s="36">
        <v>280.5</v>
      </c>
      <c r="D15" s="37">
        <v>6657</v>
      </c>
      <c r="E15" s="37">
        <v>6987</v>
      </c>
      <c r="F15" s="37">
        <v>0</v>
      </c>
      <c r="G15" s="36">
        <v>0.85</v>
      </c>
      <c r="H15" s="38">
        <f>(E15+F15)/D15</f>
        <v>1.049571879224876</v>
      </c>
      <c r="I15" s="36">
        <v>280.5</v>
      </c>
      <c r="J15" s="37">
        <v>330</v>
      </c>
      <c r="K15" s="39">
        <f t="shared" si="4"/>
        <v>4.9571879224876068E-2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3" t="s">
        <v>64</v>
      </c>
      <c r="Q15" s="44"/>
      <c r="R15" s="45" t="s">
        <v>79</v>
      </c>
    </row>
    <row r="16" spans="1:18" s="46" customFormat="1" ht="24.95" customHeight="1" x14ac:dyDescent="0.25">
      <c r="A16" s="47">
        <v>5</v>
      </c>
      <c r="B16" s="35" t="s">
        <v>82</v>
      </c>
      <c r="C16" s="36">
        <v>280.11700000000002</v>
      </c>
      <c r="D16" s="37">
        <v>493.35</v>
      </c>
      <c r="E16" s="37">
        <v>490.09</v>
      </c>
      <c r="F16" s="37">
        <v>39.479999999999997</v>
      </c>
      <c r="G16" s="36">
        <v>147.43</v>
      </c>
      <c r="H16" s="38">
        <f t="shared" si="1"/>
        <v>1.0734164386338299</v>
      </c>
      <c r="I16" s="36">
        <v>5339.9145999999873</v>
      </c>
      <c r="J16" s="37">
        <v>1.9</v>
      </c>
      <c r="K16" s="39">
        <f t="shared" si="4"/>
        <v>3.85122124252559E-3</v>
      </c>
      <c r="L16" s="40">
        <f t="shared" si="2"/>
        <v>34.319999999999915</v>
      </c>
      <c r="M16" s="41">
        <f t="shared" si="3"/>
        <v>6.9565217391304168E-2</v>
      </c>
      <c r="N16" s="42">
        <f t="shared" si="0"/>
        <v>5059.7975999999881</v>
      </c>
      <c r="O16" s="43" t="s">
        <v>57</v>
      </c>
      <c r="P16" s="69" t="s">
        <v>84</v>
      </c>
      <c r="Q16" s="44" t="s">
        <v>85</v>
      </c>
      <c r="R16" s="45" t="s">
        <v>58</v>
      </c>
    </row>
    <row r="17" spans="1:18" s="46" customFormat="1" ht="24.95" customHeight="1" x14ac:dyDescent="0.25">
      <c r="A17" s="34">
        <v>6</v>
      </c>
      <c r="B17" s="35" t="s">
        <v>112</v>
      </c>
      <c r="C17" s="36">
        <v>273</v>
      </c>
      <c r="D17" s="37">
        <v>3456</v>
      </c>
      <c r="E17" s="37">
        <v>3454</v>
      </c>
      <c r="F17" s="37">
        <v>100</v>
      </c>
      <c r="G17" s="36">
        <v>5.46</v>
      </c>
      <c r="H17" s="38">
        <f t="shared" si="1"/>
        <v>1.0283564814814814</v>
      </c>
      <c r="I17" s="36">
        <v>535.08000000000004</v>
      </c>
      <c r="J17" s="37">
        <v>50</v>
      </c>
      <c r="K17" s="39">
        <f t="shared" si="4"/>
        <v>1.4467592592592593E-2</v>
      </c>
      <c r="L17" s="40">
        <f t="shared" si="2"/>
        <v>48</v>
      </c>
      <c r="M17" s="41">
        <f t="shared" si="3"/>
        <v>1.3888888888888888E-2</v>
      </c>
      <c r="N17" s="42">
        <f t="shared" si="0"/>
        <v>262.08</v>
      </c>
      <c r="O17" s="43" t="s">
        <v>57</v>
      </c>
      <c r="P17" s="43" t="s">
        <v>64</v>
      </c>
      <c r="Q17" s="44" t="s">
        <v>113</v>
      </c>
      <c r="R17" s="45" t="s">
        <v>98</v>
      </c>
    </row>
    <row r="18" spans="1:18" s="46" customFormat="1" ht="24.95" customHeight="1" x14ac:dyDescent="0.25">
      <c r="A18" s="47">
        <v>7</v>
      </c>
      <c r="B18" s="35" t="s">
        <v>103</v>
      </c>
      <c r="C18" s="36">
        <v>270.82140000000004</v>
      </c>
      <c r="D18" s="37">
        <v>26.71</v>
      </c>
      <c r="E18" s="37">
        <v>27.91</v>
      </c>
      <c r="F18" s="37">
        <v>0</v>
      </c>
      <c r="G18" s="36">
        <v>248.46</v>
      </c>
      <c r="H18" s="38">
        <f t="shared" si="1"/>
        <v>1.0449269936353425</v>
      </c>
      <c r="I18" s="36">
        <v>298.15199999999982</v>
      </c>
      <c r="J18" s="37">
        <v>1.0900000000000001</v>
      </c>
      <c r="K18" s="39">
        <f t="shared" si="4"/>
        <v>4.0808685885436166E-2</v>
      </c>
      <c r="L18" s="40">
        <f>((E18+F18)-D18)-J18</f>
        <v>0.10999999999999921</v>
      </c>
      <c r="M18" s="41">
        <f t="shared" si="3"/>
        <v>4.1183077499063721E-3</v>
      </c>
      <c r="N18" s="42">
        <f t="shared" si="0"/>
        <v>27.330599999999805</v>
      </c>
      <c r="O18" s="43" t="s">
        <v>57</v>
      </c>
      <c r="P18" s="69" t="s">
        <v>235</v>
      </c>
      <c r="Q18" s="44"/>
      <c r="R18" s="45" t="s">
        <v>58</v>
      </c>
    </row>
    <row r="19" spans="1:18" s="46" customFormat="1" ht="24.95" customHeight="1" x14ac:dyDescent="0.25">
      <c r="A19" s="34">
        <v>8</v>
      </c>
      <c r="B19" s="35" t="s">
        <v>146</v>
      </c>
      <c r="C19" s="36">
        <v>266.61599999999999</v>
      </c>
      <c r="D19" s="37">
        <v>30.79</v>
      </c>
      <c r="E19" s="37">
        <v>31.99</v>
      </c>
      <c r="F19" s="37">
        <v>0</v>
      </c>
      <c r="G19" s="36">
        <v>253.92</v>
      </c>
      <c r="H19" s="38">
        <f t="shared" si="1"/>
        <v>1.0389736927573887</v>
      </c>
      <c r="I19" s="36">
        <v>304.70399999999978</v>
      </c>
      <c r="J19" s="37">
        <v>1.05</v>
      </c>
      <c r="K19" s="39">
        <f t="shared" si="4"/>
        <v>3.4101981162715171E-2</v>
      </c>
      <c r="L19" s="40">
        <f t="shared" si="2"/>
        <v>0.14999999999999925</v>
      </c>
      <c r="M19" s="41">
        <f t="shared" si="3"/>
        <v>4.8717115946735707E-3</v>
      </c>
      <c r="N19" s="42">
        <f t="shared" si="0"/>
        <v>38.087999999999809</v>
      </c>
      <c r="O19" s="43" t="s">
        <v>57</v>
      </c>
      <c r="P19" s="69" t="s">
        <v>235</v>
      </c>
      <c r="Q19" s="44"/>
      <c r="R19" s="45" t="s">
        <v>68</v>
      </c>
    </row>
    <row r="20" spans="1:18" s="46" customFormat="1" ht="24.95" customHeight="1" x14ac:dyDescent="0.25">
      <c r="A20" s="47">
        <v>9</v>
      </c>
      <c r="B20" s="35" t="s">
        <v>147</v>
      </c>
      <c r="C20" s="36">
        <v>262.45999999999998</v>
      </c>
      <c r="D20" s="37">
        <v>229.43</v>
      </c>
      <c r="E20" s="37">
        <v>232.18</v>
      </c>
      <c r="F20" s="37">
        <v>0</v>
      </c>
      <c r="G20" s="36">
        <v>95.44</v>
      </c>
      <c r="H20" s="38">
        <f t="shared" si="1"/>
        <v>1.0119862267358235</v>
      </c>
      <c r="I20" s="36">
        <v>262.45999999999998</v>
      </c>
      <c r="J20" s="37">
        <v>2.75</v>
      </c>
      <c r="K20" s="39">
        <f t="shared" si="4"/>
        <v>1.1986226735823563E-2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69" t="s">
        <v>235</v>
      </c>
      <c r="Q20" s="44"/>
      <c r="R20" s="45" t="s">
        <v>58</v>
      </c>
    </row>
    <row r="21" spans="1:18" s="46" customFormat="1" ht="24.95" customHeight="1" thickBot="1" x14ac:dyDescent="0.3">
      <c r="A21" s="48">
        <v>10</v>
      </c>
      <c r="B21" s="49" t="s">
        <v>148</v>
      </c>
      <c r="C21" s="50">
        <v>262.31099999999998</v>
      </c>
      <c r="D21" s="51">
        <v>50.36</v>
      </c>
      <c r="E21" s="51">
        <v>52.6</v>
      </c>
      <c r="F21" s="51">
        <v>0</v>
      </c>
      <c r="G21" s="50">
        <v>124.91</v>
      </c>
      <c r="H21" s="52">
        <f t="shared" si="1"/>
        <v>1.0444797458300239</v>
      </c>
      <c r="I21" s="50">
        <v>279.79840000000024</v>
      </c>
      <c r="J21" s="51">
        <v>2.1</v>
      </c>
      <c r="K21" s="53">
        <f t="shared" si="4"/>
        <v>4.1699761715647342E-2</v>
      </c>
      <c r="L21" s="54">
        <f t="shared" si="2"/>
        <v>0.1400000000000019</v>
      </c>
      <c r="M21" s="55">
        <f t="shared" si="3"/>
        <v>2.779984114376527E-3</v>
      </c>
      <c r="N21" s="56">
        <f t="shared" si="0"/>
        <v>17.487400000000235</v>
      </c>
      <c r="O21" s="57" t="s">
        <v>57</v>
      </c>
      <c r="P21" s="57" t="s">
        <v>235</v>
      </c>
      <c r="Q21" s="57"/>
      <c r="R21" s="58" t="s">
        <v>149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82</v>
      </c>
      <c r="C28" s="36">
        <v>5059.7975999999871</v>
      </c>
      <c r="D28" s="37">
        <v>493.35</v>
      </c>
      <c r="E28" s="37">
        <v>490.09</v>
      </c>
      <c r="F28" s="37">
        <v>39.479999999999997</v>
      </c>
      <c r="G28" s="36">
        <v>147.43</v>
      </c>
      <c r="H28" s="68">
        <f t="shared" ref="H28:H37" si="5">(E28+F28)/D28</f>
        <v>1.0734164386338299</v>
      </c>
      <c r="I28" s="36">
        <v>5339.9145999999873</v>
      </c>
      <c r="J28" s="37">
        <v>1.9</v>
      </c>
      <c r="K28" s="39">
        <f t="shared" ref="K28:K37" si="6">J28/D28</f>
        <v>3.85122124252559E-3</v>
      </c>
      <c r="L28" s="42">
        <f t="shared" ref="L28:L37" si="7">J28*G28</f>
        <v>280.11700000000002</v>
      </c>
      <c r="M28" s="40">
        <f t="shared" ref="M28:M37" si="8">((E28+F28)-D28)-J28</f>
        <v>34.319999999999915</v>
      </c>
      <c r="N28" s="41">
        <f t="shared" ref="N28:N37" si="9">M28/D28</f>
        <v>6.9565217391304168E-2</v>
      </c>
      <c r="O28" s="43" t="s">
        <v>83</v>
      </c>
      <c r="P28" s="69" t="s">
        <v>84</v>
      </c>
      <c r="Q28" s="44" t="s">
        <v>85</v>
      </c>
      <c r="R28" s="45" t="s">
        <v>58</v>
      </c>
    </row>
    <row r="29" spans="1:18" s="67" customFormat="1" ht="24.95" customHeight="1" x14ac:dyDescent="0.25">
      <c r="A29" s="47">
        <v>2</v>
      </c>
      <c r="B29" s="35" t="s">
        <v>94</v>
      </c>
      <c r="C29" s="36">
        <v>2744.1834000000003</v>
      </c>
      <c r="D29" s="37">
        <v>153.30000000000001</v>
      </c>
      <c r="E29" s="37">
        <v>153.53</v>
      </c>
      <c r="F29" s="37">
        <v>4.3</v>
      </c>
      <c r="G29" s="36">
        <v>605.78</v>
      </c>
      <c r="H29" s="68">
        <f t="shared" si="5"/>
        <v>1.029549902152642</v>
      </c>
      <c r="I29" s="36">
        <v>2744.1834000000003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4.5300000000000011</v>
      </c>
      <c r="N29" s="41">
        <f t="shared" si="9"/>
        <v>2.9549902152641885E-2</v>
      </c>
      <c r="O29" s="43" t="s">
        <v>83</v>
      </c>
      <c r="P29" s="44" t="s">
        <v>60</v>
      </c>
      <c r="Q29" s="44" t="s">
        <v>87</v>
      </c>
      <c r="R29" s="45" t="s">
        <v>95</v>
      </c>
    </row>
    <row r="30" spans="1:18" s="67" customFormat="1" ht="24.95" customHeight="1" x14ac:dyDescent="0.25">
      <c r="A30" s="47">
        <v>3</v>
      </c>
      <c r="B30" s="35" t="s">
        <v>132</v>
      </c>
      <c r="C30" s="36">
        <v>1685.7199999999998</v>
      </c>
      <c r="D30" s="37">
        <v>24.66</v>
      </c>
      <c r="E30" s="37">
        <v>27.34</v>
      </c>
      <c r="F30" s="37">
        <v>0</v>
      </c>
      <c r="G30" s="36">
        <v>629</v>
      </c>
      <c r="H30" s="68">
        <f t="shared" si="5"/>
        <v>1.1086780210867802</v>
      </c>
      <c r="I30" s="36">
        <v>1685.7199999999998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2.6799999999999997</v>
      </c>
      <c r="N30" s="41">
        <f t="shared" si="9"/>
        <v>0.10867802108678019</v>
      </c>
      <c r="O30" s="43" t="s">
        <v>83</v>
      </c>
      <c r="P30" s="69" t="s">
        <v>235</v>
      </c>
      <c r="Q30" s="44"/>
      <c r="R30" s="45" t="s">
        <v>70</v>
      </c>
    </row>
    <row r="31" spans="1:18" s="67" customFormat="1" ht="24.95" customHeight="1" x14ac:dyDescent="0.25">
      <c r="A31" s="34">
        <v>4</v>
      </c>
      <c r="B31" s="35" t="s">
        <v>127</v>
      </c>
      <c r="C31" s="36">
        <v>1608.6212999999982</v>
      </c>
      <c r="D31" s="37">
        <v>99.97</v>
      </c>
      <c r="E31" s="37">
        <v>103.74</v>
      </c>
      <c r="F31" s="37">
        <v>0</v>
      </c>
      <c r="G31" s="36">
        <v>426.69</v>
      </c>
      <c r="H31" s="68">
        <f t="shared" si="5"/>
        <v>1.0377113133940181</v>
      </c>
      <c r="I31" s="36">
        <v>1608.6212999999982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3.769999999999996</v>
      </c>
      <c r="N31" s="41">
        <f t="shared" si="9"/>
        <v>3.7711313394018169E-2</v>
      </c>
      <c r="O31" s="43" t="s">
        <v>83</v>
      </c>
      <c r="P31" s="69" t="s">
        <v>235</v>
      </c>
      <c r="Q31" s="44"/>
      <c r="R31" s="45" t="s">
        <v>128</v>
      </c>
    </row>
    <row r="32" spans="1:18" s="67" customFormat="1" ht="24.95" customHeight="1" x14ac:dyDescent="0.25">
      <c r="A32" s="47">
        <v>5</v>
      </c>
      <c r="B32" s="35" t="s">
        <v>90</v>
      </c>
      <c r="C32" s="36">
        <v>1585.9953999999964</v>
      </c>
      <c r="D32" s="37">
        <v>44.78</v>
      </c>
      <c r="E32" s="37">
        <v>44.08</v>
      </c>
      <c r="F32" s="37">
        <v>3.12</v>
      </c>
      <c r="G32" s="36">
        <v>655.37</v>
      </c>
      <c r="H32" s="68">
        <f t="shared" si="5"/>
        <v>1.0540419830281373</v>
      </c>
      <c r="I32" s="36">
        <v>1585.9953999999964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2.4199999999999946</v>
      </c>
      <c r="N32" s="41">
        <f t="shared" si="9"/>
        <v>5.4041983028137439E-2</v>
      </c>
      <c r="O32" s="43" t="s">
        <v>83</v>
      </c>
      <c r="P32" s="69" t="s">
        <v>235</v>
      </c>
      <c r="Q32" s="44"/>
      <c r="R32" s="45" t="s">
        <v>77</v>
      </c>
    </row>
    <row r="33" spans="1:18" s="67" customFormat="1" ht="24.95" customHeight="1" x14ac:dyDescent="0.25">
      <c r="A33" s="34">
        <v>6</v>
      </c>
      <c r="B33" s="35" t="s">
        <v>110</v>
      </c>
      <c r="C33" s="36">
        <v>1573.6335999999981</v>
      </c>
      <c r="D33" s="37">
        <v>80.12</v>
      </c>
      <c r="E33" s="37">
        <v>80.16</v>
      </c>
      <c r="F33" s="37">
        <v>4.2</v>
      </c>
      <c r="G33" s="36">
        <v>371.14</v>
      </c>
      <c r="H33" s="68">
        <f t="shared" si="5"/>
        <v>1.0529206190713929</v>
      </c>
      <c r="I33" s="36">
        <v>1573.6335999999981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4.2399999999999949</v>
      </c>
      <c r="N33" s="41">
        <f t="shared" si="9"/>
        <v>5.2920619071392845E-2</v>
      </c>
      <c r="O33" s="43" t="s">
        <v>83</v>
      </c>
      <c r="P33" s="69" t="s">
        <v>235</v>
      </c>
      <c r="Q33" s="44"/>
      <c r="R33" s="45" t="s">
        <v>58</v>
      </c>
    </row>
    <row r="34" spans="1:18" s="67" customFormat="1" ht="24.95" customHeight="1" x14ac:dyDescent="0.25">
      <c r="A34" s="47">
        <v>7</v>
      </c>
      <c r="B34" s="35" t="s">
        <v>131</v>
      </c>
      <c r="C34" s="36">
        <v>1430.8000000000006</v>
      </c>
      <c r="D34" s="37">
        <v>22.04</v>
      </c>
      <c r="E34" s="37">
        <v>24</v>
      </c>
      <c r="F34" s="37">
        <v>0</v>
      </c>
      <c r="G34" s="36">
        <v>730</v>
      </c>
      <c r="H34" s="68">
        <f t="shared" si="5"/>
        <v>1.0889292196007261</v>
      </c>
      <c r="I34" s="36">
        <v>1430.8000000000006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1.9600000000000009</v>
      </c>
      <c r="N34" s="41">
        <f t="shared" si="9"/>
        <v>8.8929219600726001E-2</v>
      </c>
      <c r="O34" s="43" t="s">
        <v>83</v>
      </c>
      <c r="P34" s="69" t="s">
        <v>235</v>
      </c>
      <c r="Q34" s="44"/>
      <c r="R34" s="45" t="s">
        <v>123</v>
      </c>
    </row>
    <row r="35" spans="1:18" s="67" customFormat="1" ht="24.95" customHeight="1" x14ac:dyDescent="0.25">
      <c r="A35" s="34">
        <v>8</v>
      </c>
      <c r="B35" s="35" t="s">
        <v>137</v>
      </c>
      <c r="C35" s="36">
        <v>1264.2095999999988</v>
      </c>
      <c r="D35" s="37">
        <v>49.06</v>
      </c>
      <c r="E35" s="37">
        <v>49.17</v>
      </c>
      <c r="F35" s="37">
        <v>1.9</v>
      </c>
      <c r="G35" s="36">
        <v>628.96</v>
      </c>
      <c r="H35" s="68">
        <f t="shared" si="5"/>
        <v>1.04097024052181</v>
      </c>
      <c r="I35" s="36">
        <v>1264.2095999999988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2.009999999999998</v>
      </c>
      <c r="N35" s="41">
        <f t="shared" si="9"/>
        <v>4.0970240521809989E-2</v>
      </c>
      <c r="O35" s="43" t="s">
        <v>83</v>
      </c>
      <c r="P35" s="69" t="s">
        <v>235</v>
      </c>
      <c r="Q35" s="44"/>
      <c r="R35" s="45" t="s">
        <v>138</v>
      </c>
    </row>
    <row r="36" spans="1:18" s="67" customFormat="1" ht="24.95" customHeight="1" x14ac:dyDescent="0.25">
      <c r="A36" s="47">
        <v>9</v>
      </c>
      <c r="B36" s="35" t="s">
        <v>109</v>
      </c>
      <c r="C36" s="36">
        <v>1100.4799999999993</v>
      </c>
      <c r="D36" s="37">
        <v>228.27</v>
      </c>
      <c r="E36" s="37">
        <v>228.87</v>
      </c>
      <c r="F36" s="37">
        <v>7</v>
      </c>
      <c r="G36" s="36">
        <v>144.80000000000001</v>
      </c>
      <c r="H36" s="68">
        <f t="shared" si="5"/>
        <v>1.0332939063389845</v>
      </c>
      <c r="I36" s="36">
        <v>1100.4799999999993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7.5999999999999943</v>
      </c>
      <c r="N36" s="41">
        <f t="shared" si="9"/>
        <v>3.3293906338984512E-2</v>
      </c>
      <c r="O36" s="43" t="s">
        <v>97</v>
      </c>
      <c r="P36" s="69" t="s">
        <v>235</v>
      </c>
      <c r="Q36" s="44"/>
      <c r="R36" s="45" t="s">
        <v>58</v>
      </c>
    </row>
    <row r="37" spans="1:18" s="67" customFormat="1" ht="24.95" customHeight="1" thickBot="1" x14ac:dyDescent="0.3">
      <c r="A37" s="48">
        <v>10</v>
      </c>
      <c r="B37" s="49" t="s">
        <v>134</v>
      </c>
      <c r="C37" s="50">
        <v>958.73659999999643</v>
      </c>
      <c r="D37" s="51">
        <v>69.41</v>
      </c>
      <c r="E37" s="51">
        <v>69.569999999999993</v>
      </c>
      <c r="F37" s="51">
        <v>2.46</v>
      </c>
      <c r="G37" s="50">
        <v>365.93</v>
      </c>
      <c r="H37" s="70">
        <f t="shared" si="5"/>
        <v>1.0377467223742975</v>
      </c>
      <c r="I37" s="50">
        <v>958.73659999999643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2.6199999999999903</v>
      </c>
      <c r="N37" s="55">
        <f t="shared" si="9"/>
        <v>3.7746722374297513E-2</v>
      </c>
      <c r="O37" s="57" t="s">
        <v>97</v>
      </c>
      <c r="P37" s="71" t="s">
        <v>235</v>
      </c>
      <c r="Q37" s="72"/>
      <c r="R37" s="58" t="s">
        <v>72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82</v>
      </c>
      <c r="C44" s="36">
        <v>280.11700000000002</v>
      </c>
      <c r="D44" s="78">
        <f t="shared" ref="D44:D53" si="10">C44/$L$5</f>
        <v>0.12824718439887334</v>
      </c>
      <c r="E44" s="79"/>
    </row>
    <row r="45" spans="1:18" s="80" customFormat="1" ht="24.95" customHeight="1" x14ac:dyDescent="0.25">
      <c r="A45" s="81">
        <v>2</v>
      </c>
      <c r="B45" s="35" t="s">
        <v>103</v>
      </c>
      <c r="C45" s="36">
        <v>270.82140000000004</v>
      </c>
      <c r="D45" s="78">
        <f t="shared" si="10"/>
        <v>0.12399133942231653</v>
      </c>
      <c r="E45" s="79"/>
    </row>
    <row r="46" spans="1:18" s="80" customFormat="1" ht="24.95" customHeight="1" x14ac:dyDescent="0.25">
      <c r="A46" s="81">
        <v>3</v>
      </c>
      <c r="B46" s="35" t="s">
        <v>147</v>
      </c>
      <c r="C46" s="36">
        <v>262.45999999999998</v>
      </c>
      <c r="D46" s="78">
        <f t="shared" si="10"/>
        <v>0.12016320329479573</v>
      </c>
      <c r="E46" s="79"/>
    </row>
    <row r="47" spans="1:18" s="80" customFormat="1" ht="24.95" customHeight="1" x14ac:dyDescent="0.25">
      <c r="A47" s="77">
        <v>4</v>
      </c>
      <c r="B47" s="35" t="s">
        <v>126</v>
      </c>
      <c r="C47" s="36">
        <v>217.47</v>
      </c>
      <c r="D47" s="78">
        <f t="shared" si="10"/>
        <v>9.9565235923642567E-2</v>
      </c>
      <c r="E47" s="79"/>
    </row>
    <row r="48" spans="1:18" s="80" customFormat="1" ht="24.95" customHeight="1" x14ac:dyDescent="0.25">
      <c r="A48" s="81">
        <v>5</v>
      </c>
      <c r="B48" s="35" t="s">
        <v>73</v>
      </c>
      <c r="C48" s="36">
        <v>192.60140000000001</v>
      </c>
      <c r="D48" s="78">
        <f t="shared" si="10"/>
        <v>8.8179536626770832E-2</v>
      </c>
      <c r="E48" s="79"/>
    </row>
    <row r="49" spans="1:5" s="80" customFormat="1" ht="24.95" customHeight="1" x14ac:dyDescent="0.25">
      <c r="A49" s="77">
        <v>6</v>
      </c>
      <c r="B49" s="35" t="s">
        <v>104</v>
      </c>
      <c r="C49" s="36">
        <v>189.54</v>
      </c>
      <c r="D49" s="78">
        <f t="shared" si="10"/>
        <v>8.677792255008604E-2</v>
      </c>
      <c r="E49" s="79"/>
    </row>
    <row r="50" spans="1:5" s="80" customFormat="1" ht="24.95" customHeight="1" x14ac:dyDescent="0.25">
      <c r="A50" s="81">
        <v>7</v>
      </c>
      <c r="B50" s="35" t="s">
        <v>105</v>
      </c>
      <c r="C50" s="36">
        <v>129.85000000000002</v>
      </c>
      <c r="D50" s="78">
        <f t="shared" si="10"/>
        <v>5.9449790245482088E-2</v>
      </c>
      <c r="E50" s="79"/>
    </row>
    <row r="51" spans="1:5" s="80" customFormat="1" ht="24.95" customHeight="1" x14ac:dyDescent="0.25">
      <c r="A51" s="77">
        <v>8</v>
      </c>
      <c r="B51" s="35" t="s">
        <v>56</v>
      </c>
      <c r="C51" s="36">
        <v>127.84</v>
      </c>
      <c r="D51" s="78">
        <f t="shared" si="10"/>
        <v>5.8529543203561255E-2</v>
      </c>
      <c r="E51" s="79"/>
    </row>
    <row r="52" spans="1:5" s="80" customFormat="1" ht="24.95" customHeight="1" x14ac:dyDescent="0.25">
      <c r="A52" s="81">
        <v>9</v>
      </c>
      <c r="B52" s="35" t="s">
        <v>145</v>
      </c>
      <c r="C52" s="36">
        <v>96.030799999999999</v>
      </c>
      <c r="D52" s="78">
        <f t="shared" si="10"/>
        <v>4.3966198822532464E-2</v>
      </c>
      <c r="E52" s="79"/>
    </row>
    <row r="53" spans="1:5" s="80" customFormat="1" ht="24.95" customHeight="1" thickBot="1" x14ac:dyDescent="0.3">
      <c r="A53" s="82">
        <v>10</v>
      </c>
      <c r="B53" s="49" t="s">
        <v>108</v>
      </c>
      <c r="C53" s="50">
        <v>95.587500000000006</v>
      </c>
      <c r="D53" s="83">
        <f t="shared" si="10"/>
        <v>4.3763240855525749E-2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37" priority="34" operator="containsText" text="中華">
      <formula>NOT(ISERROR(SEARCH("中華",A12)))</formula>
    </cfRule>
    <cfRule type="containsText" dxfId="236" priority="33" operator="containsText" text="湯凍">
      <formula>NOT(ISERROR(SEARCH("湯凍",A12)))</formula>
    </cfRule>
    <cfRule type="containsText" dxfId="235" priority="32" operator="containsText" text=")川燙小青花菜">
      <formula>NOT(ISERROR(SEARCH(")川燙小青花菜",A12)))</formula>
    </cfRule>
    <cfRule type="containsText" dxfId="234" priority="31" operator="containsText" text="青蔥">
      <formula>NOT(ISERROR(SEARCH("青蔥",A12)))</formula>
    </cfRule>
    <cfRule type="containsText" dxfId="233" priority="30" operator="containsText" text="白醬">
      <formula>NOT(ISERROR(SEARCH("白醬",A12)))</formula>
    </cfRule>
    <cfRule type="containsText" dxfId="232" priority="29" operator="containsText" text="024">
      <formula>NOT(ISERROR(SEARCH("024",A12)))</formula>
    </cfRule>
    <cfRule type="containsText" dxfId="231" priority="28" operator="containsText" text="煮白細麵生(方#12)">
      <formula>NOT(ISERROR(SEARCH("煮白細麵生(方#12)",A12)))</formula>
    </cfRule>
    <cfRule type="containsText" dxfId="230" priority="27" operator="containsText" text="綠豆芽">
      <formula>NOT(ISERROR(SEARCH("綠豆芽",A12)))</formula>
    </cfRule>
  </conditionalFormatting>
  <conditionalFormatting sqref="A28:A37">
    <cfRule type="containsText" dxfId="229" priority="5" operator="containsText" text="綠豆芽">
      <formula>NOT(ISERROR(SEARCH("綠豆芽",A28)))</formula>
    </cfRule>
    <cfRule type="containsText" dxfId="228" priority="6" operator="containsText" text="煮白細麵生(方#12)">
      <formula>NOT(ISERROR(SEARCH("煮白細麵生(方#12)",A28)))</formula>
    </cfRule>
    <cfRule type="containsText" dxfId="227" priority="7" operator="containsText" text="024">
      <formula>NOT(ISERROR(SEARCH("024",A28)))</formula>
    </cfRule>
    <cfRule type="containsText" dxfId="226" priority="8" operator="containsText" text="白醬">
      <formula>NOT(ISERROR(SEARCH("白醬",A28)))</formula>
    </cfRule>
    <cfRule type="containsText" dxfId="225" priority="9" operator="containsText" text="青蔥">
      <formula>NOT(ISERROR(SEARCH("青蔥",A28)))</formula>
    </cfRule>
    <cfRule type="containsText" dxfId="224" priority="10" operator="containsText" text=")川燙小青花菜">
      <formula>NOT(ISERROR(SEARCH(")川燙小青花菜",A28)))</formula>
    </cfRule>
    <cfRule type="containsText" dxfId="223" priority="11" operator="containsText" text="湯凍">
      <formula>NOT(ISERROR(SEARCH("湯凍",A28)))</formula>
    </cfRule>
    <cfRule type="containsText" dxfId="222" priority="12" operator="containsText" text="中華">
      <formula>NOT(ISERROR(SEARCH("中華",A28)))</formula>
    </cfRule>
  </conditionalFormatting>
  <conditionalFormatting sqref="A44:A53">
    <cfRule type="containsText" dxfId="221" priority="17" operator="containsText" text="綠豆芽">
      <formula>NOT(ISERROR(SEARCH("綠豆芽",A44)))</formula>
    </cfRule>
    <cfRule type="containsText" dxfId="220" priority="18" operator="containsText" text="煮白細麵生(方#12)">
      <formula>NOT(ISERROR(SEARCH("煮白細麵生(方#12)",A44)))</formula>
    </cfRule>
    <cfRule type="containsText" dxfId="219" priority="19" operator="containsText" text="024">
      <formula>NOT(ISERROR(SEARCH("024",A44)))</formula>
    </cfRule>
    <cfRule type="containsText" dxfId="218" priority="20" operator="containsText" text="白醬">
      <formula>NOT(ISERROR(SEARCH("白醬",A44)))</formula>
    </cfRule>
    <cfRule type="containsText" dxfId="217" priority="21" operator="containsText" text="青蔥">
      <formula>NOT(ISERROR(SEARCH("青蔥",A44)))</formula>
    </cfRule>
    <cfRule type="containsText" dxfId="216" priority="22" operator="containsText" text=")川燙小青花菜">
      <formula>NOT(ISERROR(SEARCH(")川燙小青花菜",A44)))</formula>
    </cfRule>
    <cfRule type="containsText" dxfId="215" priority="23" operator="containsText" text="湯凍">
      <formula>NOT(ISERROR(SEARCH("湯凍",A44)))</formula>
    </cfRule>
    <cfRule type="containsText" dxfId="214" priority="24" operator="containsText" text="中華">
      <formula>NOT(ISERROR(SEARCH("中華",A44)))</formula>
    </cfRule>
  </conditionalFormatting>
  <conditionalFormatting sqref="D44:D53">
    <cfRule type="cellIs" dxfId="213" priority="16" operator="greaterThan">
      <formula>0.146</formula>
    </cfRule>
  </conditionalFormatting>
  <conditionalFormatting sqref="E5">
    <cfRule type="cellIs" dxfId="212" priority="25" operator="greaterThan">
      <formula>0.072</formula>
    </cfRule>
    <cfRule type="cellIs" dxfId="211" priority="26" operator="greaterThan">
      <formula>7.2</formula>
    </cfRule>
    <cfRule type="cellIs" dxfId="210" priority="14" operator="greaterThan">
      <formula>0.0025</formula>
    </cfRule>
  </conditionalFormatting>
  <conditionalFormatting sqref="G5">
    <cfRule type="cellIs" dxfId="209" priority="3" operator="greaterThan">
      <formula>7.2</formula>
    </cfRule>
    <cfRule type="cellIs" dxfId="208" priority="2" operator="greaterThan">
      <formula>0.072</formula>
    </cfRule>
    <cfRule type="cellIs" dxfId="207" priority="1" operator="greaterThan">
      <formula>0.0025</formula>
    </cfRule>
  </conditionalFormatting>
  <conditionalFormatting sqref="H12:H22">
    <cfRule type="cellIs" dxfId="206" priority="15" operator="greaterThan">
      <formula>1.1</formula>
    </cfRule>
  </conditionalFormatting>
  <conditionalFormatting sqref="H28:H37">
    <cfRule type="cellIs" dxfId="205" priority="4" operator="greaterThan">
      <formula>1.1</formula>
    </cfRule>
  </conditionalFormatting>
  <conditionalFormatting sqref="I5">
    <cfRule type="cellIs" dxfId="20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C07B-F3BC-4454-A065-CCE0AD4585D3}">
  <sheetPr>
    <tabColor rgb="FFFF0000"/>
    <pageSetUpPr fitToPage="1"/>
  </sheetPr>
  <dimension ref="A1:R56"/>
  <sheetViews>
    <sheetView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45905</v>
      </c>
      <c r="B3" s="149"/>
      <c r="C3" s="150">
        <v>5813361.7999999998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14011.297800000006</v>
      </c>
      <c r="E5" s="24">
        <f>D5/C3</f>
        <v>2.4101885074484797E-3</v>
      </c>
      <c r="F5" s="23">
        <v>41910.745399999978</v>
      </c>
      <c r="G5" s="25">
        <f>F5/C3</f>
        <v>7.2093819104807793E-3</v>
      </c>
      <c r="H5" s="26">
        <f>SUM(C12:C21)</f>
        <v>3162.0397999999996</v>
      </c>
      <c r="I5" s="27">
        <f>H5/D5</f>
        <v>0.2256778668996671</v>
      </c>
      <c r="J5" s="26">
        <f>SUM(C28:C37)</f>
        <v>16692.995599999987</v>
      </c>
      <c r="K5" s="28">
        <f>J5/F5</f>
        <v>0.39829870456085936</v>
      </c>
      <c r="L5" s="29">
        <v>2269.5210999999999</v>
      </c>
      <c r="M5" s="30">
        <f>L5/D5</f>
        <v>0.16197793611952199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15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16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16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17"/>
    </row>
    <row r="12" spans="1:18" s="46" customFormat="1" ht="24.95" customHeight="1" x14ac:dyDescent="0.25">
      <c r="A12" s="34">
        <v>1</v>
      </c>
      <c r="B12" s="35" t="s">
        <v>112</v>
      </c>
      <c r="C12" s="36">
        <v>338.52</v>
      </c>
      <c r="D12" s="37">
        <v>2400</v>
      </c>
      <c r="E12" s="37">
        <v>2462</v>
      </c>
      <c r="F12" s="37">
        <v>0</v>
      </c>
      <c r="G12" s="36">
        <v>5.46</v>
      </c>
      <c r="H12" s="38">
        <f>(E12+F12)/D12</f>
        <v>1.0258333333333334</v>
      </c>
      <c r="I12" s="36">
        <v>338.52</v>
      </c>
      <c r="J12" s="37">
        <v>62</v>
      </c>
      <c r="K12" s="39">
        <f>J12/D12</f>
        <v>2.5833333333333333E-2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3" t="s">
        <v>64</v>
      </c>
      <c r="Q12" s="44" t="s">
        <v>113</v>
      </c>
      <c r="R12" s="45" t="s">
        <v>98</v>
      </c>
    </row>
    <row r="13" spans="1:18" s="46" customFormat="1" ht="24.95" customHeight="1" x14ac:dyDescent="0.25">
      <c r="A13" s="47">
        <v>2</v>
      </c>
      <c r="B13" s="35" t="s">
        <v>63</v>
      </c>
      <c r="C13" s="36">
        <v>333.12</v>
      </c>
      <c r="D13" s="37">
        <v>2997</v>
      </c>
      <c r="E13" s="37">
        <v>2967</v>
      </c>
      <c r="F13" s="37">
        <v>62</v>
      </c>
      <c r="G13" s="36">
        <v>10.41</v>
      </c>
      <c r="H13" s="38">
        <f t="shared" ref="H13:H21" si="1">(E13+F13)/D13</f>
        <v>1.0106773440106773</v>
      </c>
      <c r="I13" s="36">
        <v>333.12</v>
      </c>
      <c r="J13" s="37">
        <v>32</v>
      </c>
      <c r="K13" s="39">
        <f>J13/D13</f>
        <v>1.0677344010677344E-2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3" t="s">
        <v>64</v>
      </c>
      <c r="Q13" s="44"/>
      <c r="R13" s="45" t="s">
        <v>65</v>
      </c>
    </row>
    <row r="14" spans="1:18" s="46" customFormat="1" ht="24.95" customHeight="1" x14ac:dyDescent="0.25">
      <c r="A14" s="47">
        <v>3</v>
      </c>
      <c r="B14" s="35" t="s">
        <v>59</v>
      </c>
      <c r="C14" s="36">
        <v>324.45</v>
      </c>
      <c r="D14" s="37">
        <v>3435</v>
      </c>
      <c r="E14" s="37">
        <v>3456</v>
      </c>
      <c r="F14" s="37">
        <v>0</v>
      </c>
      <c r="G14" s="36">
        <v>15.45</v>
      </c>
      <c r="H14" s="38">
        <f>(E14+F14)/D14</f>
        <v>1.006113537117904</v>
      </c>
      <c r="I14" s="36">
        <v>324.45</v>
      </c>
      <c r="J14" s="37">
        <v>21</v>
      </c>
      <c r="K14" s="39">
        <f t="shared" ref="K14:K21" si="4">J14/D14</f>
        <v>6.1135371179039302E-3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60</v>
      </c>
      <c r="Q14" s="44" t="s">
        <v>61</v>
      </c>
      <c r="R14" s="45" t="s">
        <v>62</v>
      </c>
    </row>
    <row r="15" spans="1:18" s="46" customFormat="1" ht="24.95" customHeight="1" x14ac:dyDescent="0.25">
      <c r="A15" s="34">
        <v>4</v>
      </c>
      <c r="B15" s="35" t="s">
        <v>78</v>
      </c>
      <c r="C15" s="36">
        <v>321.3</v>
      </c>
      <c r="D15" s="37">
        <v>6774</v>
      </c>
      <c r="E15" s="37">
        <v>7152</v>
      </c>
      <c r="F15" s="37">
        <v>0</v>
      </c>
      <c r="G15" s="36">
        <v>0.85</v>
      </c>
      <c r="H15" s="38">
        <f>(E15+F15)/D15</f>
        <v>1.0558015943312666</v>
      </c>
      <c r="I15" s="36">
        <v>321.3</v>
      </c>
      <c r="J15" s="37">
        <v>378</v>
      </c>
      <c r="K15" s="39">
        <f t="shared" si="4"/>
        <v>5.5801594331266607E-2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3" t="s">
        <v>64</v>
      </c>
      <c r="Q15" s="44"/>
      <c r="R15" s="45" t="s">
        <v>79</v>
      </c>
    </row>
    <row r="16" spans="1:18" s="46" customFormat="1" ht="24.95" customHeight="1" x14ac:dyDescent="0.25">
      <c r="A16" s="47">
        <v>5</v>
      </c>
      <c r="B16" s="35" t="s">
        <v>120</v>
      </c>
      <c r="C16" s="36">
        <v>316.54820000000001</v>
      </c>
      <c r="D16" s="37">
        <v>15.81</v>
      </c>
      <c r="E16" s="37">
        <v>17.149999999999999</v>
      </c>
      <c r="F16" s="37">
        <v>0</v>
      </c>
      <c r="G16" s="36">
        <v>236.23</v>
      </c>
      <c r="H16" s="38">
        <f t="shared" si="1"/>
        <v>1.0847564832384566</v>
      </c>
      <c r="I16" s="36">
        <v>316.54819999999955</v>
      </c>
      <c r="J16" s="37">
        <v>1.34</v>
      </c>
      <c r="K16" s="39">
        <f t="shared" si="4"/>
        <v>8.4756483238456679E-2</v>
      </c>
      <c r="L16" s="40">
        <f t="shared" si="2"/>
        <v>-1.9984014443252818E-15</v>
      </c>
      <c r="M16" s="41">
        <f t="shared" si="3"/>
        <v>-1.2640110337288309E-16</v>
      </c>
      <c r="N16" s="42">
        <f t="shared" si="0"/>
        <v>-4.7208237319296125E-13</v>
      </c>
      <c r="O16" s="43" t="s">
        <v>57</v>
      </c>
      <c r="P16" s="44" t="s">
        <v>67</v>
      </c>
      <c r="Q16" s="44"/>
      <c r="R16" s="45" t="s">
        <v>121</v>
      </c>
    </row>
    <row r="17" spans="1:18" s="46" customFormat="1" ht="24.95" customHeight="1" x14ac:dyDescent="0.25">
      <c r="A17" s="34">
        <v>6</v>
      </c>
      <c r="B17" s="35" t="s">
        <v>82</v>
      </c>
      <c r="C17" s="36">
        <v>309.60300000000001</v>
      </c>
      <c r="D17" s="37">
        <v>468.68</v>
      </c>
      <c r="E17" s="37">
        <v>443.61</v>
      </c>
      <c r="F17" s="37">
        <v>52.52</v>
      </c>
      <c r="G17" s="36">
        <v>147.43</v>
      </c>
      <c r="H17" s="38">
        <f t="shared" si="1"/>
        <v>1.0585687462661091</v>
      </c>
      <c r="I17" s="36">
        <v>4046.9534999999987</v>
      </c>
      <c r="J17" s="37">
        <v>2.1</v>
      </c>
      <c r="K17" s="39">
        <f t="shared" si="4"/>
        <v>4.4806691132542459E-3</v>
      </c>
      <c r="L17" s="40">
        <f t="shared" si="2"/>
        <v>25.349999999999987</v>
      </c>
      <c r="M17" s="41">
        <f t="shared" si="3"/>
        <v>5.4088077152854797E-2</v>
      </c>
      <c r="N17" s="42">
        <f t="shared" si="0"/>
        <v>3737.3504999999982</v>
      </c>
      <c r="O17" s="43" t="s">
        <v>57</v>
      </c>
      <c r="P17" s="69" t="s">
        <v>84</v>
      </c>
      <c r="Q17" s="44" t="s">
        <v>85</v>
      </c>
      <c r="R17" s="45" t="s">
        <v>58</v>
      </c>
    </row>
    <row r="18" spans="1:18" s="46" customFormat="1" ht="24.95" customHeight="1" x14ac:dyDescent="0.25">
      <c r="A18" s="47">
        <v>7</v>
      </c>
      <c r="B18" s="35" t="s">
        <v>103</v>
      </c>
      <c r="C18" s="36">
        <v>308.09039999999999</v>
      </c>
      <c r="D18" s="37">
        <v>27.23</v>
      </c>
      <c r="E18" s="37">
        <v>28.6</v>
      </c>
      <c r="F18" s="37">
        <v>0</v>
      </c>
      <c r="G18" s="36">
        <v>248.46</v>
      </c>
      <c r="H18" s="38">
        <f t="shared" si="1"/>
        <v>1.0503121557106134</v>
      </c>
      <c r="I18" s="36">
        <v>340.39020000000028</v>
      </c>
      <c r="J18" s="37">
        <v>1.24</v>
      </c>
      <c r="K18" s="39">
        <f t="shared" si="4"/>
        <v>4.5538009548292326E-2</v>
      </c>
      <c r="L18" s="40">
        <f>((E18+F18)-D18)-J18</f>
        <v>0.130000000000001</v>
      </c>
      <c r="M18" s="41">
        <f t="shared" si="3"/>
        <v>4.7741461623210064E-3</v>
      </c>
      <c r="N18" s="42">
        <f t="shared" si="0"/>
        <v>32.299800000000253</v>
      </c>
      <c r="O18" s="43" t="s">
        <v>57</v>
      </c>
      <c r="P18" s="69" t="s">
        <v>235</v>
      </c>
      <c r="Q18" s="44"/>
      <c r="R18" s="45" t="s">
        <v>58</v>
      </c>
    </row>
    <row r="19" spans="1:18" s="46" customFormat="1" ht="24.95" customHeight="1" x14ac:dyDescent="0.25">
      <c r="A19" s="34">
        <v>8</v>
      </c>
      <c r="B19" s="35" t="s">
        <v>117</v>
      </c>
      <c r="C19" s="36">
        <v>307.20000000000005</v>
      </c>
      <c r="D19" s="37">
        <v>89.48</v>
      </c>
      <c r="E19" s="37">
        <v>92.78</v>
      </c>
      <c r="F19" s="37">
        <v>0</v>
      </c>
      <c r="G19" s="36">
        <v>96</v>
      </c>
      <c r="H19" s="38">
        <f t="shared" si="1"/>
        <v>1.0368797496647295</v>
      </c>
      <c r="I19" s="36">
        <v>316.79999999999973</v>
      </c>
      <c r="J19" s="37">
        <v>3.2</v>
      </c>
      <c r="K19" s="39">
        <f t="shared" si="4"/>
        <v>3.5762181493071081E-2</v>
      </c>
      <c r="L19" s="40">
        <f t="shared" si="2"/>
        <v>9.999999999999698E-2</v>
      </c>
      <c r="M19" s="41">
        <f t="shared" si="3"/>
        <v>1.1175681716584375E-3</v>
      </c>
      <c r="N19" s="42">
        <f t="shared" si="0"/>
        <v>9.5999999999997101</v>
      </c>
      <c r="O19" s="43" t="s">
        <v>57</v>
      </c>
      <c r="P19" s="69" t="s">
        <v>84</v>
      </c>
      <c r="Q19" s="44"/>
      <c r="R19" s="45" t="s">
        <v>119</v>
      </c>
    </row>
    <row r="20" spans="1:18" s="46" customFormat="1" ht="24.95" customHeight="1" x14ac:dyDescent="0.25">
      <c r="A20" s="47">
        <v>9</v>
      </c>
      <c r="B20" s="35" t="s">
        <v>135</v>
      </c>
      <c r="C20" s="36">
        <v>302.41199999999998</v>
      </c>
      <c r="D20" s="37">
        <v>24.72</v>
      </c>
      <c r="E20" s="37">
        <v>26.32</v>
      </c>
      <c r="F20" s="37">
        <v>0</v>
      </c>
      <c r="G20" s="36">
        <v>208.56</v>
      </c>
      <c r="H20" s="38">
        <f t="shared" si="1"/>
        <v>1.0647249190938513</v>
      </c>
      <c r="I20" s="36">
        <v>333.69600000000031</v>
      </c>
      <c r="J20" s="37">
        <v>1.45</v>
      </c>
      <c r="K20" s="39">
        <f t="shared" si="4"/>
        <v>5.8656957928802593E-2</v>
      </c>
      <c r="L20" s="40">
        <f t="shared" si="2"/>
        <v>0.15000000000000147</v>
      </c>
      <c r="M20" s="41">
        <f t="shared" si="3"/>
        <v>6.0679611650486034E-3</v>
      </c>
      <c r="N20" s="42">
        <f t="shared" si="0"/>
        <v>31.284000000000304</v>
      </c>
      <c r="O20" s="43" t="s">
        <v>57</v>
      </c>
      <c r="P20" s="69" t="s">
        <v>67</v>
      </c>
      <c r="Q20" s="44"/>
      <c r="R20" s="45" t="s">
        <v>136</v>
      </c>
    </row>
    <row r="21" spans="1:18" s="46" customFormat="1" ht="24.95" customHeight="1" thickBot="1" x14ac:dyDescent="0.3">
      <c r="A21" s="48">
        <v>10</v>
      </c>
      <c r="B21" s="49" t="s">
        <v>74</v>
      </c>
      <c r="C21" s="50">
        <v>300.7962</v>
      </c>
      <c r="D21" s="51">
        <v>60.74</v>
      </c>
      <c r="E21" s="51">
        <v>62.44</v>
      </c>
      <c r="F21" s="51">
        <v>0</v>
      </c>
      <c r="G21" s="50">
        <v>189.18</v>
      </c>
      <c r="H21" s="52">
        <f t="shared" si="1"/>
        <v>1.0279881461969047</v>
      </c>
      <c r="I21" s="50">
        <v>321.6059999999992</v>
      </c>
      <c r="J21" s="51">
        <v>1.59</v>
      </c>
      <c r="K21" s="53">
        <f t="shared" si="4"/>
        <v>2.6177148501811E-2</v>
      </c>
      <c r="L21" s="54">
        <f t="shared" si="2"/>
        <v>0.10999999999999566</v>
      </c>
      <c r="M21" s="55">
        <f t="shared" si="3"/>
        <v>1.8109976950937711E-3</v>
      </c>
      <c r="N21" s="56">
        <f t="shared" si="0"/>
        <v>20.809799999999179</v>
      </c>
      <c r="O21" s="57" t="s">
        <v>57</v>
      </c>
      <c r="P21" s="57" t="s">
        <v>235</v>
      </c>
      <c r="Q21" s="57"/>
      <c r="R21" s="58" t="s">
        <v>75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82</v>
      </c>
      <c r="C28" s="36">
        <v>3737.3504999999986</v>
      </c>
      <c r="D28" s="37">
        <v>468.68</v>
      </c>
      <c r="E28" s="37">
        <v>443.61</v>
      </c>
      <c r="F28" s="37">
        <v>52.52</v>
      </c>
      <c r="G28" s="36">
        <v>147.43</v>
      </c>
      <c r="H28" s="68">
        <f t="shared" ref="H28:H37" si="5">(E28+F28)/D28</f>
        <v>1.0585687462661091</v>
      </c>
      <c r="I28" s="36">
        <v>4046.9534999999987</v>
      </c>
      <c r="J28" s="37">
        <v>2.1</v>
      </c>
      <c r="K28" s="39">
        <f t="shared" ref="K28:K37" si="6">J28/D28</f>
        <v>4.4806691132542459E-3</v>
      </c>
      <c r="L28" s="42">
        <f t="shared" ref="L28:L37" si="7">J28*G28</f>
        <v>309.60300000000001</v>
      </c>
      <c r="M28" s="40">
        <f t="shared" ref="M28:M37" si="8">((E28+F28)-D28)-J28</f>
        <v>25.349999999999987</v>
      </c>
      <c r="N28" s="41">
        <f t="shared" ref="N28:N37" si="9">M28/D28</f>
        <v>5.4088077152854797E-2</v>
      </c>
      <c r="O28" s="43" t="s">
        <v>83</v>
      </c>
      <c r="P28" s="69" t="s">
        <v>84</v>
      </c>
      <c r="Q28" s="44" t="s">
        <v>85</v>
      </c>
      <c r="R28" s="45" t="s">
        <v>58</v>
      </c>
    </row>
    <row r="29" spans="1:18" s="67" customFormat="1" ht="24.95" customHeight="1" x14ac:dyDescent="0.25">
      <c r="A29" s="47">
        <v>2</v>
      </c>
      <c r="B29" s="35" t="s">
        <v>94</v>
      </c>
      <c r="C29" s="36">
        <v>2344.3685999999852</v>
      </c>
      <c r="D29" s="37">
        <v>145</v>
      </c>
      <c r="E29" s="37">
        <v>144.13999999999999</v>
      </c>
      <c r="F29" s="37">
        <v>4.7300000000000004</v>
      </c>
      <c r="G29" s="36">
        <v>605.78</v>
      </c>
      <c r="H29" s="68">
        <f t="shared" si="5"/>
        <v>1.0266896551724136</v>
      </c>
      <c r="I29" s="36">
        <v>2344.3685999999852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3.8699999999999761</v>
      </c>
      <c r="N29" s="41">
        <f t="shared" si="9"/>
        <v>2.6689655172413628E-2</v>
      </c>
      <c r="O29" s="43" t="s">
        <v>83</v>
      </c>
      <c r="P29" s="69" t="s">
        <v>235</v>
      </c>
      <c r="Q29" s="44"/>
      <c r="R29" s="45" t="s">
        <v>95</v>
      </c>
    </row>
    <row r="30" spans="1:18" s="67" customFormat="1" ht="24.95" customHeight="1" x14ac:dyDescent="0.25">
      <c r="A30" s="47">
        <v>3</v>
      </c>
      <c r="B30" s="35" t="s">
        <v>90</v>
      </c>
      <c r="C30" s="36">
        <v>1939.8952000000006</v>
      </c>
      <c r="D30" s="37">
        <v>42.55</v>
      </c>
      <c r="E30" s="37">
        <v>40.71</v>
      </c>
      <c r="F30" s="37">
        <v>4.8</v>
      </c>
      <c r="G30" s="36">
        <v>655.37</v>
      </c>
      <c r="H30" s="68">
        <f t="shared" si="5"/>
        <v>1.0695652173913044</v>
      </c>
      <c r="I30" s="36">
        <v>1939.8952000000006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2.9600000000000009</v>
      </c>
      <c r="N30" s="41">
        <f t="shared" si="9"/>
        <v>6.9565217391304376E-2</v>
      </c>
      <c r="O30" s="43" t="s">
        <v>83</v>
      </c>
      <c r="P30" s="69" t="s">
        <v>235</v>
      </c>
      <c r="Q30" s="44"/>
      <c r="R30" s="45" t="s">
        <v>77</v>
      </c>
    </row>
    <row r="31" spans="1:18" s="67" customFormat="1" ht="24.95" customHeight="1" x14ac:dyDescent="0.25">
      <c r="A31" s="34">
        <v>4</v>
      </c>
      <c r="B31" s="35" t="s">
        <v>142</v>
      </c>
      <c r="C31" s="36">
        <v>1492.8357000000001</v>
      </c>
      <c r="D31" s="37">
        <v>75.09</v>
      </c>
      <c r="E31" s="37">
        <v>74.14</v>
      </c>
      <c r="F31" s="37">
        <v>14.06</v>
      </c>
      <c r="G31" s="36">
        <v>113.87</v>
      </c>
      <c r="H31" s="68">
        <f t="shared" si="5"/>
        <v>1.1745904914103076</v>
      </c>
      <c r="I31" s="36">
        <v>1492.8357000000001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13.11</v>
      </c>
      <c r="N31" s="41">
        <f t="shared" si="9"/>
        <v>0.17459049141030761</v>
      </c>
      <c r="O31" s="43" t="s">
        <v>83</v>
      </c>
      <c r="P31" s="69" t="s">
        <v>235</v>
      </c>
      <c r="Q31" s="44"/>
      <c r="R31" s="45" t="s">
        <v>121</v>
      </c>
    </row>
    <row r="32" spans="1:18" s="67" customFormat="1" ht="24.95" customHeight="1" x14ac:dyDescent="0.25">
      <c r="A32" s="47">
        <v>5</v>
      </c>
      <c r="B32" s="35" t="s">
        <v>88</v>
      </c>
      <c r="C32" s="36">
        <v>1437.0607999999988</v>
      </c>
      <c r="D32" s="37">
        <v>19.98</v>
      </c>
      <c r="E32" s="37">
        <v>20.149999999999999</v>
      </c>
      <c r="F32" s="37">
        <v>2</v>
      </c>
      <c r="G32" s="36">
        <v>662.24</v>
      </c>
      <c r="H32" s="68">
        <f t="shared" si="5"/>
        <v>1.1086086086086084</v>
      </c>
      <c r="I32" s="36">
        <v>1437.0607999999988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2.1699999999999982</v>
      </c>
      <c r="N32" s="41">
        <f t="shared" si="9"/>
        <v>0.10860860860860852</v>
      </c>
      <c r="O32" s="43" t="s">
        <v>83</v>
      </c>
      <c r="P32" s="69" t="s">
        <v>235</v>
      </c>
      <c r="Q32" s="44"/>
      <c r="R32" s="45" t="s">
        <v>65</v>
      </c>
    </row>
    <row r="33" spans="1:18" s="67" customFormat="1" ht="24.95" customHeight="1" x14ac:dyDescent="0.25">
      <c r="A33" s="34">
        <v>6</v>
      </c>
      <c r="B33" s="35" t="s">
        <v>131</v>
      </c>
      <c r="C33" s="36">
        <v>1408.8999999999999</v>
      </c>
      <c r="D33" s="37">
        <v>22.6</v>
      </c>
      <c r="E33" s="37">
        <v>24.53</v>
      </c>
      <c r="F33" s="37">
        <v>0</v>
      </c>
      <c r="G33" s="36">
        <v>730</v>
      </c>
      <c r="H33" s="68">
        <f t="shared" si="5"/>
        <v>1.0853982300884955</v>
      </c>
      <c r="I33" s="36">
        <v>1408.8999999999999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1.9299999999999997</v>
      </c>
      <c r="N33" s="41">
        <f t="shared" si="9"/>
        <v>8.5398230088495564E-2</v>
      </c>
      <c r="O33" s="43" t="s">
        <v>83</v>
      </c>
      <c r="P33" s="69" t="s">
        <v>235</v>
      </c>
      <c r="Q33" s="44"/>
      <c r="R33" s="45" t="s">
        <v>123</v>
      </c>
    </row>
    <row r="34" spans="1:18" s="67" customFormat="1" ht="24.95" customHeight="1" x14ac:dyDescent="0.25">
      <c r="A34" s="47">
        <v>7</v>
      </c>
      <c r="B34" s="35" t="s">
        <v>143</v>
      </c>
      <c r="C34" s="36">
        <v>1190.6008000000065</v>
      </c>
      <c r="D34" s="37">
        <v>138.66999999999999</v>
      </c>
      <c r="E34" s="37">
        <v>134.59</v>
      </c>
      <c r="F34" s="37">
        <v>7</v>
      </c>
      <c r="G34" s="36">
        <v>407.74</v>
      </c>
      <c r="H34" s="68">
        <f t="shared" si="5"/>
        <v>1.0210571861253337</v>
      </c>
      <c r="I34" s="36">
        <v>1190.6008000000065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2.9200000000000159</v>
      </c>
      <c r="N34" s="41">
        <f t="shared" si="9"/>
        <v>2.1057186125333641E-2</v>
      </c>
      <c r="O34" s="43" t="s">
        <v>83</v>
      </c>
      <c r="P34" s="69" t="s">
        <v>235</v>
      </c>
      <c r="Q34" s="44"/>
      <c r="R34" s="45" t="s">
        <v>144</v>
      </c>
    </row>
    <row r="35" spans="1:18" s="67" customFormat="1" ht="24.95" customHeight="1" x14ac:dyDescent="0.25">
      <c r="A35" s="34">
        <v>8</v>
      </c>
      <c r="B35" s="35" t="s">
        <v>134</v>
      </c>
      <c r="C35" s="36">
        <v>1072.1748999999973</v>
      </c>
      <c r="D35" s="37">
        <v>64.17</v>
      </c>
      <c r="E35" s="37">
        <v>39.549999999999997</v>
      </c>
      <c r="F35" s="37">
        <v>27.55</v>
      </c>
      <c r="G35" s="36">
        <v>365.93</v>
      </c>
      <c r="H35" s="68">
        <f t="shared" si="5"/>
        <v>1.0456599657160666</v>
      </c>
      <c r="I35" s="36">
        <v>1072.1748999999973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2.9299999999999926</v>
      </c>
      <c r="N35" s="41">
        <f t="shared" si="9"/>
        <v>4.5659965716066585E-2</v>
      </c>
      <c r="O35" s="43" t="s">
        <v>83</v>
      </c>
      <c r="P35" s="69" t="s">
        <v>235</v>
      </c>
      <c r="Q35" s="44"/>
      <c r="R35" s="45" t="s">
        <v>72</v>
      </c>
    </row>
    <row r="36" spans="1:18" s="67" customFormat="1" ht="24.95" customHeight="1" x14ac:dyDescent="0.25">
      <c r="A36" s="47">
        <v>9</v>
      </c>
      <c r="B36" s="35" t="s">
        <v>132</v>
      </c>
      <c r="C36" s="36">
        <v>1037.8500000000013</v>
      </c>
      <c r="D36" s="37">
        <v>23.65</v>
      </c>
      <c r="E36" s="37">
        <v>25.3</v>
      </c>
      <c r="F36" s="37">
        <v>0</v>
      </c>
      <c r="G36" s="36">
        <v>629</v>
      </c>
      <c r="H36" s="68">
        <f t="shared" si="5"/>
        <v>1.0697674418604652</v>
      </c>
      <c r="I36" s="36">
        <v>1037.8500000000013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1.6500000000000021</v>
      </c>
      <c r="N36" s="41">
        <f t="shared" si="9"/>
        <v>6.9767441860465212E-2</v>
      </c>
      <c r="O36" s="43" t="s">
        <v>97</v>
      </c>
      <c r="P36" s="69" t="s">
        <v>235</v>
      </c>
      <c r="Q36" s="44"/>
      <c r="R36" s="45" t="s">
        <v>70</v>
      </c>
    </row>
    <row r="37" spans="1:18" s="67" customFormat="1" ht="24.95" customHeight="1" thickBot="1" x14ac:dyDescent="0.3">
      <c r="A37" s="48">
        <v>10</v>
      </c>
      <c r="B37" s="49" t="s">
        <v>124</v>
      </c>
      <c r="C37" s="50">
        <v>1031.9590999999964</v>
      </c>
      <c r="D37" s="51">
        <v>35.57</v>
      </c>
      <c r="E37" s="51">
        <v>35.799999999999997</v>
      </c>
      <c r="F37" s="51">
        <v>1.26</v>
      </c>
      <c r="G37" s="50">
        <v>692.59</v>
      </c>
      <c r="H37" s="70">
        <f t="shared" si="5"/>
        <v>1.041889232499297</v>
      </c>
      <c r="I37" s="50">
        <v>1031.9590999999964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1.4899999999999949</v>
      </c>
      <c r="N37" s="55">
        <f t="shared" si="9"/>
        <v>4.1889232499297019E-2</v>
      </c>
      <c r="O37" s="57" t="s">
        <v>97</v>
      </c>
      <c r="P37" s="71" t="s">
        <v>235</v>
      </c>
      <c r="Q37" s="72"/>
      <c r="R37" s="58" t="s">
        <v>121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82</v>
      </c>
      <c r="C44" s="36">
        <v>309.60300000000001</v>
      </c>
      <c r="D44" s="78">
        <f t="shared" ref="D44:D53" si="10">C44/$L$5</f>
        <v>0.13641776672620493</v>
      </c>
      <c r="E44" s="79"/>
    </row>
    <row r="45" spans="1:18" s="80" customFormat="1" ht="24.95" customHeight="1" x14ac:dyDescent="0.25">
      <c r="A45" s="81">
        <v>2</v>
      </c>
      <c r="B45" s="35" t="s">
        <v>103</v>
      </c>
      <c r="C45" s="36">
        <v>308.09039999999999</v>
      </c>
      <c r="D45" s="78">
        <f t="shared" si="10"/>
        <v>0.1357512825062521</v>
      </c>
      <c r="E45" s="79"/>
    </row>
    <row r="46" spans="1:18" s="80" customFormat="1" ht="24.95" customHeight="1" x14ac:dyDescent="0.25">
      <c r="A46" s="81">
        <v>3</v>
      </c>
      <c r="B46" s="35" t="s">
        <v>105</v>
      </c>
      <c r="C46" s="36">
        <v>247.45000000000002</v>
      </c>
      <c r="D46" s="78">
        <f t="shared" si="10"/>
        <v>0.10903181292299949</v>
      </c>
      <c r="E46" s="79"/>
    </row>
    <row r="47" spans="1:18" s="80" customFormat="1" ht="24.95" customHeight="1" x14ac:dyDescent="0.25">
      <c r="A47" s="77">
        <v>4</v>
      </c>
      <c r="B47" s="35" t="s">
        <v>104</v>
      </c>
      <c r="C47" s="36">
        <v>221.13</v>
      </c>
      <c r="D47" s="78">
        <f t="shared" si="10"/>
        <v>9.7434652623410292E-2</v>
      </c>
      <c r="E47" s="79"/>
    </row>
    <row r="48" spans="1:18" s="80" customFormat="1" ht="24.95" customHeight="1" x14ac:dyDescent="0.25">
      <c r="A48" s="81">
        <v>5</v>
      </c>
      <c r="B48" s="35" t="s">
        <v>126</v>
      </c>
      <c r="C48" s="36">
        <v>217.47</v>
      </c>
      <c r="D48" s="78">
        <f t="shared" si="10"/>
        <v>9.5821977596947661E-2</v>
      </c>
      <c r="E48" s="79"/>
    </row>
    <row r="49" spans="1:5" s="80" customFormat="1" ht="24.95" customHeight="1" x14ac:dyDescent="0.25">
      <c r="A49" s="77">
        <v>6</v>
      </c>
      <c r="B49" s="35" t="s">
        <v>73</v>
      </c>
      <c r="C49" s="36">
        <v>192.60140000000001</v>
      </c>
      <c r="D49" s="78">
        <f t="shared" si="10"/>
        <v>8.4864335475885205E-2</v>
      </c>
      <c r="E49" s="79"/>
    </row>
    <row r="50" spans="1:5" s="80" customFormat="1" ht="24.95" customHeight="1" x14ac:dyDescent="0.25">
      <c r="A50" s="81">
        <v>7</v>
      </c>
      <c r="B50" s="35" t="s">
        <v>56</v>
      </c>
      <c r="C50" s="36">
        <v>127.84</v>
      </c>
      <c r="D50" s="78">
        <f t="shared" si="10"/>
        <v>5.6329064312290379E-2</v>
      </c>
      <c r="E50" s="79"/>
    </row>
    <row r="51" spans="1:5" s="80" customFormat="1" ht="24.95" customHeight="1" x14ac:dyDescent="0.25">
      <c r="A51" s="77">
        <v>8</v>
      </c>
      <c r="B51" s="35" t="s">
        <v>109</v>
      </c>
      <c r="C51" s="36">
        <v>115.84000000000002</v>
      </c>
      <c r="D51" s="78">
        <f t="shared" si="10"/>
        <v>5.1041605209134221E-2</v>
      </c>
      <c r="E51" s="79"/>
    </row>
    <row r="52" spans="1:5" s="80" customFormat="1" ht="24.95" customHeight="1" x14ac:dyDescent="0.25">
      <c r="A52" s="81">
        <v>9</v>
      </c>
      <c r="B52" s="35" t="s">
        <v>145</v>
      </c>
      <c r="C52" s="36">
        <v>96.030799999999999</v>
      </c>
      <c r="D52" s="78">
        <f t="shared" si="10"/>
        <v>4.231324397028078E-2</v>
      </c>
      <c r="E52" s="79"/>
    </row>
    <row r="53" spans="1:5" s="80" customFormat="1" ht="24.95" customHeight="1" thickBot="1" x14ac:dyDescent="0.3">
      <c r="A53" s="82">
        <v>10</v>
      </c>
      <c r="B53" s="49" t="s">
        <v>125</v>
      </c>
      <c r="C53" s="50">
        <v>96</v>
      </c>
      <c r="D53" s="83">
        <f t="shared" si="10"/>
        <v>4.2299672825249345E-2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03" priority="34" operator="containsText" text="中華">
      <formula>NOT(ISERROR(SEARCH("中華",A12)))</formula>
    </cfRule>
    <cfRule type="containsText" dxfId="202" priority="33" operator="containsText" text="湯凍">
      <formula>NOT(ISERROR(SEARCH("湯凍",A12)))</formula>
    </cfRule>
    <cfRule type="containsText" dxfId="201" priority="32" operator="containsText" text=")川燙小青花菜">
      <formula>NOT(ISERROR(SEARCH(")川燙小青花菜",A12)))</formula>
    </cfRule>
    <cfRule type="containsText" dxfId="200" priority="31" operator="containsText" text="青蔥">
      <formula>NOT(ISERROR(SEARCH("青蔥",A12)))</formula>
    </cfRule>
    <cfRule type="containsText" dxfId="199" priority="30" operator="containsText" text="白醬">
      <formula>NOT(ISERROR(SEARCH("白醬",A12)))</formula>
    </cfRule>
    <cfRule type="containsText" dxfId="198" priority="29" operator="containsText" text="024">
      <formula>NOT(ISERROR(SEARCH("024",A12)))</formula>
    </cfRule>
    <cfRule type="containsText" dxfId="197" priority="28" operator="containsText" text="煮白細麵生(方#12)">
      <formula>NOT(ISERROR(SEARCH("煮白細麵生(方#12)",A12)))</formula>
    </cfRule>
    <cfRule type="containsText" dxfId="196" priority="27" operator="containsText" text="綠豆芽">
      <formula>NOT(ISERROR(SEARCH("綠豆芽",A12)))</formula>
    </cfRule>
  </conditionalFormatting>
  <conditionalFormatting sqref="A28:A37">
    <cfRule type="containsText" dxfId="195" priority="5" operator="containsText" text="綠豆芽">
      <formula>NOT(ISERROR(SEARCH("綠豆芽",A28)))</formula>
    </cfRule>
    <cfRule type="containsText" dxfId="194" priority="6" operator="containsText" text="煮白細麵生(方#12)">
      <formula>NOT(ISERROR(SEARCH("煮白細麵生(方#12)",A28)))</formula>
    </cfRule>
    <cfRule type="containsText" dxfId="193" priority="7" operator="containsText" text="024">
      <formula>NOT(ISERROR(SEARCH("024",A28)))</formula>
    </cfRule>
    <cfRule type="containsText" dxfId="192" priority="8" operator="containsText" text="白醬">
      <formula>NOT(ISERROR(SEARCH("白醬",A28)))</formula>
    </cfRule>
    <cfRule type="containsText" dxfId="191" priority="9" operator="containsText" text="青蔥">
      <formula>NOT(ISERROR(SEARCH("青蔥",A28)))</formula>
    </cfRule>
    <cfRule type="containsText" dxfId="190" priority="10" operator="containsText" text=")川燙小青花菜">
      <formula>NOT(ISERROR(SEARCH(")川燙小青花菜",A28)))</formula>
    </cfRule>
    <cfRule type="containsText" dxfId="189" priority="11" operator="containsText" text="湯凍">
      <formula>NOT(ISERROR(SEARCH("湯凍",A28)))</formula>
    </cfRule>
    <cfRule type="containsText" dxfId="188" priority="12" operator="containsText" text="中華">
      <formula>NOT(ISERROR(SEARCH("中華",A28)))</formula>
    </cfRule>
  </conditionalFormatting>
  <conditionalFormatting sqref="A44:A53">
    <cfRule type="containsText" dxfId="187" priority="17" operator="containsText" text="綠豆芽">
      <formula>NOT(ISERROR(SEARCH("綠豆芽",A44)))</formula>
    </cfRule>
    <cfRule type="containsText" dxfId="186" priority="18" operator="containsText" text="煮白細麵生(方#12)">
      <formula>NOT(ISERROR(SEARCH("煮白細麵生(方#12)",A44)))</formula>
    </cfRule>
    <cfRule type="containsText" dxfId="185" priority="19" operator="containsText" text="024">
      <formula>NOT(ISERROR(SEARCH("024",A44)))</formula>
    </cfRule>
    <cfRule type="containsText" dxfId="184" priority="20" operator="containsText" text="白醬">
      <formula>NOT(ISERROR(SEARCH("白醬",A44)))</formula>
    </cfRule>
    <cfRule type="containsText" dxfId="183" priority="21" operator="containsText" text="青蔥">
      <formula>NOT(ISERROR(SEARCH("青蔥",A44)))</formula>
    </cfRule>
    <cfRule type="containsText" dxfId="182" priority="22" operator="containsText" text=")川燙小青花菜">
      <formula>NOT(ISERROR(SEARCH(")川燙小青花菜",A44)))</formula>
    </cfRule>
    <cfRule type="containsText" dxfId="181" priority="23" operator="containsText" text="湯凍">
      <formula>NOT(ISERROR(SEARCH("湯凍",A44)))</formula>
    </cfRule>
    <cfRule type="containsText" dxfId="180" priority="24" operator="containsText" text="中華">
      <formula>NOT(ISERROR(SEARCH("中華",A44)))</formula>
    </cfRule>
  </conditionalFormatting>
  <conditionalFormatting sqref="D44:D53">
    <cfRule type="cellIs" dxfId="179" priority="16" operator="greaterThan">
      <formula>0.146</formula>
    </cfRule>
  </conditionalFormatting>
  <conditionalFormatting sqref="E5">
    <cfRule type="cellIs" dxfId="178" priority="25" operator="greaterThan">
      <formula>0.072</formula>
    </cfRule>
    <cfRule type="cellIs" dxfId="177" priority="26" operator="greaterThan">
      <formula>7.2</formula>
    </cfRule>
    <cfRule type="cellIs" dxfId="176" priority="14" operator="greaterThan">
      <formula>0.0025</formula>
    </cfRule>
  </conditionalFormatting>
  <conditionalFormatting sqref="G5">
    <cfRule type="cellIs" dxfId="175" priority="3" operator="greaterThan">
      <formula>7.2</formula>
    </cfRule>
    <cfRule type="cellIs" dxfId="174" priority="2" operator="greaterThan">
      <formula>0.072</formula>
    </cfRule>
    <cfRule type="cellIs" dxfId="173" priority="1" operator="greaterThan">
      <formula>0.0025</formula>
    </cfRule>
  </conditionalFormatting>
  <conditionalFormatting sqref="H12:H22">
    <cfRule type="cellIs" dxfId="172" priority="15" operator="greaterThan">
      <formula>1.1</formula>
    </cfRule>
  </conditionalFormatting>
  <conditionalFormatting sqref="H28:H37">
    <cfRule type="cellIs" dxfId="171" priority="4" operator="greaterThan">
      <formula>1.1</formula>
    </cfRule>
  </conditionalFormatting>
  <conditionalFormatting sqref="I5">
    <cfRule type="cellIs" dxfId="17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6991-85D3-401E-A26A-70A471783FD4}">
  <sheetPr>
    <tabColor rgb="FFFF0000"/>
    <pageSetUpPr fitToPage="1"/>
  </sheetPr>
  <dimension ref="A1:R56"/>
  <sheetViews>
    <sheetView topLeftCell="G7"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45904</v>
      </c>
      <c r="B3" s="149"/>
      <c r="C3" s="150">
        <v>6925705.3300000001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16721.350999999999</v>
      </c>
      <c r="E5" s="24">
        <f>D5/C3</f>
        <v>2.414389611346632E-3</v>
      </c>
      <c r="F5" s="23">
        <v>50847.621100000004</v>
      </c>
      <c r="G5" s="25">
        <f>F5/C3</f>
        <v>7.3418689761090379E-3</v>
      </c>
      <c r="H5" s="26">
        <f>SUM(C12:C21)</f>
        <v>4283.4052999999994</v>
      </c>
      <c r="I5" s="27">
        <f>H5/D5</f>
        <v>0.25616382910687058</v>
      </c>
      <c r="J5" s="26">
        <f>SUM(C28:C37)</f>
        <v>19270.510699999992</v>
      </c>
      <c r="K5" s="28">
        <f>J5/F5</f>
        <v>0.37898549200760917</v>
      </c>
      <c r="L5" s="29">
        <v>2640.4545999999996</v>
      </c>
      <c r="M5" s="30">
        <f>L5/D5</f>
        <v>0.15790916654999945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03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03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03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03"/>
    </row>
    <row r="12" spans="1:18" s="46" customFormat="1" ht="24.95" customHeight="1" x14ac:dyDescent="0.25">
      <c r="A12" s="34">
        <v>1</v>
      </c>
      <c r="B12" s="35" t="s">
        <v>59</v>
      </c>
      <c r="C12" s="36">
        <v>1081.5</v>
      </c>
      <c r="D12" s="37">
        <v>4391</v>
      </c>
      <c r="E12" s="37">
        <v>4461</v>
      </c>
      <c r="F12" s="37">
        <v>0</v>
      </c>
      <c r="G12" s="36">
        <v>15.45</v>
      </c>
      <c r="H12" s="38">
        <f>(E12+F12)/D12</f>
        <v>1.0159416989296288</v>
      </c>
      <c r="I12" s="36">
        <v>1081.5</v>
      </c>
      <c r="J12" s="37">
        <v>70</v>
      </c>
      <c r="K12" s="39">
        <f>J12/D12</f>
        <v>1.5941698929628788E-2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63</v>
      </c>
      <c r="C13" s="36">
        <v>655.83</v>
      </c>
      <c r="D13" s="37">
        <v>3615</v>
      </c>
      <c r="E13" s="37">
        <v>3588</v>
      </c>
      <c r="F13" s="37">
        <v>90</v>
      </c>
      <c r="G13" s="36">
        <v>10.41</v>
      </c>
      <c r="H13" s="38">
        <f t="shared" ref="H13:H21" si="1">(E13+F13)/D13</f>
        <v>1.0174273858921161</v>
      </c>
      <c r="I13" s="36">
        <v>655.83</v>
      </c>
      <c r="J13" s="37">
        <v>63</v>
      </c>
      <c r="K13" s="39">
        <f>J13/D13</f>
        <v>1.7427385892116183E-2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3" t="s">
        <v>64</v>
      </c>
      <c r="Q13" s="44"/>
      <c r="R13" s="45" t="s">
        <v>65</v>
      </c>
    </row>
    <row r="14" spans="1:18" s="46" customFormat="1" ht="24.95" customHeight="1" x14ac:dyDescent="0.25">
      <c r="A14" s="47">
        <v>3</v>
      </c>
      <c r="B14" s="35" t="s">
        <v>103</v>
      </c>
      <c r="C14" s="36">
        <v>449.71260000000001</v>
      </c>
      <c r="D14" s="37">
        <v>31.22</v>
      </c>
      <c r="E14" s="37">
        <v>33.54</v>
      </c>
      <c r="F14" s="37">
        <v>0</v>
      </c>
      <c r="G14" s="36">
        <v>248.46</v>
      </c>
      <c r="H14" s="38">
        <f>(E14+F14)/D14</f>
        <v>1.07431133888533</v>
      </c>
      <c r="I14" s="36">
        <v>576.42720000000008</v>
      </c>
      <c r="J14" s="37">
        <v>1.81</v>
      </c>
      <c r="K14" s="39">
        <f t="shared" ref="K14:K21" si="4">J14/D14</f>
        <v>5.7975656630365156E-2</v>
      </c>
      <c r="L14" s="40">
        <f t="shared" si="2"/>
        <v>0.51000000000000023</v>
      </c>
      <c r="M14" s="41">
        <f t="shared" si="3"/>
        <v>1.6335682254964776E-2</v>
      </c>
      <c r="N14" s="42">
        <f t="shared" si="0"/>
        <v>126.71460000000006</v>
      </c>
      <c r="O14" s="43" t="s">
        <v>57</v>
      </c>
      <c r="P14" s="44" t="s">
        <v>67</v>
      </c>
      <c r="Q14" s="44"/>
      <c r="R14" s="45" t="s">
        <v>58</v>
      </c>
    </row>
    <row r="15" spans="1:18" s="46" customFormat="1" ht="24.95" customHeight="1" x14ac:dyDescent="0.25">
      <c r="A15" s="34">
        <v>4</v>
      </c>
      <c r="B15" s="35" t="s">
        <v>82</v>
      </c>
      <c r="C15" s="36">
        <v>429.02130000000005</v>
      </c>
      <c r="D15" s="37">
        <v>634.34</v>
      </c>
      <c r="E15" s="37">
        <v>615.46</v>
      </c>
      <c r="F15" s="37">
        <v>45.5</v>
      </c>
      <c r="G15" s="36">
        <v>147.43</v>
      </c>
      <c r="H15" s="38">
        <f>(E15+F15)/D15</f>
        <v>1.0419648768799066</v>
      </c>
      <c r="I15" s="36">
        <v>3924.586600000001</v>
      </c>
      <c r="J15" s="37">
        <v>2.91</v>
      </c>
      <c r="K15" s="39">
        <f t="shared" si="4"/>
        <v>4.587445218652458E-3</v>
      </c>
      <c r="L15" s="40">
        <f t="shared" si="2"/>
        <v>23.710000000000004</v>
      </c>
      <c r="M15" s="41">
        <f t="shared" si="3"/>
        <v>3.7377431661254221E-2</v>
      </c>
      <c r="N15" s="42">
        <f t="shared" si="0"/>
        <v>3495.5653000000007</v>
      </c>
      <c r="O15" s="43" t="s">
        <v>57</v>
      </c>
      <c r="P15" s="69" t="s">
        <v>84</v>
      </c>
      <c r="Q15" s="44" t="s">
        <v>85</v>
      </c>
      <c r="R15" s="45" t="s">
        <v>58</v>
      </c>
    </row>
    <row r="16" spans="1:18" s="46" customFormat="1" ht="24.95" customHeight="1" x14ac:dyDescent="0.25">
      <c r="A16" s="47">
        <v>5</v>
      </c>
      <c r="B16" s="35" t="s">
        <v>112</v>
      </c>
      <c r="C16" s="36">
        <v>322.14</v>
      </c>
      <c r="D16" s="37">
        <v>4826</v>
      </c>
      <c r="E16" s="37">
        <v>4885</v>
      </c>
      <c r="F16" s="37">
        <v>0</v>
      </c>
      <c r="G16" s="36">
        <v>5.46</v>
      </c>
      <c r="H16" s="38">
        <f t="shared" si="1"/>
        <v>1.0122254455035227</v>
      </c>
      <c r="I16" s="36">
        <v>322.14</v>
      </c>
      <c r="J16" s="37">
        <v>59</v>
      </c>
      <c r="K16" s="39">
        <f t="shared" si="4"/>
        <v>1.2225445503522586E-2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3" t="s">
        <v>64</v>
      </c>
      <c r="Q16" s="44" t="s">
        <v>113</v>
      </c>
      <c r="R16" s="45" t="s">
        <v>98</v>
      </c>
    </row>
    <row r="17" spans="1:18" s="46" customFormat="1" ht="24.95" customHeight="1" x14ac:dyDescent="0.25">
      <c r="A17" s="34">
        <v>6</v>
      </c>
      <c r="B17" s="35" t="s">
        <v>135</v>
      </c>
      <c r="C17" s="36">
        <v>277.38480000000004</v>
      </c>
      <c r="D17" s="37">
        <v>28.74</v>
      </c>
      <c r="E17" s="37">
        <v>30.02</v>
      </c>
      <c r="F17" s="37">
        <v>2.4</v>
      </c>
      <c r="G17" s="36">
        <v>208.56</v>
      </c>
      <c r="H17" s="38">
        <f t="shared" si="1"/>
        <v>1.1280445372303411</v>
      </c>
      <c r="I17" s="36">
        <v>767.50080000000071</v>
      </c>
      <c r="J17" s="37">
        <v>1.33</v>
      </c>
      <c r="K17" s="39">
        <f t="shared" si="4"/>
        <v>4.6276965901183027E-2</v>
      </c>
      <c r="L17" s="40">
        <f t="shared" si="2"/>
        <v>2.3500000000000032</v>
      </c>
      <c r="M17" s="41">
        <f t="shared" si="3"/>
        <v>8.1767571329158087E-2</v>
      </c>
      <c r="N17" s="42">
        <f t="shared" si="0"/>
        <v>490.11600000000067</v>
      </c>
      <c r="O17" s="43" t="s">
        <v>57</v>
      </c>
      <c r="P17" s="44" t="s">
        <v>67</v>
      </c>
      <c r="Q17" s="44"/>
      <c r="R17" s="45" t="s">
        <v>136</v>
      </c>
    </row>
    <row r="18" spans="1:18" s="46" customFormat="1" ht="24.95" customHeight="1" x14ac:dyDescent="0.25">
      <c r="A18" s="47">
        <v>7</v>
      </c>
      <c r="B18" s="35" t="s">
        <v>120</v>
      </c>
      <c r="C18" s="36">
        <v>271.66449999999998</v>
      </c>
      <c r="D18" s="37">
        <v>19.75</v>
      </c>
      <c r="E18" s="37">
        <v>20.95</v>
      </c>
      <c r="F18" s="37">
        <v>0</v>
      </c>
      <c r="G18" s="36">
        <v>236.23</v>
      </c>
      <c r="H18" s="38">
        <f t="shared" si="1"/>
        <v>1.060759493670886</v>
      </c>
      <c r="I18" s="36">
        <v>283.47599999999983</v>
      </c>
      <c r="J18" s="37">
        <v>1.1499999999999999</v>
      </c>
      <c r="K18" s="39">
        <f t="shared" si="4"/>
        <v>5.8227848101265821E-2</v>
      </c>
      <c r="L18" s="40">
        <f>((E18+F18)-D18)-J18</f>
        <v>4.9999999999999378E-2</v>
      </c>
      <c r="M18" s="41">
        <f t="shared" si="3"/>
        <v>2.5316455696202216E-3</v>
      </c>
      <c r="N18" s="42">
        <f t="shared" si="0"/>
        <v>11.811499999999853</v>
      </c>
      <c r="O18" s="43" t="s">
        <v>57</v>
      </c>
      <c r="P18" s="44" t="s">
        <v>67</v>
      </c>
      <c r="Q18" s="44"/>
      <c r="R18" s="45" t="s">
        <v>121</v>
      </c>
    </row>
    <row r="19" spans="1:18" s="46" customFormat="1" ht="24.95" customHeight="1" x14ac:dyDescent="0.25">
      <c r="A19" s="34">
        <v>8</v>
      </c>
      <c r="B19" s="35" t="s">
        <v>74</v>
      </c>
      <c r="C19" s="36">
        <v>268.63560000000001</v>
      </c>
      <c r="D19" s="37">
        <v>87.38</v>
      </c>
      <c r="E19" s="37">
        <v>89.76</v>
      </c>
      <c r="F19" s="37">
        <v>0</v>
      </c>
      <c r="G19" s="36">
        <v>189.18</v>
      </c>
      <c r="H19" s="38">
        <f t="shared" si="1"/>
        <v>1.0272373540856032</v>
      </c>
      <c r="I19" s="36">
        <v>450.24840000000182</v>
      </c>
      <c r="J19" s="37">
        <v>1.42</v>
      </c>
      <c r="K19" s="39">
        <f t="shared" si="4"/>
        <v>1.625085831998169E-2</v>
      </c>
      <c r="L19" s="40">
        <f t="shared" si="2"/>
        <v>0.96000000000000973</v>
      </c>
      <c r="M19" s="41">
        <f t="shared" si="3"/>
        <v>1.0986495765621536E-2</v>
      </c>
      <c r="N19" s="42">
        <f t="shared" si="0"/>
        <v>181.61280000000184</v>
      </c>
      <c r="O19" s="43" t="s">
        <v>57</v>
      </c>
      <c r="P19" s="69" t="s">
        <v>235</v>
      </c>
      <c r="Q19" s="44"/>
      <c r="R19" s="45" t="s">
        <v>75</v>
      </c>
    </row>
    <row r="20" spans="1:18" s="46" customFormat="1" ht="24.95" customHeight="1" x14ac:dyDescent="0.25">
      <c r="A20" s="47">
        <v>9</v>
      </c>
      <c r="B20" s="35" t="s">
        <v>114</v>
      </c>
      <c r="C20" s="36">
        <v>264.92289999999997</v>
      </c>
      <c r="D20" s="37">
        <v>98.5</v>
      </c>
      <c r="E20" s="37">
        <v>101.47</v>
      </c>
      <c r="F20" s="37">
        <v>0</v>
      </c>
      <c r="G20" s="36">
        <v>141.66999999999999</v>
      </c>
      <c r="H20" s="38">
        <f t="shared" si="1"/>
        <v>1.0301522842639594</v>
      </c>
      <c r="I20" s="36">
        <v>420.75989999999979</v>
      </c>
      <c r="J20" s="37">
        <v>1.87</v>
      </c>
      <c r="K20" s="39">
        <f t="shared" si="4"/>
        <v>1.8984771573604061E-2</v>
      </c>
      <c r="L20" s="40">
        <f t="shared" si="2"/>
        <v>1.0999999999999988</v>
      </c>
      <c r="M20" s="41">
        <f t="shared" si="3"/>
        <v>1.1167512690355317E-2</v>
      </c>
      <c r="N20" s="42">
        <f t="shared" si="0"/>
        <v>155.83699999999982</v>
      </c>
      <c r="O20" s="43" t="s">
        <v>57</v>
      </c>
      <c r="P20" s="69" t="s">
        <v>235</v>
      </c>
      <c r="Q20" s="44"/>
      <c r="R20" s="45" t="s">
        <v>95</v>
      </c>
    </row>
    <row r="21" spans="1:18" s="46" customFormat="1" ht="24.95" customHeight="1" thickBot="1" x14ac:dyDescent="0.3">
      <c r="A21" s="48">
        <v>10</v>
      </c>
      <c r="B21" s="49" t="s">
        <v>76</v>
      </c>
      <c r="C21" s="50">
        <v>262.59359999999998</v>
      </c>
      <c r="D21" s="51">
        <v>55.08</v>
      </c>
      <c r="E21" s="51">
        <v>54.52</v>
      </c>
      <c r="F21" s="51">
        <v>4.2</v>
      </c>
      <c r="G21" s="50">
        <v>108.96</v>
      </c>
      <c r="H21" s="52">
        <f t="shared" si="1"/>
        <v>1.066085693536674</v>
      </c>
      <c r="I21" s="50">
        <v>396.61440000000078</v>
      </c>
      <c r="J21" s="51">
        <v>2.41</v>
      </c>
      <c r="K21" s="53">
        <f t="shared" si="4"/>
        <v>4.3754538852578073E-2</v>
      </c>
      <c r="L21" s="54">
        <f t="shared" si="2"/>
        <v>1.2300000000000075</v>
      </c>
      <c r="M21" s="55">
        <f t="shared" si="3"/>
        <v>2.2331154684095997E-2</v>
      </c>
      <c r="N21" s="56">
        <f t="shared" si="0"/>
        <v>134.0208000000008</v>
      </c>
      <c r="O21" s="57" t="s">
        <v>57</v>
      </c>
      <c r="P21" s="57" t="s">
        <v>67</v>
      </c>
      <c r="Q21" s="57"/>
      <c r="R21" s="58" t="s">
        <v>77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122</v>
      </c>
      <c r="C28" s="36">
        <v>5439.6680000000024</v>
      </c>
      <c r="D28" s="37">
        <v>23.86</v>
      </c>
      <c r="E28" s="37">
        <v>26.46</v>
      </c>
      <c r="F28" s="37">
        <v>0</v>
      </c>
      <c r="G28" s="36">
        <v>2092.1799999999998</v>
      </c>
      <c r="H28" s="68">
        <f t="shared" ref="H28:H37" si="5">(E28+F28)/D28</f>
        <v>1.1089689857502096</v>
      </c>
      <c r="I28" s="36">
        <v>5439.6680000000024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2.6000000000000014</v>
      </c>
      <c r="N28" s="41">
        <f t="shared" ref="N28:N37" si="9">M28/D28</f>
        <v>0.10896898575020962</v>
      </c>
      <c r="O28" s="43" t="s">
        <v>83</v>
      </c>
      <c r="P28" s="69" t="s">
        <v>235</v>
      </c>
      <c r="Q28" s="44"/>
      <c r="R28" s="45" t="s">
        <v>123</v>
      </c>
    </row>
    <row r="29" spans="1:18" s="67" customFormat="1" ht="24.95" customHeight="1" x14ac:dyDescent="0.25">
      <c r="A29" s="47">
        <v>2</v>
      </c>
      <c r="B29" s="35" t="s">
        <v>82</v>
      </c>
      <c r="C29" s="36">
        <v>3495.5653000000011</v>
      </c>
      <c r="D29" s="37">
        <v>634.34</v>
      </c>
      <c r="E29" s="37">
        <v>615.46</v>
      </c>
      <c r="F29" s="37">
        <v>45.5</v>
      </c>
      <c r="G29" s="36">
        <v>147.43</v>
      </c>
      <c r="H29" s="68">
        <f t="shared" si="5"/>
        <v>1.0419648768799066</v>
      </c>
      <c r="I29" s="36">
        <v>3924.586600000001</v>
      </c>
      <c r="J29" s="37">
        <v>2.91</v>
      </c>
      <c r="K29" s="39">
        <f t="shared" si="6"/>
        <v>4.587445218652458E-3</v>
      </c>
      <c r="L29" s="42">
        <f t="shared" si="7"/>
        <v>429.02130000000005</v>
      </c>
      <c r="M29" s="40">
        <f t="shared" si="8"/>
        <v>23.710000000000004</v>
      </c>
      <c r="N29" s="41">
        <f t="shared" si="9"/>
        <v>3.7377431661254221E-2</v>
      </c>
      <c r="O29" s="43" t="s">
        <v>83</v>
      </c>
      <c r="P29" s="69" t="s">
        <v>84</v>
      </c>
      <c r="Q29" s="44" t="s">
        <v>85</v>
      </c>
      <c r="R29" s="45" t="s">
        <v>58</v>
      </c>
    </row>
    <row r="30" spans="1:18" s="67" customFormat="1" ht="24.95" customHeight="1" x14ac:dyDescent="0.25">
      <c r="A30" s="47">
        <v>3</v>
      </c>
      <c r="B30" s="35" t="s">
        <v>137</v>
      </c>
      <c r="C30" s="36">
        <v>1641.5855999999997</v>
      </c>
      <c r="D30" s="37">
        <v>57.72</v>
      </c>
      <c r="E30" s="37">
        <v>56.53</v>
      </c>
      <c r="F30" s="37">
        <v>3.8</v>
      </c>
      <c r="G30" s="36">
        <v>628.96</v>
      </c>
      <c r="H30" s="68">
        <f t="shared" si="5"/>
        <v>1.0452182952182951</v>
      </c>
      <c r="I30" s="36">
        <v>1641.5855999999997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2.6099999999999994</v>
      </c>
      <c r="N30" s="41">
        <f t="shared" si="9"/>
        <v>4.5218295218295207E-2</v>
      </c>
      <c r="O30" s="43" t="s">
        <v>83</v>
      </c>
      <c r="P30" s="69" t="s">
        <v>235</v>
      </c>
      <c r="Q30" s="44"/>
      <c r="R30" s="45" t="s">
        <v>138</v>
      </c>
    </row>
    <row r="31" spans="1:18" s="67" customFormat="1" ht="24.95" customHeight="1" x14ac:dyDescent="0.25">
      <c r="A31" s="34">
        <v>4</v>
      </c>
      <c r="B31" s="35" t="s">
        <v>139</v>
      </c>
      <c r="C31" s="36">
        <v>1618.021199999999</v>
      </c>
      <c r="D31" s="37">
        <v>39.6</v>
      </c>
      <c r="E31" s="37">
        <v>39.78</v>
      </c>
      <c r="F31" s="37">
        <v>2.4</v>
      </c>
      <c r="G31" s="36">
        <v>627.14</v>
      </c>
      <c r="H31" s="68">
        <f t="shared" si="5"/>
        <v>1.0651515151515152</v>
      </c>
      <c r="I31" s="36">
        <v>1618.021199999999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2.5799999999999983</v>
      </c>
      <c r="N31" s="41">
        <f t="shared" si="9"/>
        <v>6.5151515151515099E-2</v>
      </c>
      <c r="O31" s="43" t="s">
        <v>83</v>
      </c>
      <c r="P31" s="69" t="s">
        <v>235</v>
      </c>
      <c r="Q31" s="44"/>
      <c r="R31" s="45" t="s">
        <v>140</v>
      </c>
    </row>
    <row r="32" spans="1:18" s="67" customFormat="1" ht="24.95" customHeight="1" x14ac:dyDescent="0.25">
      <c r="A32" s="47">
        <v>5</v>
      </c>
      <c r="B32" s="35" t="s">
        <v>94</v>
      </c>
      <c r="C32" s="36">
        <v>1399.3518000000013</v>
      </c>
      <c r="D32" s="37">
        <v>176.47</v>
      </c>
      <c r="E32" s="37">
        <v>175.34</v>
      </c>
      <c r="F32" s="37">
        <v>3.44</v>
      </c>
      <c r="G32" s="36">
        <v>605.78</v>
      </c>
      <c r="H32" s="68">
        <f t="shared" si="5"/>
        <v>1.0130900436334789</v>
      </c>
      <c r="I32" s="36">
        <v>1399.3518000000013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2.3100000000000023</v>
      </c>
      <c r="N32" s="41">
        <f t="shared" si="9"/>
        <v>1.3090043633478791E-2</v>
      </c>
      <c r="O32" s="43" t="s">
        <v>83</v>
      </c>
      <c r="P32" s="44" t="s">
        <v>60</v>
      </c>
      <c r="Q32" s="44" t="s">
        <v>87</v>
      </c>
      <c r="R32" s="45" t="s">
        <v>95</v>
      </c>
    </row>
    <row r="33" spans="1:18" s="67" customFormat="1" ht="24.95" customHeight="1" x14ac:dyDescent="0.25">
      <c r="A33" s="34">
        <v>6</v>
      </c>
      <c r="B33" s="35" t="s">
        <v>86</v>
      </c>
      <c r="C33" s="36">
        <v>1304.5967999999777</v>
      </c>
      <c r="D33" s="37">
        <v>4035.78</v>
      </c>
      <c r="E33" s="37">
        <v>4003.2</v>
      </c>
      <c r="F33" s="37">
        <v>65.7</v>
      </c>
      <c r="G33" s="36">
        <v>39.39</v>
      </c>
      <c r="H33" s="68">
        <f t="shared" si="5"/>
        <v>1.0082065920342536</v>
      </c>
      <c r="I33" s="36">
        <v>1304.5967999999777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33.119999999999436</v>
      </c>
      <c r="N33" s="41">
        <f t="shared" si="9"/>
        <v>8.2065920342534616E-3</v>
      </c>
      <c r="O33" s="43" t="s">
        <v>83</v>
      </c>
      <c r="P33" s="44" t="s">
        <v>60</v>
      </c>
      <c r="Q33" s="44" t="s">
        <v>87</v>
      </c>
      <c r="R33" s="45" t="s">
        <v>58</v>
      </c>
    </row>
    <row r="34" spans="1:18" s="67" customFormat="1" ht="24.95" customHeight="1" x14ac:dyDescent="0.25">
      <c r="A34" s="47">
        <v>7</v>
      </c>
      <c r="B34" s="35" t="s">
        <v>88</v>
      </c>
      <c r="C34" s="36">
        <v>1211.8991999999989</v>
      </c>
      <c r="D34" s="37">
        <v>24.1</v>
      </c>
      <c r="E34" s="37">
        <v>24.93</v>
      </c>
      <c r="F34" s="37">
        <v>1</v>
      </c>
      <c r="G34" s="36">
        <v>662.24</v>
      </c>
      <c r="H34" s="68">
        <f t="shared" si="5"/>
        <v>1.0759336099585062</v>
      </c>
      <c r="I34" s="36">
        <v>1211.8991999999989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1.8299999999999983</v>
      </c>
      <c r="N34" s="41">
        <f t="shared" si="9"/>
        <v>7.5933609958506149E-2</v>
      </c>
      <c r="O34" s="43" t="s">
        <v>83</v>
      </c>
      <c r="P34" s="69" t="s">
        <v>235</v>
      </c>
      <c r="Q34" s="44"/>
      <c r="R34" s="45" t="s">
        <v>65</v>
      </c>
    </row>
    <row r="35" spans="1:18" s="67" customFormat="1" ht="24.95" customHeight="1" x14ac:dyDescent="0.25">
      <c r="A35" s="34">
        <v>8</v>
      </c>
      <c r="B35" s="35" t="s">
        <v>99</v>
      </c>
      <c r="C35" s="36">
        <v>1129.0188000000003</v>
      </c>
      <c r="D35" s="37">
        <v>26.4</v>
      </c>
      <c r="E35" s="37">
        <v>26.68</v>
      </c>
      <c r="F35" s="37">
        <v>1.54</v>
      </c>
      <c r="G35" s="36">
        <v>620.34</v>
      </c>
      <c r="H35" s="68">
        <f t="shared" si="5"/>
        <v>1.0689393939393939</v>
      </c>
      <c r="I35" s="36">
        <v>1129.0188000000003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1.8200000000000003</v>
      </c>
      <c r="N35" s="41">
        <f t="shared" si="9"/>
        <v>6.8939393939393953E-2</v>
      </c>
      <c r="O35" s="43" t="s">
        <v>83</v>
      </c>
      <c r="P35" s="69" t="s">
        <v>235</v>
      </c>
      <c r="Q35" s="44"/>
      <c r="R35" s="45" t="s">
        <v>100</v>
      </c>
    </row>
    <row r="36" spans="1:18" s="67" customFormat="1" ht="24.95" customHeight="1" x14ac:dyDescent="0.25">
      <c r="A36" s="47">
        <v>9</v>
      </c>
      <c r="B36" s="35" t="s">
        <v>89</v>
      </c>
      <c r="C36" s="36">
        <v>1059.9040000000057</v>
      </c>
      <c r="D36" s="37">
        <v>65.55</v>
      </c>
      <c r="E36" s="37">
        <v>65.540000000000006</v>
      </c>
      <c r="F36" s="37">
        <v>1.61</v>
      </c>
      <c r="G36" s="36">
        <v>662.44</v>
      </c>
      <c r="H36" s="68">
        <f t="shared" si="5"/>
        <v>1.0244088482074754</v>
      </c>
      <c r="I36" s="36">
        <v>1059.9040000000057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1.6000000000000085</v>
      </c>
      <c r="N36" s="41">
        <f t="shared" si="9"/>
        <v>2.4408848207475339E-2</v>
      </c>
      <c r="O36" s="43" t="s">
        <v>97</v>
      </c>
      <c r="P36" s="69" t="s">
        <v>235</v>
      </c>
      <c r="Q36" s="44"/>
      <c r="R36" s="45" t="s">
        <v>58</v>
      </c>
    </row>
    <row r="37" spans="1:18" s="67" customFormat="1" ht="24.95" customHeight="1" thickBot="1" x14ac:dyDescent="0.3">
      <c r="A37" s="48">
        <v>10</v>
      </c>
      <c r="B37" s="49" t="s">
        <v>131</v>
      </c>
      <c r="C37" s="50">
        <v>970.90000000000134</v>
      </c>
      <c r="D37" s="51">
        <v>23.86</v>
      </c>
      <c r="E37" s="51">
        <v>25.19</v>
      </c>
      <c r="F37" s="51">
        <v>0</v>
      </c>
      <c r="G37" s="50">
        <v>730</v>
      </c>
      <c r="H37" s="70">
        <f t="shared" si="5"/>
        <v>1.0557418273260688</v>
      </c>
      <c r="I37" s="50">
        <v>970.90000000000134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1.3300000000000018</v>
      </c>
      <c r="N37" s="55">
        <f t="shared" si="9"/>
        <v>5.5741827326068812E-2</v>
      </c>
      <c r="O37" s="57" t="s">
        <v>97</v>
      </c>
      <c r="P37" s="71" t="s">
        <v>235</v>
      </c>
      <c r="Q37" s="72"/>
      <c r="R37" s="58" t="s">
        <v>123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103</v>
      </c>
      <c r="C44" s="36">
        <v>449.71260000000001</v>
      </c>
      <c r="D44" s="78">
        <f t="shared" ref="D44:D53" si="10">C44/$L$5</f>
        <v>0.17031635385815763</v>
      </c>
      <c r="E44" s="79"/>
    </row>
    <row r="45" spans="1:18" s="80" customFormat="1" ht="24.95" customHeight="1" x14ac:dyDescent="0.25">
      <c r="A45" s="81">
        <v>2</v>
      </c>
      <c r="B45" s="35" t="s">
        <v>82</v>
      </c>
      <c r="C45" s="36">
        <v>429.02130000000005</v>
      </c>
      <c r="D45" s="78">
        <f t="shared" si="10"/>
        <v>0.16248008960275254</v>
      </c>
      <c r="E45" s="79"/>
    </row>
    <row r="46" spans="1:18" s="80" customFormat="1" ht="24.95" customHeight="1" x14ac:dyDescent="0.25">
      <c r="A46" s="81">
        <v>3</v>
      </c>
      <c r="B46" s="35" t="s">
        <v>105</v>
      </c>
      <c r="C46" s="36">
        <v>262.15000000000003</v>
      </c>
      <c r="D46" s="78">
        <f t="shared" si="10"/>
        <v>9.9282146339497779E-2</v>
      </c>
      <c r="E46" s="79"/>
    </row>
    <row r="47" spans="1:18" s="80" customFormat="1" ht="24.95" customHeight="1" x14ac:dyDescent="0.25">
      <c r="A47" s="77">
        <v>4</v>
      </c>
      <c r="B47" s="35" t="s">
        <v>104</v>
      </c>
      <c r="C47" s="36">
        <v>252.71999999999997</v>
      </c>
      <c r="D47" s="78">
        <f t="shared" si="10"/>
        <v>9.5710791618988642E-2</v>
      </c>
      <c r="E47" s="79"/>
    </row>
    <row r="48" spans="1:18" s="80" customFormat="1" ht="24.95" customHeight="1" x14ac:dyDescent="0.25">
      <c r="A48" s="81">
        <v>5</v>
      </c>
      <c r="B48" s="35" t="s">
        <v>126</v>
      </c>
      <c r="C48" s="36">
        <v>217.47</v>
      </c>
      <c r="D48" s="78">
        <f t="shared" si="10"/>
        <v>8.2360817716767426E-2</v>
      </c>
      <c r="E48" s="79"/>
    </row>
    <row r="49" spans="1:5" s="80" customFormat="1" ht="24.95" customHeight="1" x14ac:dyDescent="0.25">
      <c r="A49" s="77">
        <v>6</v>
      </c>
      <c r="B49" s="35" t="s">
        <v>73</v>
      </c>
      <c r="C49" s="36">
        <v>192.60140000000001</v>
      </c>
      <c r="D49" s="78">
        <f t="shared" si="10"/>
        <v>7.2942515277482911E-2</v>
      </c>
      <c r="E49" s="79"/>
    </row>
    <row r="50" spans="1:5" s="80" customFormat="1" ht="24.95" customHeight="1" x14ac:dyDescent="0.25">
      <c r="A50" s="81">
        <v>7</v>
      </c>
      <c r="B50" s="35" t="s">
        <v>107</v>
      </c>
      <c r="C50" s="36">
        <v>128.76299999999998</v>
      </c>
      <c r="D50" s="78">
        <f t="shared" si="10"/>
        <v>4.8765466370828722E-2</v>
      </c>
      <c r="E50" s="79"/>
    </row>
    <row r="51" spans="1:5" s="80" customFormat="1" ht="24.95" customHeight="1" x14ac:dyDescent="0.25">
      <c r="A51" s="77">
        <v>8</v>
      </c>
      <c r="B51" s="35" t="s">
        <v>56</v>
      </c>
      <c r="C51" s="36">
        <v>127.84</v>
      </c>
      <c r="D51" s="78">
        <f t="shared" si="10"/>
        <v>4.8415905352055671E-2</v>
      </c>
      <c r="E51" s="79"/>
    </row>
    <row r="52" spans="1:5" s="80" customFormat="1" ht="24.95" customHeight="1" x14ac:dyDescent="0.25">
      <c r="A52" s="81">
        <v>9</v>
      </c>
      <c r="B52" s="35" t="s">
        <v>108</v>
      </c>
      <c r="C52" s="36">
        <v>118.52850000000001</v>
      </c>
      <c r="D52" s="78">
        <f t="shared" si="10"/>
        <v>4.488942926721786E-2</v>
      </c>
      <c r="E52" s="79"/>
    </row>
    <row r="53" spans="1:5" s="80" customFormat="1" ht="24.95" customHeight="1" thickBot="1" x14ac:dyDescent="0.3">
      <c r="A53" s="82">
        <v>10</v>
      </c>
      <c r="B53" s="49" t="s">
        <v>109</v>
      </c>
      <c r="C53" s="50">
        <v>115.84000000000002</v>
      </c>
      <c r="D53" s="83">
        <f t="shared" si="10"/>
        <v>4.3871233385342066E-2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69" priority="34" operator="containsText" text="中華">
      <formula>NOT(ISERROR(SEARCH("中華",A12)))</formula>
    </cfRule>
    <cfRule type="containsText" dxfId="168" priority="33" operator="containsText" text="湯凍">
      <formula>NOT(ISERROR(SEARCH("湯凍",A12)))</formula>
    </cfRule>
    <cfRule type="containsText" dxfId="167" priority="32" operator="containsText" text=")川燙小青花菜">
      <formula>NOT(ISERROR(SEARCH(")川燙小青花菜",A12)))</formula>
    </cfRule>
    <cfRule type="containsText" dxfId="166" priority="31" operator="containsText" text="青蔥">
      <formula>NOT(ISERROR(SEARCH("青蔥",A12)))</formula>
    </cfRule>
    <cfRule type="containsText" dxfId="165" priority="30" operator="containsText" text="白醬">
      <formula>NOT(ISERROR(SEARCH("白醬",A12)))</formula>
    </cfRule>
    <cfRule type="containsText" dxfId="164" priority="29" operator="containsText" text="024">
      <formula>NOT(ISERROR(SEARCH("024",A12)))</formula>
    </cfRule>
    <cfRule type="containsText" dxfId="163" priority="28" operator="containsText" text="煮白細麵生(方#12)">
      <formula>NOT(ISERROR(SEARCH("煮白細麵生(方#12)",A12)))</formula>
    </cfRule>
    <cfRule type="containsText" dxfId="162" priority="27" operator="containsText" text="綠豆芽">
      <formula>NOT(ISERROR(SEARCH("綠豆芽",A12)))</formula>
    </cfRule>
  </conditionalFormatting>
  <conditionalFormatting sqref="A28:A37">
    <cfRule type="containsText" dxfId="161" priority="5" operator="containsText" text="綠豆芽">
      <formula>NOT(ISERROR(SEARCH("綠豆芽",A28)))</formula>
    </cfRule>
    <cfRule type="containsText" dxfId="160" priority="6" operator="containsText" text="煮白細麵生(方#12)">
      <formula>NOT(ISERROR(SEARCH("煮白細麵生(方#12)",A28)))</formula>
    </cfRule>
    <cfRule type="containsText" dxfId="159" priority="7" operator="containsText" text="024">
      <formula>NOT(ISERROR(SEARCH("024",A28)))</formula>
    </cfRule>
    <cfRule type="containsText" dxfId="158" priority="8" operator="containsText" text="白醬">
      <formula>NOT(ISERROR(SEARCH("白醬",A28)))</formula>
    </cfRule>
    <cfRule type="containsText" dxfId="157" priority="9" operator="containsText" text="青蔥">
      <formula>NOT(ISERROR(SEARCH("青蔥",A28)))</formula>
    </cfRule>
    <cfRule type="containsText" dxfId="156" priority="10" operator="containsText" text=")川燙小青花菜">
      <formula>NOT(ISERROR(SEARCH(")川燙小青花菜",A28)))</formula>
    </cfRule>
    <cfRule type="containsText" dxfId="155" priority="11" operator="containsText" text="湯凍">
      <formula>NOT(ISERROR(SEARCH("湯凍",A28)))</formula>
    </cfRule>
    <cfRule type="containsText" dxfId="154" priority="12" operator="containsText" text="中華">
      <formula>NOT(ISERROR(SEARCH("中華",A28)))</formula>
    </cfRule>
  </conditionalFormatting>
  <conditionalFormatting sqref="A44:A53">
    <cfRule type="containsText" dxfId="153" priority="17" operator="containsText" text="綠豆芽">
      <formula>NOT(ISERROR(SEARCH("綠豆芽",A44)))</formula>
    </cfRule>
    <cfRule type="containsText" dxfId="152" priority="18" operator="containsText" text="煮白細麵生(方#12)">
      <formula>NOT(ISERROR(SEARCH("煮白細麵生(方#12)",A44)))</formula>
    </cfRule>
    <cfRule type="containsText" dxfId="151" priority="19" operator="containsText" text="024">
      <formula>NOT(ISERROR(SEARCH("024",A44)))</formula>
    </cfRule>
    <cfRule type="containsText" dxfId="150" priority="20" operator="containsText" text="白醬">
      <formula>NOT(ISERROR(SEARCH("白醬",A44)))</formula>
    </cfRule>
    <cfRule type="containsText" dxfId="149" priority="21" operator="containsText" text="青蔥">
      <formula>NOT(ISERROR(SEARCH("青蔥",A44)))</formula>
    </cfRule>
    <cfRule type="containsText" dxfId="148" priority="22" operator="containsText" text=")川燙小青花菜">
      <formula>NOT(ISERROR(SEARCH(")川燙小青花菜",A44)))</formula>
    </cfRule>
    <cfRule type="containsText" dxfId="147" priority="23" operator="containsText" text="湯凍">
      <formula>NOT(ISERROR(SEARCH("湯凍",A44)))</formula>
    </cfRule>
    <cfRule type="containsText" dxfId="146" priority="24" operator="containsText" text="中華">
      <formula>NOT(ISERROR(SEARCH("中華",A44)))</formula>
    </cfRule>
  </conditionalFormatting>
  <conditionalFormatting sqref="D44:D53">
    <cfRule type="cellIs" dxfId="145" priority="16" operator="greaterThan">
      <formula>0.146</formula>
    </cfRule>
  </conditionalFormatting>
  <conditionalFormatting sqref="E5">
    <cfRule type="cellIs" dxfId="144" priority="25" operator="greaterThan">
      <formula>0.072</formula>
    </cfRule>
    <cfRule type="cellIs" dxfId="143" priority="26" operator="greaterThan">
      <formula>7.2</formula>
    </cfRule>
    <cfRule type="cellIs" dxfId="142" priority="14" operator="greaterThan">
      <formula>0.0025</formula>
    </cfRule>
  </conditionalFormatting>
  <conditionalFormatting sqref="G5">
    <cfRule type="cellIs" dxfId="141" priority="3" operator="greaterThan">
      <formula>7.2</formula>
    </cfRule>
    <cfRule type="cellIs" dxfId="140" priority="2" operator="greaterThan">
      <formula>0.072</formula>
    </cfRule>
    <cfRule type="cellIs" dxfId="139" priority="1" operator="greaterThan">
      <formula>0.0025</formula>
    </cfRule>
  </conditionalFormatting>
  <conditionalFormatting sqref="H12:H22">
    <cfRule type="cellIs" dxfId="138" priority="15" operator="greaterThan">
      <formula>1.1</formula>
    </cfRule>
  </conditionalFormatting>
  <conditionalFormatting sqref="H28:H37">
    <cfRule type="cellIs" dxfId="137" priority="4" operator="greaterThan">
      <formula>1.1</formula>
    </cfRule>
  </conditionalFormatting>
  <conditionalFormatting sqref="I5">
    <cfRule type="cellIs" dxfId="13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D030-DD8E-483B-9348-B15AE28D1867}">
  <sheetPr>
    <tabColor rgb="FFFF0000"/>
    <pageSetUpPr fitToPage="1"/>
  </sheetPr>
  <dimension ref="A1:R56"/>
  <sheetViews>
    <sheetView topLeftCell="G10"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45903</v>
      </c>
      <c r="B3" s="149"/>
      <c r="C3" s="150">
        <v>7774607.1799999997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18796.060799999996</v>
      </c>
      <c r="E5" s="24">
        <f>D5/C3</f>
        <v>2.4176219280058848E-3</v>
      </c>
      <c r="F5" s="23">
        <v>57180.863099999995</v>
      </c>
      <c r="G5" s="25">
        <f>F5/C3</f>
        <v>7.3548234368800607E-3</v>
      </c>
      <c r="H5" s="26">
        <f>SUM(C12:C21)</f>
        <v>4000.8862999999997</v>
      </c>
      <c r="I5" s="27">
        <f>H5/D5</f>
        <v>0.21285770154563452</v>
      </c>
      <c r="J5" s="26">
        <f>SUM(C28:C37)</f>
        <v>14191.893499999982</v>
      </c>
      <c r="K5" s="28">
        <f>J5/F5</f>
        <v>0.24819306198964988</v>
      </c>
      <c r="L5" s="29">
        <v>2163.5178999999998</v>
      </c>
      <c r="M5" s="30">
        <f>L5/D5</f>
        <v>0.11510485750290829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03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03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03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03"/>
    </row>
    <row r="12" spans="1:18" s="46" customFormat="1" ht="24.95" customHeight="1" x14ac:dyDescent="0.25">
      <c r="A12" s="34">
        <v>1</v>
      </c>
      <c r="B12" s="35" t="s">
        <v>59</v>
      </c>
      <c r="C12" s="36">
        <v>1266.8999999999999</v>
      </c>
      <c r="D12" s="37">
        <v>4645</v>
      </c>
      <c r="E12" s="37">
        <v>4727</v>
      </c>
      <c r="F12" s="37">
        <v>0</v>
      </c>
      <c r="G12" s="36">
        <v>15.45</v>
      </c>
      <c r="H12" s="38">
        <f>(E12+F12)/D12</f>
        <v>1.0176533907427341</v>
      </c>
      <c r="I12" s="36">
        <v>1266.8999999999999</v>
      </c>
      <c r="J12" s="37">
        <v>82</v>
      </c>
      <c r="K12" s="39">
        <f>J12/D12</f>
        <v>1.7653390742734122E-2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60</v>
      </c>
      <c r="Q12" s="44" t="s">
        <v>61</v>
      </c>
      <c r="R12" s="45" t="s">
        <v>62</v>
      </c>
    </row>
    <row r="13" spans="1:18" s="46" customFormat="1" ht="24.95" customHeight="1" x14ac:dyDescent="0.25">
      <c r="A13" s="47">
        <v>2</v>
      </c>
      <c r="B13" s="35" t="s">
        <v>112</v>
      </c>
      <c r="C13" s="36">
        <v>502.32</v>
      </c>
      <c r="D13" s="37">
        <v>11156</v>
      </c>
      <c r="E13" s="37">
        <v>10868</v>
      </c>
      <c r="F13" s="37">
        <v>600</v>
      </c>
      <c r="G13" s="36">
        <v>5.46</v>
      </c>
      <c r="H13" s="38">
        <f t="shared" ref="H13:H21" si="1">(E13+F13)/D13</f>
        <v>1.0279670132664038</v>
      </c>
      <c r="I13" s="36">
        <v>1703.52</v>
      </c>
      <c r="J13" s="37">
        <v>92</v>
      </c>
      <c r="K13" s="39">
        <f>J13/D13</f>
        <v>8.2466833990677661E-3</v>
      </c>
      <c r="L13" s="40">
        <f t="shared" ref="L13:L21" si="2">((E13+F13)-D13)-J13</f>
        <v>220</v>
      </c>
      <c r="M13" s="41">
        <f t="shared" ref="M13:M21" si="3">L13/D13</f>
        <v>1.9720329867335962E-2</v>
      </c>
      <c r="N13" s="42">
        <f t="shared" si="0"/>
        <v>1201.2</v>
      </c>
      <c r="O13" s="43" t="s">
        <v>57</v>
      </c>
      <c r="P13" s="43" t="s">
        <v>64</v>
      </c>
      <c r="Q13" s="44" t="s">
        <v>113</v>
      </c>
      <c r="R13" s="45" t="s">
        <v>98</v>
      </c>
    </row>
    <row r="14" spans="1:18" s="46" customFormat="1" ht="24.95" customHeight="1" x14ac:dyDescent="0.25">
      <c r="A14" s="47">
        <v>3</v>
      </c>
      <c r="B14" s="35" t="s">
        <v>103</v>
      </c>
      <c r="C14" s="36">
        <v>320.51340000000005</v>
      </c>
      <c r="D14" s="37">
        <v>32.869999999999997</v>
      </c>
      <c r="E14" s="37">
        <v>34.700000000000003</v>
      </c>
      <c r="F14" s="37">
        <v>0</v>
      </c>
      <c r="G14" s="36">
        <v>248.46</v>
      </c>
      <c r="H14" s="38">
        <f>(E14+F14)/D14</f>
        <v>1.0556738667477945</v>
      </c>
      <c r="I14" s="36">
        <v>454.68180000000137</v>
      </c>
      <c r="J14" s="37">
        <v>1.29</v>
      </c>
      <c r="K14" s="39">
        <f t="shared" ref="K14:K21" si="4">J14/D14</f>
        <v>3.9245512625494375E-2</v>
      </c>
      <c r="L14" s="40">
        <f t="shared" si="2"/>
        <v>0.54000000000000536</v>
      </c>
      <c r="M14" s="41">
        <f t="shared" si="3"/>
        <v>1.6428354122300134E-2</v>
      </c>
      <c r="N14" s="42">
        <f t="shared" si="0"/>
        <v>134.16840000000133</v>
      </c>
      <c r="O14" s="43" t="s">
        <v>57</v>
      </c>
      <c r="P14" s="44" t="s">
        <v>67</v>
      </c>
      <c r="Q14" s="44"/>
      <c r="R14" s="45" t="s">
        <v>58</v>
      </c>
    </row>
    <row r="15" spans="1:18" s="46" customFormat="1" ht="24.95" customHeight="1" x14ac:dyDescent="0.25">
      <c r="A15" s="34">
        <v>4</v>
      </c>
      <c r="B15" s="35" t="s">
        <v>76</v>
      </c>
      <c r="C15" s="36">
        <v>295.28159999999997</v>
      </c>
      <c r="D15" s="37">
        <v>63.67</v>
      </c>
      <c r="E15" s="37">
        <v>66.41</v>
      </c>
      <c r="F15" s="37">
        <v>0</v>
      </c>
      <c r="G15" s="36">
        <v>108.96</v>
      </c>
      <c r="H15" s="38">
        <f>(E15+F15)/D15</f>
        <v>1.043034396104916</v>
      </c>
      <c r="I15" s="36">
        <v>298.5503999999994</v>
      </c>
      <c r="J15" s="37">
        <v>2.71</v>
      </c>
      <c r="K15" s="39">
        <f t="shared" si="4"/>
        <v>4.2563216585519079E-2</v>
      </c>
      <c r="L15" s="40">
        <f t="shared" si="2"/>
        <v>2.999999999999492E-2</v>
      </c>
      <c r="M15" s="41">
        <f t="shared" si="3"/>
        <v>4.711795193968104E-4</v>
      </c>
      <c r="N15" s="42">
        <f t="shared" si="0"/>
        <v>3.2687999999994464</v>
      </c>
      <c r="O15" s="43" t="s">
        <v>57</v>
      </c>
      <c r="P15" s="43" t="s">
        <v>235</v>
      </c>
      <c r="Q15" s="44"/>
      <c r="R15" s="45" t="s">
        <v>77</v>
      </c>
    </row>
    <row r="16" spans="1:18" s="46" customFormat="1" ht="24.95" customHeight="1" x14ac:dyDescent="0.25">
      <c r="A16" s="47">
        <v>5</v>
      </c>
      <c r="B16" s="35" t="s">
        <v>66</v>
      </c>
      <c r="C16" s="36">
        <v>282.82100000000003</v>
      </c>
      <c r="D16" s="37">
        <v>51.35</v>
      </c>
      <c r="E16" s="37">
        <v>54.27</v>
      </c>
      <c r="F16" s="37">
        <v>0</v>
      </c>
      <c r="G16" s="36">
        <v>183.65</v>
      </c>
      <c r="H16" s="38">
        <f t="shared" si="1"/>
        <v>1.0568646543330087</v>
      </c>
      <c r="I16" s="36">
        <v>536.25800000000038</v>
      </c>
      <c r="J16" s="37">
        <v>1.54</v>
      </c>
      <c r="K16" s="39">
        <f t="shared" si="4"/>
        <v>2.9990262901655306E-2</v>
      </c>
      <c r="L16" s="40">
        <f t="shared" si="2"/>
        <v>1.3800000000000017</v>
      </c>
      <c r="M16" s="41">
        <f t="shared" si="3"/>
        <v>2.6874391431353489E-2</v>
      </c>
      <c r="N16" s="42">
        <f t="shared" si="0"/>
        <v>253.43700000000032</v>
      </c>
      <c r="O16" s="43" t="s">
        <v>57</v>
      </c>
      <c r="P16" s="44" t="s">
        <v>67</v>
      </c>
      <c r="Q16" s="44"/>
      <c r="R16" s="45" t="s">
        <v>68</v>
      </c>
    </row>
    <row r="17" spans="1:18" s="46" customFormat="1" ht="24.95" customHeight="1" x14ac:dyDescent="0.25">
      <c r="A17" s="34">
        <v>6</v>
      </c>
      <c r="B17" s="35" t="s">
        <v>114</v>
      </c>
      <c r="C17" s="36">
        <v>272.00639999999999</v>
      </c>
      <c r="D17" s="37">
        <v>108.17</v>
      </c>
      <c r="E17" s="37">
        <v>111.32</v>
      </c>
      <c r="F17" s="37">
        <v>0</v>
      </c>
      <c r="G17" s="36">
        <v>141.66999999999999</v>
      </c>
      <c r="H17" s="38">
        <f t="shared" si="1"/>
        <v>1.0291208283257833</v>
      </c>
      <c r="I17" s="36">
        <v>446.26049999999873</v>
      </c>
      <c r="J17" s="37">
        <v>1.92</v>
      </c>
      <c r="K17" s="39">
        <f t="shared" si="4"/>
        <v>1.7749838217620412E-2</v>
      </c>
      <c r="L17" s="40">
        <f t="shared" si="2"/>
        <v>1.2299999999999915</v>
      </c>
      <c r="M17" s="41">
        <f t="shared" si="3"/>
        <v>1.1370990108162999E-2</v>
      </c>
      <c r="N17" s="42">
        <f t="shared" si="0"/>
        <v>174.2540999999988</v>
      </c>
      <c r="O17" s="43" t="s">
        <v>57</v>
      </c>
      <c r="P17" s="44" t="s">
        <v>235</v>
      </c>
      <c r="Q17" s="44"/>
      <c r="R17" s="45" t="s">
        <v>95</v>
      </c>
    </row>
    <row r="18" spans="1:18" s="46" customFormat="1" ht="24.95" customHeight="1" x14ac:dyDescent="0.25">
      <c r="A18" s="47">
        <v>7</v>
      </c>
      <c r="B18" s="35" t="s">
        <v>115</v>
      </c>
      <c r="C18" s="36">
        <v>270.73860000000002</v>
      </c>
      <c r="D18" s="37">
        <v>33.01</v>
      </c>
      <c r="E18" s="37">
        <v>33.9</v>
      </c>
      <c r="F18" s="37">
        <v>0</v>
      </c>
      <c r="G18" s="36">
        <v>530.86</v>
      </c>
      <c r="H18" s="38">
        <f t="shared" si="1"/>
        <v>1.0269615268100576</v>
      </c>
      <c r="I18" s="36">
        <v>472.46540000000033</v>
      </c>
      <c r="J18" s="37">
        <v>0.51</v>
      </c>
      <c r="K18" s="39">
        <f t="shared" si="4"/>
        <v>1.5449863677673434E-2</v>
      </c>
      <c r="L18" s="40">
        <f>((E18+F18)-D18)-J18</f>
        <v>0.38000000000000056</v>
      </c>
      <c r="M18" s="41">
        <f t="shared" si="3"/>
        <v>1.1511663132384144E-2</v>
      </c>
      <c r="N18" s="42">
        <f t="shared" si="0"/>
        <v>201.72680000000031</v>
      </c>
      <c r="O18" s="43" t="s">
        <v>57</v>
      </c>
      <c r="P18" s="44" t="s">
        <v>235</v>
      </c>
      <c r="Q18" s="44"/>
      <c r="R18" s="45" t="s">
        <v>116</v>
      </c>
    </row>
    <row r="19" spans="1:18" s="46" customFormat="1" ht="24.95" customHeight="1" x14ac:dyDescent="0.25">
      <c r="A19" s="34">
        <v>8</v>
      </c>
      <c r="B19" s="35" t="s">
        <v>117</v>
      </c>
      <c r="C19" s="36">
        <v>267.84000000000003</v>
      </c>
      <c r="D19" s="37">
        <v>130.88</v>
      </c>
      <c r="E19" s="37">
        <v>127.39</v>
      </c>
      <c r="F19" s="37">
        <v>11.5</v>
      </c>
      <c r="G19" s="36">
        <v>96</v>
      </c>
      <c r="H19" s="38">
        <f t="shared" si="1"/>
        <v>1.0612011002444988</v>
      </c>
      <c r="I19" s="36">
        <v>768.95999999999913</v>
      </c>
      <c r="J19" s="37">
        <v>2.79</v>
      </c>
      <c r="K19" s="39">
        <f t="shared" si="4"/>
        <v>2.131723716381418E-2</v>
      </c>
      <c r="L19" s="40">
        <f t="shared" si="2"/>
        <v>5.2199999999999909</v>
      </c>
      <c r="M19" s="41">
        <f t="shared" si="3"/>
        <v>3.9883863080684527E-2</v>
      </c>
      <c r="N19" s="42">
        <f t="shared" si="0"/>
        <v>501.1199999999991</v>
      </c>
      <c r="O19" s="43" t="s">
        <v>57</v>
      </c>
      <c r="P19" s="44" t="s">
        <v>118</v>
      </c>
      <c r="Q19" s="44"/>
      <c r="R19" s="45" t="s">
        <v>119</v>
      </c>
    </row>
    <row r="20" spans="1:18" s="46" customFormat="1" ht="24.95" customHeight="1" x14ac:dyDescent="0.25">
      <c r="A20" s="47">
        <v>9</v>
      </c>
      <c r="B20" s="35" t="s">
        <v>120</v>
      </c>
      <c r="C20" s="36">
        <v>262.21530000000001</v>
      </c>
      <c r="D20" s="37">
        <v>21.67</v>
      </c>
      <c r="E20" s="37">
        <v>22.78</v>
      </c>
      <c r="F20" s="37">
        <v>0</v>
      </c>
      <c r="G20" s="36">
        <v>236.23</v>
      </c>
      <c r="H20" s="38">
        <f t="shared" si="1"/>
        <v>1.0512228887863406</v>
      </c>
      <c r="I20" s="36">
        <v>262.21529999999984</v>
      </c>
      <c r="J20" s="37">
        <v>1.1100000000000001</v>
      </c>
      <c r="K20" s="39">
        <f t="shared" si="4"/>
        <v>5.1222888786340563E-2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67</v>
      </c>
      <c r="Q20" s="44"/>
      <c r="R20" s="45" t="s">
        <v>121</v>
      </c>
    </row>
    <row r="21" spans="1:18" s="46" customFormat="1" ht="24.95" customHeight="1" thickBot="1" x14ac:dyDescent="0.3">
      <c r="A21" s="48">
        <v>10</v>
      </c>
      <c r="B21" s="49" t="s">
        <v>63</v>
      </c>
      <c r="C21" s="50">
        <v>260.25</v>
      </c>
      <c r="D21" s="51">
        <v>3825</v>
      </c>
      <c r="E21" s="51">
        <v>3850</v>
      </c>
      <c r="F21" s="51">
        <v>0</v>
      </c>
      <c r="G21" s="50">
        <v>10.41</v>
      </c>
      <c r="H21" s="52">
        <f t="shared" si="1"/>
        <v>1.0065359477124183</v>
      </c>
      <c r="I21" s="50">
        <v>260.25</v>
      </c>
      <c r="J21" s="51">
        <v>25</v>
      </c>
      <c r="K21" s="53">
        <f t="shared" si="4"/>
        <v>6.5359477124183009E-3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7" t="s">
        <v>64</v>
      </c>
      <c r="Q21" s="57"/>
      <c r="R21" s="58" t="s">
        <v>65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82</v>
      </c>
      <c r="C28" s="36">
        <v>2193.7583999999993</v>
      </c>
      <c r="D28" s="37">
        <v>722.38</v>
      </c>
      <c r="E28" s="37">
        <v>718.46</v>
      </c>
      <c r="F28" s="37">
        <v>18.8</v>
      </c>
      <c r="G28" s="36">
        <v>147.43</v>
      </c>
      <c r="H28" s="68">
        <f t="shared" ref="H28:H37" si="5">(E28+F28)/D28</f>
        <v>1.0205985769262715</v>
      </c>
      <c r="I28" s="36">
        <v>2193.7583999999993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14.879999999999995</v>
      </c>
      <c r="N28" s="41">
        <f t="shared" ref="N28:N37" si="9">M28/D28</f>
        <v>2.0598576926271487E-2</v>
      </c>
      <c r="O28" s="43" t="s">
        <v>83</v>
      </c>
      <c r="P28" s="69" t="s">
        <v>84</v>
      </c>
      <c r="Q28" s="44" t="s">
        <v>85</v>
      </c>
      <c r="R28" s="45" t="s">
        <v>58</v>
      </c>
    </row>
    <row r="29" spans="1:18" s="67" customFormat="1" ht="24.95" customHeight="1" x14ac:dyDescent="0.25">
      <c r="A29" s="47">
        <v>2</v>
      </c>
      <c r="B29" s="35" t="s">
        <v>90</v>
      </c>
      <c r="C29" s="36">
        <v>1730.1768000000004</v>
      </c>
      <c r="D29" s="37">
        <v>54.58</v>
      </c>
      <c r="E29" s="37">
        <v>53.38</v>
      </c>
      <c r="F29" s="37">
        <v>3.84</v>
      </c>
      <c r="G29" s="36">
        <v>655.37</v>
      </c>
      <c r="H29" s="68">
        <f t="shared" si="5"/>
        <v>1.0483693660681568</v>
      </c>
      <c r="I29" s="36">
        <v>1730.1768000000004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2.6400000000000006</v>
      </c>
      <c r="N29" s="41">
        <f t="shared" si="9"/>
        <v>4.8369366068156845E-2</v>
      </c>
      <c r="O29" s="43" t="s">
        <v>83</v>
      </c>
      <c r="P29" s="69" t="s">
        <v>235</v>
      </c>
      <c r="Q29" s="44"/>
      <c r="R29" s="45" t="s">
        <v>77</v>
      </c>
    </row>
    <row r="30" spans="1:18" s="67" customFormat="1" ht="24.95" customHeight="1" x14ac:dyDescent="0.25">
      <c r="A30" s="47">
        <v>3</v>
      </c>
      <c r="B30" s="35" t="s">
        <v>122</v>
      </c>
      <c r="C30" s="36">
        <v>1610.9786000000065</v>
      </c>
      <c r="D30" s="37">
        <v>25.58</v>
      </c>
      <c r="E30" s="37">
        <v>26.35</v>
      </c>
      <c r="F30" s="37">
        <v>0</v>
      </c>
      <c r="G30" s="36">
        <v>2092.1799999999998</v>
      </c>
      <c r="H30" s="68">
        <f t="shared" si="5"/>
        <v>1.0301016419077405</v>
      </c>
      <c r="I30" s="36">
        <v>1610.9786000000065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0.77000000000000313</v>
      </c>
      <c r="N30" s="41">
        <f t="shared" si="9"/>
        <v>3.0101641907740548E-2</v>
      </c>
      <c r="O30" s="43" t="s">
        <v>83</v>
      </c>
      <c r="P30" s="69" t="s">
        <v>235</v>
      </c>
      <c r="Q30" s="44"/>
      <c r="R30" s="45" t="s">
        <v>123</v>
      </c>
    </row>
    <row r="31" spans="1:18" s="67" customFormat="1" ht="24.95" customHeight="1" x14ac:dyDescent="0.25">
      <c r="A31" s="34">
        <v>4</v>
      </c>
      <c r="B31" s="35" t="s">
        <v>89</v>
      </c>
      <c r="C31" s="36">
        <v>1477.2412000000027</v>
      </c>
      <c r="D31" s="37">
        <v>71.64</v>
      </c>
      <c r="E31" s="37">
        <v>72.03</v>
      </c>
      <c r="F31" s="37">
        <v>1.84</v>
      </c>
      <c r="G31" s="36">
        <v>662.44</v>
      </c>
      <c r="H31" s="68">
        <f t="shared" si="5"/>
        <v>1.0311278615298716</v>
      </c>
      <c r="I31" s="36">
        <v>1477.2412000000027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2.230000000000004</v>
      </c>
      <c r="N31" s="41">
        <f t="shared" si="9"/>
        <v>3.1127861529871636E-2</v>
      </c>
      <c r="O31" s="43" t="s">
        <v>83</v>
      </c>
      <c r="P31" s="69" t="s">
        <v>235</v>
      </c>
      <c r="Q31" s="44"/>
      <c r="R31" s="45" t="s">
        <v>58</v>
      </c>
    </row>
    <row r="32" spans="1:18" s="67" customFormat="1" ht="24.95" customHeight="1" x14ac:dyDescent="0.25">
      <c r="A32" s="47">
        <v>5</v>
      </c>
      <c r="B32" s="35" t="s">
        <v>124</v>
      </c>
      <c r="C32" s="36">
        <v>1440.5871999999988</v>
      </c>
      <c r="D32" s="37">
        <v>48.76</v>
      </c>
      <c r="E32" s="37">
        <v>49.04</v>
      </c>
      <c r="F32" s="37">
        <v>1.8</v>
      </c>
      <c r="G32" s="36">
        <v>692.59</v>
      </c>
      <c r="H32" s="68">
        <f t="shared" si="5"/>
        <v>1.0426579163248564</v>
      </c>
      <c r="I32" s="36">
        <v>1440.5871999999988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2.0799999999999983</v>
      </c>
      <c r="N32" s="41">
        <f t="shared" si="9"/>
        <v>4.265791632485641E-2</v>
      </c>
      <c r="O32" s="43" t="s">
        <v>83</v>
      </c>
      <c r="P32" s="69" t="s">
        <v>235</v>
      </c>
      <c r="Q32" s="44"/>
      <c r="R32" s="45" t="s">
        <v>121</v>
      </c>
    </row>
    <row r="33" spans="1:18" s="67" customFormat="1" ht="24.95" customHeight="1" x14ac:dyDescent="0.25">
      <c r="A33" s="34">
        <v>6</v>
      </c>
      <c r="B33" s="35" t="s">
        <v>110</v>
      </c>
      <c r="C33" s="36">
        <v>1247.0303999999996</v>
      </c>
      <c r="D33" s="37">
        <v>98.61</v>
      </c>
      <c r="E33" s="37">
        <v>98.82</v>
      </c>
      <c r="F33" s="37">
        <v>3.15</v>
      </c>
      <c r="G33" s="36">
        <v>371.14</v>
      </c>
      <c r="H33" s="68">
        <f t="shared" si="5"/>
        <v>1.0340736233647703</v>
      </c>
      <c r="I33" s="36">
        <v>1247.0303999999996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3.3599999999999994</v>
      </c>
      <c r="N33" s="41">
        <f t="shared" si="9"/>
        <v>3.4073623364770302E-2</v>
      </c>
      <c r="O33" s="43" t="s">
        <v>83</v>
      </c>
      <c r="P33" s="69" t="s">
        <v>235</v>
      </c>
      <c r="Q33" s="44"/>
      <c r="R33" s="45" t="s">
        <v>58</v>
      </c>
    </row>
    <row r="34" spans="1:18" s="67" customFormat="1" ht="24.95" customHeight="1" x14ac:dyDescent="0.25">
      <c r="A34" s="47">
        <v>7</v>
      </c>
      <c r="B34" s="35" t="s">
        <v>92</v>
      </c>
      <c r="C34" s="36">
        <v>1237.9785999999997</v>
      </c>
      <c r="D34" s="37">
        <v>312.2</v>
      </c>
      <c r="E34" s="37">
        <v>311.63</v>
      </c>
      <c r="F34" s="37">
        <v>18.2</v>
      </c>
      <c r="G34" s="36">
        <v>70.22</v>
      </c>
      <c r="H34" s="68">
        <f t="shared" si="5"/>
        <v>1.0564702114029467</v>
      </c>
      <c r="I34" s="36">
        <v>1237.9785999999997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17.629999999999995</v>
      </c>
      <c r="N34" s="41">
        <f t="shared" si="9"/>
        <v>5.6470211402946814E-2</v>
      </c>
      <c r="O34" s="43" t="s">
        <v>83</v>
      </c>
      <c r="P34" s="43" t="s">
        <v>60</v>
      </c>
      <c r="Q34" s="44"/>
      <c r="R34" s="45" t="s">
        <v>93</v>
      </c>
    </row>
    <row r="35" spans="1:18" s="67" customFormat="1" ht="24.95" customHeight="1" x14ac:dyDescent="0.25">
      <c r="A35" s="34">
        <v>8</v>
      </c>
      <c r="B35" s="35" t="s">
        <v>112</v>
      </c>
      <c r="C35" s="36">
        <v>1201.2</v>
      </c>
      <c r="D35" s="37">
        <v>11156</v>
      </c>
      <c r="E35" s="37">
        <v>10868</v>
      </c>
      <c r="F35" s="37">
        <v>600</v>
      </c>
      <c r="G35" s="36">
        <v>5.46</v>
      </c>
      <c r="H35" s="68">
        <f t="shared" si="5"/>
        <v>1.0279670132664038</v>
      </c>
      <c r="I35" s="36">
        <v>1703.52</v>
      </c>
      <c r="J35" s="37">
        <v>92</v>
      </c>
      <c r="K35" s="39">
        <f t="shared" si="6"/>
        <v>8.2466833990677661E-3</v>
      </c>
      <c r="L35" s="42">
        <f t="shared" si="7"/>
        <v>502.32</v>
      </c>
      <c r="M35" s="40">
        <f t="shared" si="8"/>
        <v>220</v>
      </c>
      <c r="N35" s="41">
        <f t="shared" si="9"/>
        <v>1.9720329867335962E-2</v>
      </c>
      <c r="O35" s="43" t="s">
        <v>83</v>
      </c>
      <c r="P35" s="69" t="s">
        <v>235</v>
      </c>
      <c r="Q35" s="44"/>
      <c r="R35" s="45" t="s">
        <v>98</v>
      </c>
    </row>
    <row r="36" spans="1:18" s="67" customFormat="1" ht="24.95" customHeight="1" x14ac:dyDescent="0.25">
      <c r="A36" s="47">
        <v>9</v>
      </c>
      <c r="B36" s="35" t="s">
        <v>91</v>
      </c>
      <c r="C36" s="36">
        <v>1057.9508999999991</v>
      </c>
      <c r="D36" s="37">
        <v>579.87</v>
      </c>
      <c r="E36" s="37">
        <v>575.42999999999995</v>
      </c>
      <c r="F36" s="37">
        <v>36.47</v>
      </c>
      <c r="G36" s="36">
        <v>33.03</v>
      </c>
      <c r="H36" s="68">
        <f t="shared" si="5"/>
        <v>1.0552365185300152</v>
      </c>
      <c r="I36" s="36">
        <v>1057.9508999999991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32.029999999999973</v>
      </c>
      <c r="N36" s="41">
        <f t="shared" si="9"/>
        <v>5.5236518530015301E-2</v>
      </c>
      <c r="O36" s="43" t="s">
        <v>97</v>
      </c>
      <c r="P36" s="69" t="s">
        <v>235</v>
      </c>
      <c r="Q36" s="44"/>
      <c r="R36" s="45" t="s">
        <v>77</v>
      </c>
    </row>
    <row r="37" spans="1:18" s="67" customFormat="1" ht="24.95" customHeight="1" thickBot="1" x14ac:dyDescent="0.3">
      <c r="A37" s="48">
        <v>10</v>
      </c>
      <c r="B37" s="49" t="s">
        <v>86</v>
      </c>
      <c r="C37" s="50">
        <v>994.99139999997283</v>
      </c>
      <c r="D37" s="51">
        <v>4300.1400000000003</v>
      </c>
      <c r="E37" s="51">
        <v>4275</v>
      </c>
      <c r="F37" s="51">
        <v>50.4</v>
      </c>
      <c r="G37" s="50">
        <v>39.39</v>
      </c>
      <c r="H37" s="70">
        <f t="shared" si="5"/>
        <v>1.0058742273507373</v>
      </c>
      <c r="I37" s="50">
        <v>994.99139999997283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25.259999999999309</v>
      </c>
      <c r="N37" s="55">
        <f t="shared" si="9"/>
        <v>5.874227350737257E-3</v>
      </c>
      <c r="O37" s="57" t="s">
        <v>97</v>
      </c>
      <c r="P37" s="71" t="s">
        <v>60</v>
      </c>
      <c r="Q37" s="72" t="s">
        <v>87</v>
      </c>
      <c r="R37" s="58" t="s">
        <v>58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103</v>
      </c>
      <c r="C44" s="36">
        <v>320.51340000000005</v>
      </c>
      <c r="D44" s="78">
        <f t="shared" ref="D44:D53" si="10">C44/$L$5</f>
        <v>0.14814455660385342</v>
      </c>
      <c r="E44" s="79"/>
    </row>
    <row r="45" spans="1:18" s="80" customFormat="1" ht="24.95" customHeight="1" x14ac:dyDescent="0.25">
      <c r="A45" s="81">
        <v>2</v>
      </c>
      <c r="B45" s="35" t="s">
        <v>73</v>
      </c>
      <c r="C45" s="36">
        <v>239.9624</v>
      </c>
      <c r="D45" s="78">
        <f t="shared" si="10"/>
        <v>0.11091306431992082</v>
      </c>
      <c r="E45" s="79"/>
    </row>
    <row r="46" spans="1:18" s="80" customFormat="1" ht="24.95" customHeight="1" x14ac:dyDescent="0.25">
      <c r="A46" s="81">
        <v>3</v>
      </c>
      <c r="B46" s="35" t="s">
        <v>125</v>
      </c>
      <c r="C46" s="36">
        <v>229.99999999999997</v>
      </c>
      <c r="D46" s="78">
        <f t="shared" si="10"/>
        <v>0.10630834161344355</v>
      </c>
      <c r="E46" s="79"/>
    </row>
    <row r="47" spans="1:18" s="80" customFormat="1" ht="24.95" customHeight="1" x14ac:dyDescent="0.25">
      <c r="A47" s="77">
        <v>4</v>
      </c>
      <c r="B47" s="35" t="s">
        <v>126</v>
      </c>
      <c r="C47" s="36">
        <v>224.06</v>
      </c>
      <c r="D47" s="78">
        <f t="shared" si="10"/>
        <v>0.10356281313873114</v>
      </c>
      <c r="E47" s="79"/>
    </row>
    <row r="48" spans="1:18" s="80" customFormat="1" ht="24.95" customHeight="1" x14ac:dyDescent="0.25">
      <c r="A48" s="81">
        <v>5</v>
      </c>
      <c r="B48" s="35" t="s">
        <v>105</v>
      </c>
      <c r="C48" s="36">
        <v>156.80000000000001</v>
      </c>
      <c r="D48" s="78">
        <f t="shared" si="10"/>
        <v>7.2474556369512833E-2</v>
      </c>
      <c r="E48" s="79"/>
    </row>
    <row r="49" spans="1:5" s="80" customFormat="1" ht="24.95" customHeight="1" x14ac:dyDescent="0.25">
      <c r="A49" s="77">
        <v>6</v>
      </c>
      <c r="B49" s="35" t="s">
        <v>104</v>
      </c>
      <c r="C49" s="36">
        <v>136.88999999999999</v>
      </c>
      <c r="D49" s="78">
        <f t="shared" si="10"/>
        <v>6.3271951667236037E-2</v>
      </c>
      <c r="E49" s="79"/>
    </row>
    <row r="50" spans="1:5" s="80" customFormat="1" ht="24.95" customHeight="1" x14ac:dyDescent="0.25">
      <c r="A50" s="81">
        <v>7</v>
      </c>
      <c r="B50" s="35" t="s">
        <v>106</v>
      </c>
      <c r="C50" s="36">
        <v>129.768</v>
      </c>
      <c r="D50" s="78">
        <f t="shared" si="10"/>
        <v>5.9980090758666713E-2</v>
      </c>
      <c r="E50" s="79"/>
    </row>
    <row r="51" spans="1:5" s="80" customFormat="1" ht="24.95" customHeight="1" x14ac:dyDescent="0.25">
      <c r="A51" s="77">
        <v>8</v>
      </c>
      <c r="B51" s="35" t="s">
        <v>107</v>
      </c>
      <c r="C51" s="36">
        <v>128.76299999999998</v>
      </c>
      <c r="D51" s="78">
        <f t="shared" si="10"/>
        <v>5.9515569526834046E-2</v>
      </c>
      <c r="E51" s="79"/>
    </row>
    <row r="52" spans="1:5" s="80" customFormat="1" ht="24.95" customHeight="1" x14ac:dyDescent="0.25">
      <c r="A52" s="81">
        <v>9</v>
      </c>
      <c r="B52" s="35" t="s">
        <v>56</v>
      </c>
      <c r="C52" s="36">
        <v>127.84</v>
      </c>
      <c r="D52" s="78">
        <f t="shared" si="10"/>
        <v>5.9088949529837502E-2</v>
      </c>
      <c r="E52" s="79"/>
    </row>
    <row r="53" spans="1:5" s="80" customFormat="1" ht="24.95" customHeight="1" thickBot="1" x14ac:dyDescent="0.3">
      <c r="A53" s="82">
        <v>10</v>
      </c>
      <c r="B53" s="49" t="s">
        <v>108</v>
      </c>
      <c r="C53" s="50">
        <v>118.52850000000001</v>
      </c>
      <c r="D53" s="83">
        <f t="shared" si="10"/>
        <v>5.4785079430126282E-2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35" priority="34" operator="containsText" text="中華">
      <formula>NOT(ISERROR(SEARCH("中華",A12)))</formula>
    </cfRule>
    <cfRule type="containsText" dxfId="134" priority="33" operator="containsText" text="湯凍">
      <formula>NOT(ISERROR(SEARCH("湯凍",A12)))</formula>
    </cfRule>
    <cfRule type="containsText" dxfId="133" priority="32" operator="containsText" text=")川燙小青花菜">
      <formula>NOT(ISERROR(SEARCH(")川燙小青花菜",A12)))</formula>
    </cfRule>
    <cfRule type="containsText" dxfId="132" priority="31" operator="containsText" text="青蔥">
      <formula>NOT(ISERROR(SEARCH("青蔥",A12)))</formula>
    </cfRule>
    <cfRule type="containsText" dxfId="131" priority="30" operator="containsText" text="白醬">
      <formula>NOT(ISERROR(SEARCH("白醬",A12)))</formula>
    </cfRule>
    <cfRule type="containsText" dxfId="130" priority="29" operator="containsText" text="024">
      <formula>NOT(ISERROR(SEARCH("024",A12)))</formula>
    </cfRule>
    <cfRule type="containsText" dxfId="129" priority="28" operator="containsText" text="煮白細麵生(方#12)">
      <formula>NOT(ISERROR(SEARCH("煮白細麵生(方#12)",A12)))</formula>
    </cfRule>
    <cfRule type="containsText" dxfId="128" priority="27" operator="containsText" text="綠豆芽">
      <formula>NOT(ISERROR(SEARCH("綠豆芽",A12)))</formula>
    </cfRule>
  </conditionalFormatting>
  <conditionalFormatting sqref="A28:A37">
    <cfRule type="containsText" dxfId="127" priority="5" operator="containsText" text="綠豆芽">
      <formula>NOT(ISERROR(SEARCH("綠豆芽",A28)))</formula>
    </cfRule>
    <cfRule type="containsText" dxfId="126" priority="6" operator="containsText" text="煮白細麵生(方#12)">
      <formula>NOT(ISERROR(SEARCH("煮白細麵生(方#12)",A28)))</formula>
    </cfRule>
    <cfRule type="containsText" dxfId="125" priority="7" operator="containsText" text="024">
      <formula>NOT(ISERROR(SEARCH("024",A28)))</formula>
    </cfRule>
    <cfRule type="containsText" dxfId="124" priority="8" operator="containsText" text="白醬">
      <formula>NOT(ISERROR(SEARCH("白醬",A28)))</formula>
    </cfRule>
    <cfRule type="containsText" dxfId="123" priority="9" operator="containsText" text="青蔥">
      <formula>NOT(ISERROR(SEARCH("青蔥",A28)))</formula>
    </cfRule>
    <cfRule type="containsText" dxfId="122" priority="10" operator="containsText" text=")川燙小青花菜">
      <formula>NOT(ISERROR(SEARCH(")川燙小青花菜",A28)))</formula>
    </cfRule>
    <cfRule type="containsText" dxfId="121" priority="11" operator="containsText" text="湯凍">
      <formula>NOT(ISERROR(SEARCH("湯凍",A28)))</formula>
    </cfRule>
    <cfRule type="containsText" dxfId="120" priority="12" operator="containsText" text="中華">
      <formula>NOT(ISERROR(SEARCH("中華",A28)))</formula>
    </cfRule>
  </conditionalFormatting>
  <conditionalFormatting sqref="A44:A53">
    <cfRule type="containsText" dxfId="119" priority="17" operator="containsText" text="綠豆芽">
      <formula>NOT(ISERROR(SEARCH("綠豆芽",A44)))</formula>
    </cfRule>
    <cfRule type="containsText" dxfId="118" priority="18" operator="containsText" text="煮白細麵生(方#12)">
      <formula>NOT(ISERROR(SEARCH("煮白細麵生(方#12)",A44)))</formula>
    </cfRule>
    <cfRule type="containsText" dxfId="117" priority="19" operator="containsText" text="024">
      <formula>NOT(ISERROR(SEARCH("024",A44)))</formula>
    </cfRule>
    <cfRule type="containsText" dxfId="116" priority="20" operator="containsText" text="白醬">
      <formula>NOT(ISERROR(SEARCH("白醬",A44)))</formula>
    </cfRule>
    <cfRule type="containsText" dxfId="115" priority="21" operator="containsText" text="青蔥">
      <formula>NOT(ISERROR(SEARCH("青蔥",A44)))</formula>
    </cfRule>
    <cfRule type="containsText" dxfId="114" priority="22" operator="containsText" text=")川燙小青花菜">
      <formula>NOT(ISERROR(SEARCH(")川燙小青花菜",A44)))</formula>
    </cfRule>
    <cfRule type="containsText" dxfId="113" priority="23" operator="containsText" text="湯凍">
      <formula>NOT(ISERROR(SEARCH("湯凍",A44)))</formula>
    </cfRule>
    <cfRule type="containsText" dxfId="112" priority="24" operator="containsText" text="中華">
      <formula>NOT(ISERROR(SEARCH("中華",A44)))</formula>
    </cfRule>
  </conditionalFormatting>
  <conditionalFormatting sqref="D44:D53">
    <cfRule type="cellIs" dxfId="111" priority="16" operator="greaterThan">
      <formula>0.146</formula>
    </cfRule>
  </conditionalFormatting>
  <conditionalFormatting sqref="E5">
    <cfRule type="cellIs" dxfId="110" priority="25" operator="greaterThan">
      <formula>0.072</formula>
    </cfRule>
    <cfRule type="cellIs" dxfId="109" priority="26" operator="greaterThan">
      <formula>7.2</formula>
    </cfRule>
    <cfRule type="cellIs" dxfId="108" priority="14" operator="greaterThan">
      <formula>0.0025</formula>
    </cfRule>
  </conditionalFormatting>
  <conditionalFormatting sqref="G5">
    <cfRule type="cellIs" dxfId="107" priority="3" operator="greaterThan">
      <formula>7.2</formula>
    </cfRule>
    <cfRule type="cellIs" dxfId="106" priority="2" operator="greaterThan">
      <formula>0.072</formula>
    </cfRule>
    <cfRule type="cellIs" dxfId="105" priority="1" operator="greaterThan">
      <formula>0.0025</formula>
    </cfRule>
  </conditionalFormatting>
  <conditionalFormatting sqref="H12:H22">
    <cfRule type="cellIs" dxfId="104" priority="15" operator="greaterThan">
      <formula>1.1</formula>
    </cfRule>
  </conditionalFormatting>
  <conditionalFormatting sqref="H28:H37">
    <cfRule type="cellIs" dxfId="103" priority="4" operator="greaterThan">
      <formula>1.1</formula>
    </cfRule>
  </conditionalFormatting>
  <conditionalFormatting sqref="I5">
    <cfRule type="cellIs" dxfId="10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E70A-C255-402D-A3F1-F7B6D0BF4C7B}">
  <sheetPr>
    <tabColor rgb="FFFF0000"/>
    <pageSetUpPr fitToPage="1"/>
  </sheetPr>
  <dimension ref="A1:R56"/>
  <sheetViews>
    <sheetView topLeftCell="G13"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45902</v>
      </c>
      <c r="B3" s="149"/>
      <c r="C3" s="150">
        <v>8169292.4199999999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19804.523799999995</v>
      </c>
      <c r="E5" s="24">
        <f>D5/C3</f>
        <v>2.4242642791822105E-3</v>
      </c>
      <c r="F5" s="23">
        <v>60496.908400000029</v>
      </c>
      <c r="G5" s="25">
        <f>F5/C3</f>
        <v>7.405403710594562E-3</v>
      </c>
      <c r="H5" s="26">
        <f>SUM(C12:C21)</f>
        <v>4567.9904999999999</v>
      </c>
      <c r="I5" s="27">
        <f>H5/D5</f>
        <v>0.23065389231928923</v>
      </c>
      <c r="J5" s="26">
        <f>SUM(C28:C37)</f>
        <v>16402.992699999995</v>
      </c>
      <c r="K5" s="28">
        <f>J5/F5</f>
        <v>0.27113770164162615</v>
      </c>
      <c r="L5" s="29">
        <v>2613.1788999999999</v>
      </c>
      <c r="M5" s="30">
        <f>L5/D5</f>
        <v>0.13194858540350263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03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03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03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03"/>
    </row>
    <row r="12" spans="1:18" s="46" customFormat="1" ht="24.95" customHeight="1" x14ac:dyDescent="0.25">
      <c r="A12" s="34">
        <v>1</v>
      </c>
      <c r="B12" s="35" t="s">
        <v>127</v>
      </c>
      <c r="C12" s="36">
        <v>861.91380000000004</v>
      </c>
      <c r="D12" s="37">
        <v>121.17</v>
      </c>
      <c r="E12" s="37">
        <v>126.72</v>
      </c>
      <c r="F12" s="37">
        <v>0</v>
      </c>
      <c r="G12" s="36">
        <v>426.69</v>
      </c>
      <c r="H12" s="38">
        <f>(E12+F12)/D12</f>
        <v>1.0458034166872987</v>
      </c>
      <c r="I12" s="36">
        <v>2368.1294999999986</v>
      </c>
      <c r="J12" s="37">
        <v>2.02</v>
      </c>
      <c r="K12" s="39">
        <f>J12/D12</f>
        <v>1.667079310060246E-2</v>
      </c>
      <c r="L12" s="40">
        <f>((E12+F12)-D12)-J12</f>
        <v>3.5299999999999971</v>
      </c>
      <c r="M12" s="41">
        <f>L12/D12</f>
        <v>2.9132623586696355E-2</v>
      </c>
      <c r="N12" s="42">
        <f t="shared" ref="N12:N21" si="0">L12*G12</f>
        <v>1506.2156999999988</v>
      </c>
      <c r="O12" s="43" t="s">
        <v>57</v>
      </c>
      <c r="P12" s="43" t="s">
        <v>235</v>
      </c>
      <c r="Q12" s="44"/>
      <c r="R12" s="45" t="s">
        <v>128</v>
      </c>
    </row>
    <row r="13" spans="1:18" s="46" customFormat="1" ht="24.95" customHeight="1" x14ac:dyDescent="0.25">
      <c r="A13" s="47">
        <v>2</v>
      </c>
      <c r="B13" s="35" t="s">
        <v>63</v>
      </c>
      <c r="C13" s="36">
        <v>811.98</v>
      </c>
      <c r="D13" s="37">
        <v>3918</v>
      </c>
      <c r="E13" s="37">
        <v>3996</v>
      </c>
      <c r="F13" s="37">
        <v>0</v>
      </c>
      <c r="G13" s="36">
        <v>10.41</v>
      </c>
      <c r="H13" s="38">
        <f t="shared" ref="H13:H21" si="1">(E13+F13)/D13</f>
        <v>1.0199081163859112</v>
      </c>
      <c r="I13" s="36">
        <v>811.98</v>
      </c>
      <c r="J13" s="37">
        <v>78</v>
      </c>
      <c r="K13" s="39">
        <f>J13/D13</f>
        <v>1.9908116385911178E-2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64</v>
      </c>
      <c r="Q13" s="44"/>
      <c r="R13" s="45" t="s">
        <v>65</v>
      </c>
    </row>
    <row r="14" spans="1:18" s="46" customFormat="1" ht="24.95" customHeight="1" x14ac:dyDescent="0.25">
      <c r="A14" s="47">
        <v>3</v>
      </c>
      <c r="B14" s="35" t="s">
        <v>59</v>
      </c>
      <c r="C14" s="36">
        <v>618</v>
      </c>
      <c r="D14" s="37">
        <v>5108</v>
      </c>
      <c r="E14" s="37">
        <v>5148</v>
      </c>
      <c r="F14" s="37">
        <v>0</v>
      </c>
      <c r="G14" s="36">
        <v>15.45</v>
      </c>
      <c r="H14" s="38">
        <f>(E14+F14)/D14</f>
        <v>1.0078308535630385</v>
      </c>
      <c r="I14" s="36">
        <v>618</v>
      </c>
      <c r="J14" s="37">
        <v>40</v>
      </c>
      <c r="K14" s="39">
        <f t="shared" ref="K14:K21" si="4">J14/D14</f>
        <v>7.8308535630383716E-3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60</v>
      </c>
      <c r="Q14" s="44" t="s">
        <v>61</v>
      </c>
      <c r="R14" s="45" t="s">
        <v>62</v>
      </c>
    </row>
    <row r="15" spans="1:18" s="46" customFormat="1" ht="24.95" customHeight="1" x14ac:dyDescent="0.25">
      <c r="A15" s="34">
        <v>4</v>
      </c>
      <c r="B15" s="35" t="s">
        <v>66</v>
      </c>
      <c r="C15" s="36">
        <v>420.55850000000004</v>
      </c>
      <c r="D15" s="37">
        <v>52.1</v>
      </c>
      <c r="E15" s="37">
        <v>55.44</v>
      </c>
      <c r="F15" s="37">
        <v>0</v>
      </c>
      <c r="G15" s="36">
        <v>183.65</v>
      </c>
      <c r="H15" s="38">
        <f>(E15+F15)/D15</f>
        <v>1.0641074856046064</v>
      </c>
      <c r="I15" s="36">
        <v>613.39099999999939</v>
      </c>
      <c r="J15" s="37">
        <v>2.29</v>
      </c>
      <c r="K15" s="39">
        <f t="shared" si="4"/>
        <v>4.3953934740882918E-2</v>
      </c>
      <c r="L15" s="40">
        <f t="shared" si="2"/>
        <v>1.0499999999999963</v>
      </c>
      <c r="M15" s="41">
        <f t="shared" si="3"/>
        <v>2.0153550863723536E-2</v>
      </c>
      <c r="N15" s="42">
        <f t="shared" si="0"/>
        <v>192.83249999999933</v>
      </c>
      <c r="O15" s="43" t="s">
        <v>57</v>
      </c>
      <c r="P15" s="44" t="s">
        <v>67</v>
      </c>
      <c r="Q15" s="44"/>
      <c r="R15" s="45" t="s">
        <v>68</v>
      </c>
    </row>
    <row r="16" spans="1:18" s="46" customFormat="1" ht="24.95" customHeight="1" x14ac:dyDescent="0.25">
      <c r="A16" s="47">
        <v>5</v>
      </c>
      <c r="B16" s="35" t="s">
        <v>69</v>
      </c>
      <c r="C16" s="36">
        <v>353.8689</v>
      </c>
      <c r="D16" s="37">
        <v>52.75</v>
      </c>
      <c r="E16" s="37">
        <v>56.18</v>
      </c>
      <c r="F16" s="37">
        <v>0</v>
      </c>
      <c r="G16" s="36">
        <v>153.19</v>
      </c>
      <c r="H16" s="38">
        <f t="shared" si="1"/>
        <v>1.0650236966824644</v>
      </c>
      <c r="I16" s="36">
        <v>525.44169999999997</v>
      </c>
      <c r="J16" s="37">
        <v>2.31</v>
      </c>
      <c r="K16" s="39">
        <f t="shared" si="4"/>
        <v>4.3791469194312795E-2</v>
      </c>
      <c r="L16" s="40">
        <f t="shared" si="2"/>
        <v>1.1199999999999997</v>
      </c>
      <c r="M16" s="41">
        <f t="shared" si="3"/>
        <v>2.1232227488151654E-2</v>
      </c>
      <c r="N16" s="42">
        <f t="shared" si="0"/>
        <v>171.57279999999994</v>
      </c>
      <c r="O16" s="43" t="s">
        <v>57</v>
      </c>
      <c r="P16" s="44" t="s">
        <v>67</v>
      </c>
      <c r="Q16" s="44"/>
      <c r="R16" s="45" t="s">
        <v>70</v>
      </c>
    </row>
    <row r="17" spans="1:18" s="46" customFormat="1" ht="24.95" customHeight="1" x14ac:dyDescent="0.25">
      <c r="A17" s="34">
        <v>6</v>
      </c>
      <c r="B17" s="35" t="s">
        <v>103</v>
      </c>
      <c r="C17" s="36">
        <v>332.93640000000005</v>
      </c>
      <c r="D17" s="37">
        <v>34.119999999999997</v>
      </c>
      <c r="E17" s="37">
        <v>36.020000000000003</v>
      </c>
      <c r="F17" s="37">
        <v>0</v>
      </c>
      <c r="G17" s="36">
        <v>248.46</v>
      </c>
      <c r="H17" s="38">
        <f t="shared" si="1"/>
        <v>1.0556858147713952</v>
      </c>
      <c r="I17" s="36">
        <v>472.07400000000143</v>
      </c>
      <c r="J17" s="37">
        <v>1.34</v>
      </c>
      <c r="K17" s="39">
        <f t="shared" si="4"/>
        <v>3.9273153575615477E-2</v>
      </c>
      <c r="L17" s="40">
        <f t="shared" si="2"/>
        <v>0.5600000000000056</v>
      </c>
      <c r="M17" s="41">
        <f t="shared" si="3"/>
        <v>1.6412661195779766E-2</v>
      </c>
      <c r="N17" s="42">
        <f t="shared" si="0"/>
        <v>139.13760000000138</v>
      </c>
      <c r="O17" s="43" t="s">
        <v>57</v>
      </c>
      <c r="P17" s="44" t="s">
        <v>67</v>
      </c>
      <c r="Q17" s="44"/>
      <c r="R17" s="45" t="s">
        <v>58</v>
      </c>
    </row>
    <row r="18" spans="1:18" s="46" customFormat="1" ht="24.95" customHeight="1" x14ac:dyDescent="0.25">
      <c r="A18" s="47">
        <v>7</v>
      </c>
      <c r="B18" s="35" t="s">
        <v>71</v>
      </c>
      <c r="C18" s="36">
        <v>295.99619999999999</v>
      </c>
      <c r="D18" s="37">
        <v>156.22</v>
      </c>
      <c r="E18" s="37">
        <v>155.39000000000001</v>
      </c>
      <c r="F18" s="37">
        <v>3.24</v>
      </c>
      <c r="G18" s="36">
        <v>122.82</v>
      </c>
      <c r="H18" s="38">
        <f t="shared" si="1"/>
        <v>1.0154269619766998</v>
      </c>
      <c r="I18" s="36">
        <v>295.99620000000306</v>
      </c>
      <c r="J18" s="37">
        <v>2.41</v>
      </c>
      <c r="K18" s="39">
        <f t="shared" si="4"/>
        <v>1.5426961976699528E-2</v>
      </c>
      <c r="L18" s="40">
        <f>((E18+F18)-D18)-J18</f>
        <v>2.4868995751603507E-14</v>
      </c>
      <c r="M18" s="41">
        <f t="shared" si="3"/>
        <v>1.5919213770070097E-16</v>
      </c>
      <c r="N18" s="42">
        <f t="shared" si="0"/>
        <v>3.0544100582119427E-12</v>
      </c>
      <c r="O18" s="43" t="s">
        <v>57</v>
      </c>
      <c r="P18" s="43" t="s">
        <v>235</v>
      </c>
      <c r="Q18" s="44"/>
      <c r="R18" s="45" t="s">
        <v>72</v>
      </c>
    </row>
    <row r="19" spans="1:18" s="46" customFormat="1" ht="24.95" customHeight="1" x14ac:dyDescent="0.25">
      <c r="A19" s="34">
        <v>8</v>
      </c>
      <c r="B19" s="35" t="s">
        <v>78</v>
      </c>
      <c r="C19" s="36">
        <v>292.39999999999998</v>
      </c>
      <c r="D19" s="37">
        <v>7356</v>
      </c>
      <c r="E19" s="37">
        <v>7220</v>
      </c>
      <c r="F19" s="37">
        <v>480</v>
      </c>
      <c r="G19" s="36">
        <v>0.85</v>
      </c>
      <c r="H19" s="38">
        <f t="shared" si="1"/>
        <v>1.0467645459488852</v>
      </c>
      <c r="I19" s="36">
        <v>292.39999999999998</v>
      </c>
      <c r="J19" s="37">
        <v>344</v>
      </c>
      <c r="K19" s="39">
        <f t="shared" si="4"/>
        <v>4.6764545948885267E-2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3" t="s">
        <v>64</v>
      </c>
      <c r="Q19" s="43"/>
      <c r="R19" s="45" t="s">
        <v>79</v>
      </c>
    </row>
    <row r="20" spans="1:18" s="46" customFormat="1" ht="24.95" customHeight="1" x14ac:dyDescent="0.25">
      <c r="A20" s="47">
        <v>9</v>
      </c>
      <c r="B20" s="35" t="s">
        <v>114</v>
      </c>
      <c r="C20" s="36">
        <v>291.84019999999998</v>
      </c>
      <c r="D20" s="37">
        <v>116.21</v>
      </c>
      <c r="E20" s="37">
        <v>119.62</v>
      </c>
      <c r="F20" s="37">
        <v>0</v>
      </c>
      <c r="G20" s="36">
        <v>141.66999999999999</v>
      </c>
      <c r="H20" s="38">
        <f t="shared" si="1"/>
        <v>1.0293434299974185</v>
      </c>
      <c r="I20" s="36">
        <v>483.09470000000147</v>
      </c>
      <c r="J20" s="37">
        <v>2.06</v>
      </c>
      <c r="K20" s="39">
        <f t="shared" si="4"/>
        <v>1.7726529558557785E-2</v>
      </c>
      <c r="L20" s="40">
        <f t="shared" si="2"/>
        <v>1.3500000000000107</v>
      </c>
      <c r="M20" s="41">
        <f t="shared" si="3"/>
        <v>1.1616900438860777E-2</v>
      </c>
      <c r="N20" s="42">
        <f t="shared" si="0"/>
        <v>191.25450000000151</v>
      </c>
      <c r="O20" s="43" t="s">
        <v>57</v>
      </c>
      <c r="P20" s="43" t="s">
        <v>235</v>
      </c>
      <c r="Q20" s="44"/>
      <c r="R20" s="45" t="s">
        <v>95</v>
      </c>
    </row>
    <row r="21" spans="1:18" s="46" customFormat="1" ht="24.95" customHeight="1" thickBot="1" x14ac:dyDescent="0.3">
      <c r="A21" s="48">
        <v>10</v>
      </c>
      <c r="B21" s="49" t="s">
        <v>129</v>
      </c>
      <c r="C21" s="50">
        <v>288.49649999999997</v>
      </c>
      <c r="D21" s="51">
        <v>18.07</v>
      </c>
      <c r="E21" s="51">
        <v>20.41</v>
      </c>
      <c r="F21" s="51">
        <v>0</v>
      </c>
      <c r="G21" s="50">
        <v>140.72999999999999</v>
      </c>
      <c r="H21" s="52">
        <f t="shared" si="1"/>
        <v>1.1294964028776979</v>
      </c>
      <c r="I21" s="50">
        <v>329.30819999999994</v>
      </c>
      <c r="J21" s="51">
        <v>2.0499999999999998</v>
      </c>
      <c r="K21" s="53">
        <f t="shared" si="4"/>
        <v>0.11344770337576092</v>
      </c>
      <c r="L21" s="54">
        <f t="shared" si="2"/>
        <v>0.29000000000000004</v>
      </c>
      <c r="M21" s="55">
        <f t="shared" si="3"/>
        <v>1.6048699501936915E-2</v>
      </c>
      <c r="N21" s="56">
        <f t="shared" si="0"/>
        <v>40.811700000000002</v>
      </c>
      <c r="O21" s="57" t="s">
        <v>57</v>
      </c>
      <c r="P21" s="57" t="s">
        <v>67</v>
      </c>
      <c r="Q21" s="57"/>
      <c r="R21" s="58" t="s">
        <v>130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131</v>
      </c>
      <c r="C28" s="36">
        <v>2620.6999999999998</v>
      </c>
      <c r="D28" s="37">
        <v>27.98</v>
      </c>
      <c r="E28" s="37">
        <v>31.57</v>
      </c>
      <c r="F28" s="37">
        <v>0</v>
      </c>
      <c r="G28" s="36">
        <v>730</v>
      </c>
      <c r="H28" s="68">
        <f t="shared" ref="H28:H37" si="5">(E28+F28)/D28</f>
        <v>1.1283059328091494</v>
      </c>
      <c r="I28" s="36">
        <v>2620.6999999999998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3.59</v>
      </c>
      <c r="N28" s="41">
        <f t="shared" ref="N28:N37" si="9">M28/D28</f>
        <v>0.1283059328091494</v>
      </c>
      <c r="O28" s="43" t="s">
        <v>83</v>
      </c>
      <c r="P28" s="69" t="s">
        <v>235</v>
      </c>
      <c r="Q28" s="44"/>
      <c r="R28" s="45" t="s">
        <v>123</v>
      </c>
    </row>
    <row r="29" spans="1:18" s="67" customFormat="1" ht="24.95" customHeight="1" x14ac:dyDescent="0.25">
      <c r="A29" s="47">
        <v>2</v>
      </c>
      <c r="B29" s="35" t="s">
        <v>82</v>
      </c>
      <c r="C29" s="36">
        <v>2438.4921999999947</v>
      </c>
      <c r="D29" s="37">
        <v>745.71</v>
      </c>
      <c r="E29" s="37">
        <v>746.43</v>
      </c>
      <c r="F29" s="37">
        <v>15.82</v>
      </c>
      <c r="G29" s="36">
        <v>147.43</v>
      </c>
      <c r="H29" s="68">
        <f t="shared" si="5"/>
        <v>1.0221802041007897</v>
      </c>
      <c r="I29" s="36">
        <v>2438.4921999999947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16.539999999999964</v>
      </c>
      <c r="N29" s="41">
        <f t="shared" si="9"/>
        <v>2.2180204100789802E-2</v>
      </c>
      <c r="O29" s="43" t="s">
        <v>83</v>
      </c>
      <c r="P29" s="69" t="s">
        <v>84</v>
      </c>
      <c r="Q29" s="44" t="s">
        <v>85</v>
      </c>
      <c r="R29" s="45" t="s">
        <v>58</v>
      </c>
    </row>
    <row r="30" spans="1:18" s="67" customFormat="1" ht="24.95" customHeight="1" x14ac:dyDescent="0.25">
      <c r="A30" s="47">
        <v>3</v>
      </c>
      <c r="B30" s="35" t="s">
        <v>89</v>
      </c>
      <c r="C30" s="36">
        <v>1874.705199999999</v>
      </c>
      <c r="D30" s="37">
        <v>74.400000000000006</v>
      </c>
      <c r="E30" s="37">
        <v>74.47</v>
      </c>
      <c r="F30" s="37">
        <v>2.76</v>
      </c>
      <c r="G30" s="36">
        <v>662.44</v>
      </c>
      <c r="H30" s="68">
        <f t="shared" si="5"/>
        <v>1.0380376344086022</v>
      </c>
      <c r="I30" s="36">
        <v>1874.705199999999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2.8299999999999983</v>
      </c>
      <c r="N30" s="41">
        <f t="shared" si="9"/>
        <v>3.8037634408602125E-2</v>
      </c>
      <c r="O30" s="43" t="s">
        <v>83</v>
      </c>
      <c r="P30" s="69" t="s">
        <v>235</v>
      </c>
      <c r="Q30" s="44"/>
      <c r="R30" s="45" t="s">
        <v>58</v>
      </c>
    </row>
    <row r="31" spans="1:18" s="67" customFormat="1" ht="24.95" customHeight="1" x14ac:dyDescent="0.25">
      <c r="A31" s="34">
        <v>4</v>
      </c>
      <c r="B31" s="35" t="s">
        <v>132</v>
      </c>
      <c r="C31" s="36">
        <v>1842.9699999999998</v>
      </c>
      <c r="D31" s="37">
        <v>30.14</v>
      </c>
      <c r="E31" s="37">
        <v>33.07</v>
      </c>
      <c r="F31" s="37">
        <v>0</v>
      </c>
      <c r="G31" s="36">
        <v>629</v>
      </c>
      <c r="H31" s="68">
        <f t="shared" si="5"/>
        <v>1.0972130059721301</v>
      </c>
      <c r="I31" s="36">
        <v>1842.9699999999998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2.9299999999999997</v>
      </c>
      <c r="N31" s="41">
        <f t="shared" si="9"/>
        <v>9.7213005972130048E-2</v>
      </c>
      <c r="O31" s="43" t="s">
        <v>83</v>
      </c>
      <c r="P31" s="69" t="s">
        <v>235</v>
      </c>
      <c r="Q31" s="44"/>
      <c r="R31" s="45" t="s">
        <v>70</v>
      </c>
    </row>
    <row r="32" spans="1:18" s="67" customFormat="1" ht="24.95" customHeight="1" x14ac:dyDescent="0.25">
      <c r="A32" s="47">
        <v>5</v>
      </c>
      <c r="B32" s="35" t="s">
        <v>127</v>
      </c>
      <c r="C32" s="36">
        <v>1506.2156999999986</v>
      </c>
      <c r="D32" s="37">
        <v>121.17</v>
      </c>
      <c r="E32" s="37">
        <v>126.72</v>
      </c>
      <c r="F32" s="37">
        <v>0</v>
      </c>
      <c r="G32" s="36">
        <v>426.69</v>
      </c>
      <c r="H32" s="68">
        <f t="shared" si="5"/>
        <v>1.0458034166872987</v>
      </c>
      <c r="I32" s="36">
        <v>2368.1294999999986</v>
      </c>
      <c r="J32" s="37">
        <v>2.02</v>
      </c>
      <c r="K32" s="39">
        <f t="shared" si="6"/>
        <v>1.667079310060246E-2</v>
      </c>
      <c r="L32" s="42">
        <f t="shared" si="7"/>
        <v>861.91380000000004</v>
      </c>
      <c r="M32" s="40">
        <f t="shared" si="8"/>
        <v>3.5299999999999971</v>
      </c>
      <c r="N32" s="41">
        <f t="shared" si="9"/>
        <v>2.9132623586696355E-2</v>
      </c>
      <c r="O32" s="43" t="s">
        <v>83</v>
      </c>
      <c r="P32" s="69" t="s">
        <v>235</v>
      </c>
      <c r="Q32" s="44"/>
      <c r="R32" s="45" t="s">
        <v>128</v>
      </c>
    </row>
    <row r="33" spans="1:18" s="67" customFormat="1" ht="24.95" customHeight="1" x14ac:dyDescent="0.25">
      <c r="A33" s="34">
        <v>6</v>
      </c>
      <c r="B33" s="35" t="s">
        <v>133</v>
      </c>
      <c r="C33" s="36">
        <v>1373.2225000000014</v>
      </c>
      <c r="D33" s="37">
        <v>196.91</v>
      </c>
      <c r="E33" s="37">
        <v>205.9</v>
      </c>
      <c r="F33" s="37">
        <v>0</v>
      </c>
      <c r="G33" s="36">
        <v>152.75</v>
      </c>
      <c r="H33" s="68">
        <f t="shared" si="5"/>
        <v>1.0456553755522828</v>
      </c>
      <c r="I33" s="36">
        <v>1373.2225000000014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8.9900000000000091</v>
      </c>
      <c r="N33" s="41">
        <f t="shared" si="9"/>
        <v>4.5655375552282815E-2</v>
      </c>
      <c r="O33" s="43" t="s">
        <v>83</v>
      </c>
      <c r="P33" s="69" t="s">
        <v>235</v>
      </c>
      <c r="Q33" s="44"/>
      <c r="R33" s="45" t="s">
        <v>128</v>
      </c>
    </row>
    <row r="34" spans="1:18" s="67" customFormat="1" ht="24.95" customHeight="1" x14ac:dyDescent="0.25">
      <c r="A34" s="47">
        <v>7</v>
      </c>
      <c r="B34" s="35" t="s">
        <v>110</v>
      </c>
      <c r="C34" s="36">
        <v>1232.1847999999975</v>
      </c>
      <c r="D34" s="37">
        <v>102.37</v>
      </c>
      <c r="E34" s="37">
        <v>101.49</v>
      </c>
      <c r="F34" s="37">
        <v>4.2</v>
      </c>
      <c r="G34" s="36">
        <v>371.14</v>
      </c>
      <c r="H34" s="68">
        <f t="shared" si="5"/>
        <v>1.0324313763797988</v>
      </c>
      <c r="I34" s="36">
        <v>1232.1847999999975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3.3199999999999932</v>
      </c>
      <c r="N34" s="41">
        <f t="shared" si="9"/>
        <v>3.2431376379798704E-2</v>
      </c>
      <c r="O34" s="43" t="s">
        <v>83</v>
      </c>
      <c r="P34" s="69" t="s">
        <v>235</v>
      </c>
      <c r="Q34" s="44"/>
      <c r="R34" s="45" t="s">
        <v>58</v>
      </c>
    </row>
    <row r="35" spans="1:18" s="67" customFormat="1" ht="24.95" customHeight="1" x14ac:dyDescent="0.25">
      <c r="A35" s="34">
        <v>8</v>
      </c>
      <c r="B35" s="35" t="s">
        <v>91</v>
      </c>
      <c r="C35" s="36">
        <v>1211.2100999999986</v>
      </c>
      <c r="D35" s="37">
        <v>588.03</v>
      </c>
      <c r="E35" s="37">
        <v>566.04999999999995</v>
      </c>
      <c r="F35" s="37">
        <v>58.65</v>
      </c>
      <c r="G35" s="36">
        <v>33.03</v>
      </c>
      <c r="H35" s="68">
        <f t="shared" si="5"/>
        <v>1.0623607639066033</v>
      </c>
      <c r="I35" s="36">
        <v>1211.2100999999986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36.669999999999959</v>
      </c>
      <c r="N35" s="41">
        <f t="shared" si="9"/>
        <v>6.2360763906603341E-2</v>
      </c>
      <c r="O35" s="43" t="s">
        <v>83</v>
      </c>
      <c r="P35" s="43" t="s">
        <v>235</v>
      </c>
      <c r="Q35" s="44"/>
      <c r="R35" s="45" t="s">
        <v>77</v>
      </c>
    </row>
    <row r="36" spans="1:18" s="67" customFormat="1" ht="24.95" customHeight="1" x14ac:dyDescent="0.25">
      <c r="A36" s="47">
        <v>9</v>
      </c>
      <c r="B36" s="35" t="s">
        <v>94</v>
      </c>
      <c r="C36" s="36">
        <v>1205.5022000000054</v>
      </c>
      <c r="D36" s="37">
        <v>208.21</v>
      </c>
      <c r="E36" s="37">
        <v>207.62</v>
      </c>
      <c r="F36" s="37">
        <v>2.58</v>
      </c>
      <c r="G36" s="36">
        <v>605.78</v>
      </c>
      <c r="H36" s="68">
        <f t="shared" si="5"/>
        <v>1.0095576581336152</v>
      </c>
      <c r="I36" s="36">
        <v>1205.5022000000054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1.9900000000000091</v>
      </c>
      <c r="N36" s="41">
        <f t="shared" si="9"/>
        <v>9.5576581336151434E-3</v>
      </c>
      <c r="O36" s="43" t="s">
        <v>97</v>
      </c>
      <c r="P36" s="43" t="s">
        <v>60</v>
      </c>
      <c r="Q36" s="44" t="s">
        <v>87</v>
      </c>
      <c r="R36" s="45" t="s">
        <v>95</v>
      </c>
    </row>
    <row r="37" spans="1:18" s="67" customFormat="1" ht="24.95" customHeight="1" thickBot="1" x14ac:dyDescent="0.3">
      <c r="A37" s="48">
        <v>10</v>
      </c>
      <c r="B37" s="49" t="s">
        <v>134</v>
      </c>
      <c r="C37" s="50">
        <v>1097.79</v>
      </c>
      <c r="D37" s="51">
        <v>105</v>
      </c>
      <c r="E37" s="51">
        <v>104.52</v>
      </c>
      <c r="F37" s="51">
        <v>3.48</v>
      </c>
      <c r="G37" s="50">
        <v>365.93</v>
      </c>
      <c r="H37" s="70">
        <f t="shared" si="5"/>
        <v>1.0285714285714285</v>
      </c>
      <c r="I37" s="50">
        <v>1097.79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3</v>
      </c>
      <c r="N37" s="55">
        <f t="shared" si="9"/>
        <v>2.8571428571428571E-2</v>
      </c>
      <c r="O37" s="57" t="s">
        <v>97</v>
      </c>
      <c r="P37" s="71" t="s">
        <v>235</v>
      </c>
      <c r="Q37" s="72"/>
      <c r="R37" s="58" t="s">
        <v>72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103</v>
      </c>
      <c r="C44" s="36">
        <v>332.93640000000005</v>
      </c>
      <c r="D44" s="78">
        <f t="shared" ref="D44:D53" si="10">C44/$L$5</f>
        <v>0.12740666167172865</v>
      </c>
      <c r="E44" s="79"/>
    </row>
    <row r="45" spans="1:18" s="80" customFormat="1" ht="24.95" customHeight="1" x14ac:dyDescent="0.25">
      <c r="A45" s="81">
        <v>2</v>
      </c>
      <c r="B45" s="35" t="s">
        <v>73</v>
      </c>
      <c r="C45" s="36">
        <v>287.32339999999999</v>
      </c>
      <c r="D45" s="78">
        <f t="shared" si="10"/>
        <v>0.10995167609841025</v>
      </c>
      <c r="E45" s="79"/>
    </row>
    <row r="46" spans="1:18" s="80" customFormat="1" ht="24.95" customHeight="1" x14ac:dyDescent="0.25">
      <c r="A46" s="81">
        <v>3</v>
      </c>
      <c r="B46" s="35" t="s">
        <v>105</v>
      </c>
      <c r="C46" s="36">
        <v>281.75</v>
      </c>
      <c r="D46" s="78">
        <f t="shared" si="10"/>
        <v>0.10781887149019917</v>
      </c>
      <c r="E46" s="79"/>
    </row>
    <row r="47" spans="1:18" s="80" customFormat="1" ht="24.95" customHeight="1" x14ac:dyDescent="0.25">
      <c r="A47" s="77">
        <v>4</v>
      </c>
      <c r="B47" s="35" t="s">
        <v>104</v>
      </c>
      <c r="C47" s="36">
        <v>259.74</v>
      </c>
      <c r="D47" s="78">
        <f t="shared" si="10"/>
        <v>9.9396179878844124E-2</v>
      </c>
      <c r="E47" s="79"/>
    </row>
    <row r="48" spans="1:18" s="80" customFormat="1" ht="24.95" customHeight="1" x14ac:dyDescent="0.25">
      <c r="A48" s="81">
        <v>5</v>
      </c>
      <c r="B48" s="35" t="s">
        <v>56</v>
      </c>
      <c r="C48" s="36">
        <v>255.68</v>
      </c>
      <c r="D48" s="78">
        <f t="shared" si="10"/>
        <v>9.7842516637494673E-2</v>
      </c>
      <c r="E48" s="79"/>
    </row>
    <row r="49" spans="1:5" s="80" customFormat="1" ht="24.95" customHeight="1" x14ac:dyDescent="0.25">
      <c r="A49" s="77">
        <v>6</v>
      </c>
      <c r="B49" s="35" t="s">
        <v>126</v>
      </c>
      <c r="C49" s="36">
        <v>230.65</v>
      </c>
      <c r="D49" s="78">
        <f t="shared" si="10"/>
        <v>8.826414448700777E-2</v>
      </c>
      <c r="E49" s="79"/>
    </row>
    <row r="50" spans="1:5" s="80" customFormat="1" ht="24.95" customHeight="1" x14ac:dyDescent="0.25">
      <c r="A50" s="81">
        <v>7</v>
      </c>
      <c r="B50" s="35" t="s">
        <v>125</v>
      </c>
      <c r="C50" s="36">
        <v>229.99999999999997</v>
      </c>
      <c r="D50" s="78">
        <f t="shared" si="10"/>
        <v>8.8015405298121754E-2</v>
      </c>
      <c r="E50" s="79"/>
    </row>
    <row r="51" spans="1:5" s="80" customFormat="1" ht="24.95" customHeight="1" x14ac:dyDescent="0.25">
      <c r="A51" s="77">
        <v>8</v>
      </c>
      <c r="B51" s="35" t="s">
        <v>106</v>
      </c>
      <c r="C51" s="36">
        <v>129.768</v>
      </c>
      <c r="D51" s="78">
        <f t="shared" si="10"/>
        <v>4.965905702055072E-2</v>
      </c>
      <c r="E51" s="79"/>
    </row>
    <row r="52" spans="1:5" s="80" customFormat="1" ht="24.95" customHeight="1" x14ac:dyDescent="0.25">
      <c r="A52" s="81">
        <v>9</v>
      </c>
      <c r="B52" s="35" t="s">
        <v>107</v>
      </c>
      <c r="C52" s="36">
        <v>128.76299999999998</v>
      </c>
      <c r="D52" s="78">
        <f t="shared" si="10"/>
        <v>4.9274467966965441E-2</v>
      </c>
      <c r="E52" s="79"/>
    </row>
    <row r="53" spans="1:5" s="80" customFormat="1" ht="24.95" customHeight="1" thickBot="1" x14ac:dyDescent="0.3">
      <c r="A53" s="82">
        <v>10</v>
      </c>
      <c r="B53" s="49" t="s">
        <v>108</v>
      </c>
      <c r="C53" s="50">
        <v>126.17549999999999</v>
      </c>
      <c r="D53" s="83">
        <f t="shared" si="10"/>
        <v>4.8284294657361573E-2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01" priority="34" operator="containsText" text="中華">
      <formula>NOT(ISERROR(SEARCH("中華",A12)))</formula>
    </cfRule>
    <cfRule type="containsText" dxfId="100" priority="33" operator="containsText" text="湯凍">
      <formula>NOT(ISERROR(SEARCH("湯凍",A12)))</formula>
    </cfRule>
    <cfRule type="containsText" dxfId="99" priority="32" operator="containsText" text=")川燙小青花菜">
      <formula>NOT(ISERROR(SEARCH(")川燙小青花菜",A12)))</formula>
    </cfRule>
    <cfRule type="containsText" dxfId="98" priority="31" operator="containsText" text="青蔥">
      <formula>NOT(ISERROR(SEARCH("青蔥",A12)))</formula>
    </cfRule>
    <cfRule type="containsText" dxfId="97" priority="30" operator="containsText" text="白醬">
      <formula>NOT(ISERROR(SEARCH("白醬",A12)))</formula>
    </cfRule>
    <cfRule type="containsText" dxfId="96" priority="29" operator="containsText" text="024">
      <formula>NOT(ISERROR(SEARCH("024",A12)))</formula>
    </cfRule>
    <cfRule type="containsText" dxfId="95" priority="28" operator="containsText" text="煮白細麵生(方#12)">
      <formula>NOT(ISERROR(SEARCH("煮白細麵生(方#12)",A12)))</formula>
    </cfRule>
    <cfRule type="containsText" dxfId="94" priority="27" operator="containsText" text="綠豆芽">
      <formula>NOT(ISERROR(SEARCH("綠豆芽",A12)))</formula>
    </cfRule>
  </conditionalFormatting>
  <conditionalFormatting sqref="A28:A37">
    <cfRule type="containsText" dxfId="93" priority="5" operator="containsText" text="綠豆芽">
      <formula>NOT(ISERROR(SEARCH("綠豆芽",A28)))</formula>
    </cfRule>
    <cfRule type="containsText" dxfId="92" priority="6" operator="containsText" text="煮白細麵生(方#12)">
      <formula>NOT(ISERROR(SEARCH("煮白細麵生(方#12)",A28)))</formula>
    </cfRule>
    <cfRule type="containsText" dxfId="91" priority="7" operator="containsText" text="024">
      <formula>NOT(ISERROR(SEARCH("024",A28)))</formula>
    </cfRule>
    <cfRule type="containsText" dxfId="90" priority="8" operator="containsText" text="白醬">
      <formula>NOT(ISERROR(SEARCH("白醬",A28)))</formula>
    </cfRule>
    <cfRule type="containsText" dxfId="89" priority="9" operator="containsText" text="青蔥">
      <formula>NOT(ISERROR(SEARCH("青蔥",A28)))</formula>
    </cfRule>
    <cfRule type="containsText" dxfId="88" priority="10" operator="containsText" text=")川燙小青花菜">
      <formula>NOT(ISERROR(SEARCH(")川燙小青花菜",A28)))</formula>
    </cfRule>
    <cfRule type="containsText" dxfId="87" priority="11" operator="containsText" text="湯凍">
      <formula>NOT(ISERROR(SEARCH("湯凍",A28)))</formula>
    </cfRule>
    <cfRule type="containsText" dxfId="86" priority="12" operator="containsText" text="中華">
      <formula>NOT(ISERROR(SEARCH("中華",A28)))</formula>
    </cfRule>
  </conditionalFormatting>
  <conditionalFormatting sqref="A44:A53">
    <cfRule type="containsText" dxfId="85" priority="17" operator="containsText" text="綠豆芽">
      <formula>NOT(ISERROR(SEARCH("綠豆芽",A44)))</formula>
    </cfRule>
    <cfRule type="containsText" dxfId="84" priority="18" operator="containsText" text="煮白細麵生(方#12)">
      <formula>NOT(ISERROR(SEARCH("煮白細麵生(方#12)",A44)))</formula>
    </cfRule>
    <cfRule type="containsText" dxfId="83" priority="19" operator="containsText" text="024">
      <formula>NOT(ISERROR(SEARCH("024",A44)))</formula>
    </cfRule>
    <cfRule type="containsText" dxfId="82" priority="20" operator="containsText" text="白醬">
      <formula>NOT(ISERROR(SEARCH("白醬",A44)))</formula>
    </cfRule>
    <cfRule type="containsText" dxfId="81" priority="21" operator="containsText" text="青蔥">
      <formula>NOT(ISERROR(SEARCH("青蔥",A44)))</formula>
    </cfRule>
    <cfRule type="containsText" dxfId="80" priority="22" operator="containsText" text=")川燙小青花菜">
      <formula>NOT(ISERROR(SEARCH(")川燙小青花菜",A44)))</formula>
    </cfRule>
    <cfRule type="containsText" dxfId="79" priority="23" operator="containsText" text="湯凍">
      <formula>NOT(ISERROR(SEARCH("湯凍",A44)))</formula>
    </cfRule>
    <cfRule type="containsText" dxfId="78" priority="24" operator="containsText" text="中華">
      <formula>NOT(ISERROR(SEARCH("中華",A44)))</formula>
    </cfRule>
  </conditionalFormatting>
  <conditionalFormatting sqref="D44:D53">
    <cfRule type="cellIs" dxfId="77" priority="16" operator="greaterThan">
      <formula>0.146</formula>
    </cfRule>
  </conditionalFormatting>
  <conditionalFormatting sqref="E5">
    <cfRule type="cellIs" dxfId="76" priority="25" operator="greaterThan">
      <formula>0.072</formula>
    </cfRule>
    <cfRule type="cellIs" dxfId="75" priority="26" operator="greaterThan">
      <formula>7.2</formula>
    </cfRule>
    <cfRule type="cellIs" dxfId="74" priority="14" operator="greaterThan">
      <formula>0.0025</formula>
    </cfRule>
  </conditionalFormatting>
  <conditionalFormatting sqref="G5">
    <cfRule type="cellIs" dxfId="73" priority="3" operator="greaterThan">
      <formula>7.2</formula>
    </cfRule>
    <cfRule type="cellIs" dxfId="72" priority="2" operator="greaterThan">
      <formula>0.072</formula>
    </cfRule>
    <cfRule type="cellIs" dxfId="71" priority="1" operator="greaterThan">
      <formula>0.0025</formula>
    </cfRule>
  </conditionalFormatting>
  <conditionalFormatting sqref="H12:H22">
    <cfRule type="cellIs" dxfId="70" priority="15" operator="greaterThan">
      <formula>1.1</formula>
    </cfRule>
  </conditionalFormatting>
  <conditionalFormatting sqref="H28:H37">
    <cfRule type="cellIs" dxfId="69" priority="4" operator="greaterThan">
      <formula>1.1</formula>
    </cfRule>
  </conditionalFormatting>
  <conditionalFormatting sqref="I5">
    <cfRule type="cellIs" dxfId="6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FC61-B1C3-4C84-9B77-5CA36881C1EA}">
  <sheetPr>
    <tabColor rgb="FFFF0000"/>
    <pageSetUpPr fitToPage="1"/>
  </sheetPr>
  <dimension ref="A1:R56"/>
  <sheetViews>
    <sheetView topLeftCell="G13" zoomScale="70" zoomScaleNormal="70" workbookViewId="0">
      <selection activeCell="M29" sqref="M29:U29"/>
    </sheetView>
  </sheetViews>
  <sheetFormatPr defaultRowHeight="15.75" x14ac:dyDescent="0.25"/>
  <cols>
    <col min="1" max="1" width="7.875" style="17" bestFit="1" customWidth="1"/>
    <col min="2" max="2" width="30.75" style="17" customWidth="1"/>
    <col min="3" max="3" width="22.5" style="17" customWidth="1"/>
    <col min="4" max="4" width="19" style="17" customWidth="1"/>
    <col min="5" max="5" width="23.625" style="17" customWidth="1"/>
    <col min="6" max="6" width="19" style="17" customWidth="1"/>
    <col min="7" max="7" width="22.5" style="17" customWidth="1"/>
    <col min="8" max="8" width="22.125" style="17" bestFit="1" customWidth="1"/>
    <col min="9" max="9" width="21.5" style="17" customWidth="1"/>
    <col min="10" max="10" width="19" style="17" customWidth="1"/>
    <col min="11" max="11" width="23.5" style="17" bestFit="1" customWidth="1"/>
    <col min="12" max="12" width="19" style="17" customWidth="1"/>
    <col min="13" max="13" width="20.6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5" style="17" bestFit="1" customWidth="1"/>
    <col min="18" max="18" width="41.75" style="17" customWidth="1"/>
    <col min="19" max="16384" width="9" style="17"/>
  </cols>
  <sheetData>
    <row r="1" spans="1:18" ht="40.5" customHeight="1" x14ac:dyDescent="0.25">
      <c r="A1" s="92" t="s">
        <v>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4"/>
    </row>
    <row r="2" spans="1:18" ht="24.95" customHeight="1" x14ac:dyDescent="0.25">
      <c r="A2" s="152" t="s">
        <v>3</v>
      </c>
      <c r="B2" s="153"/>
      <c r="C2" s="18" t="s">
        <v>4</v>
      </c>
      <c r="D2" s="154" t="s">
        <v>19</v>
      </c>
      <c r="E2" s="154"/>
      <c r="F2" s="154" t="s">
        <v>20</v>
      </c>
      <c r="G2" s="154"/>
      <c r="H2" s="154" t="s">
        <v>19</v>
      </c>
      <c r="I2" s="154"/>
      <c r="J2" s="154" t="s">
        <v>20</v>
      </c>
      <c r="K2" s="154"/>
      <c r="L2" s="154" t="s">
        <v>19</v>
      </c>
      <c r="M2" s="154"/>
    </row>
    <row r="3" spans="1:18" s="19" customFormat="1" ht="28.5" x14ac:dyDescent="0.45">
      <c r="A3" s="148">
        <v>45901</v>
      </c>
      <c r="B3" s="149"/>
      <c r="C3" s="150">
        <v>7806641.3300000001</v>
      </c>
      <c r="D3" s="151" t="s">
        <v>21</v>
      </c>
      <c r="E3" s="151"/>
      <c r="F3" s="151" t="s">
        <v>22</v>
      </c>
      <c r="G3" s="151"/>
      <c r="H3" s="143" t="s">
        <v>23</v>
      </c>
      <c r="I3" s="143"/>
      <c r="J3" s="143" t="s">
        <v>24</v>
      </c>
      <c r="K3" s="143"/>
      <c r="L3" s="143" t="s">
        <v>25</v>
      </c>
      <c r="M3" s="144"/>
    </row>
    <row r="4" spans="1:18" ht="28.5" customHeight="1" x14ac:dyDescent="0.25">
      <c r="A4" s="148"/>
      <c r="B4" s="149"/>
      <c r="C4" s="150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 x14ac:dyDescent="0.3">
      <c r="A5" s="145" t="s">
        <v>30</v>
      </c>
      <c r="B5" s="146"/>
      <c r="C5" s="146"/>
      <c r="D5" s="23">
        <v>18890.799099999997</v>
      </c>
      <c r="E5" s="24">
        <f>D5/C3</f>
        <v>2.4198369441420201E-3</v>
      </c>
      <c r="F5" s="23">
        <v>57786.602399999967</v>
      </c>
      <c r="G5" s="25">
        <f>F5/C3</f>
        <v>7.4022361163094408E-3</v>
      </c>
      <c r="H5" s="26">
        <f>SUM(C12:C21)</f>
        <v>4046.0188999999996</v>
      </c>
      <c r="I5" s="27">
        <f>H5/D5</f>
        <v>0.21417934088346746</v>
      </c>
      <c r="J5" s="26">
        <f>SUM(C28:C37)</f>
        <v>13156.282299999972</v>
      </c>
      <c r="K5" s="28">
        <f>J5/F5</f>
        <v>0.22767011302952081</v>
      </c>
      <c r="L5" s="29">
        <v>2627.0036999999998</v>
      </c>
      <c r="M5" s="30">
        <f>L5/D5</f>
        <v>0.13906260323312633</v>
      </c>
    </row>
    <row r="6" spans="1:18" ht="46.5" customHeight="1" thickBot="1" x14ac:dyDescent="0.3"/>
    <row r="7" spans="1:18" ht="40.5" customHeight="1" x14ac:dyDescent="0.25">
      <c r="A7" s="92" t="s">
        <v>31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147"/>
      <c r="Q7" s="147"/>
      <c r="R7" s="94"/>
    </row>
    <row r="8" spans="1:18" ht="26.1" customHeight="1" x14ac:dyDescent="0.25">
      <c r="A8" s="95" t="s">
        <v>32</v>
      </c>
      <c r="B8" s="96"/>
      <c r="C8" s="96"/>
      <c r="D8" s="96" t="s">
        <v>33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9" t="s">
        <v>34</v>
      </c>
      <c r="P8" s="114" t="s">
        <v>35</v>
      </c>
      <c r="Q8" s="99" t="s">
        <v>36</v>
      </c>
      <c r="R8" s="103" t="s">
        <v>37</v>
      </c>
    </row>
    <row r="9" spans="1:18" ht="20.45" customHeight="1" x14ac:dyDescent="0.25">
      <c r="A9" s="118" t="s">
        <v>38</v>
      </c>
      <c r="B9" s="121" t="s">
        <v>39</v>
      </c>
      <c r="C9" s="122"/>
      <c r="D9" s="139" t="s">
        <v>40</v>
      </c>
      <c r="E9" s="139"/>
      <c r="F9" s="139"/>
      <c r="G9" s="139"/>
      <c r="H9" s="139"/>
      <c r="I9" s="139"/>
      <c r="J9" s="140" t="s">
        <v>41</v>
      </c>
      <c r="K9" s="140"/>
      <c r="L9" s="140"/>
      <c r="M9" s="126"/>
      <c r="N9" s="126"/>
      <c r="O9" s="99"/>
      <c r="P9" s="99"/>
      <c r="Q9" s="99"/>
      <c r="R9" s="103"/>
    </row>
    <row r="10" spans="1:18" ht="20.45" customHeight="1" x14ac:dyDescent="0.3">
      <c r="A10" s="119"/>
      <c r="B10" s="129" t="s">
        <v>42</v>
      </c>
      <c r="C10" s="131" t="s">
        <v>43</v>
      </c>
      <c r="D10" s="141" t="s">
        <v>44</v>
      </c>
      <c r="E10" s="141"/>
      <c r="F10" s="141"/>
      <c r="G10" s="141"/>
      <c r="H10" s="141"/>
      <c r="I10" s="141"/>
      <c r="J10" s="136" t="s">
        <v>45</v>
      </c>
      <c r="K10" s="138"/>
      <c r="L10" s="142" t="s">
        <v>46</v>
      </c>
      <c r="M10" s="136"/>
      <c r="N10" s="136"/>
      <c r="O10" s="99"/>
      <c r="P10" s="99"/>
      <c r="Q10" s="99"/>
      <c r="R10" s="103"/>
    </row>
    <row r="11" spans="1:18" ht="47.25" customHeight="1" x14ac:dyDescent="0.25">
      <c r="A11" s="120"/>
      <c r="B11" s="130"/>
      <c r="C11" s="132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99"/>
      <c r="P11" s="99"/>
      <c r="Q11" s="99"/>
      <c r="R11" s="103"/>
    </row>
    <row r="12" spans="1:18" s="46" customFormat="1" ht="24.95" customHeight="1" x14ac:dyDescent="0.25">
      <c r="A12" s="34">
        <v>1</v>
      </c>
      <c r="B12" s="35" t="s">
        <v>56</v>
      </c>
      <c r="C12" s="36">
        <v>818.17600000000004</v>
      </c>
      <c r="D12" s="37">
        <v>565.26</v>
      </c>
      <c r="E12" s="37">
        <v>562.76</v>
      </c>
      <c r="F12" s="37">
        <v>8.9</v>
      </c>
      <c r="G12" s="36">
        <v>127.84</v>
      </c>
      <c r="H12" s="38">
        <f>(E12+F12)/D12</f>
        <v>1.0113222234016204</v>
      </c>
      <c r="I12" s="36">
        <v>818.17599999999709</v>
      </c>
      <c r="J12" s="37">
        <v>6.4</v>
      </c>
      <c r="K12" s="39">
        <f>J12/D12</f>
        <v>1.1322223401620495E-2</v>
      </c>
      <c r="L12" s="40">
        <f>((E12+F12)-D12)-J12</f>
        <v>-2.3092638912203256E-14</v>
      </c>
      <c r="M12" s="41">
        <f>L12/D12</f>
        <v>-4.0853127608893704E-17</v>
      </c>
      <c r="N12" s="42">
        <f t="shared" ref="N12:N21" si="0">L12*G12</f>
        <v>-2.9521629585360644E-12</v>
      </c>
      <c r="O12" s="43" t="s">
        <v>57</v>
      </c>
      <c r="P12" s="43" t="s">
        <v>235</v>
      </c>
      <c r="Q12" s="44"/>
      <c r="R12" s="45" t="s">
        <v>58</v>
      </c>
    </row>
    <row r="13" spans="1:18" s="46" customFormat="1" ht="24.95" customHeight="1" x14ac:dyDescent="0.25">
      <c r="A13" s="47">
        <v>2</v>
      </c>
      <c r="B13" s="35" t="s">
        <v>59</v>
      </c>
      <c r="C13" s="36">
        <v>664.35</v>
      </c>
      <c r="D13" s="37">
        <v>4217</v>
      </c>
      <c r="E13" s="37">
        <v>4260</v>
      </c>
      <c r="F13" s="37">
        <v>0</v>
      </c>
      <c r="G13" s="36">
        <v>15.45</v>
      </c>
      <c r="H13" s="38">
        <f t="shared" ref="H13:H21" si="1">(E13+F13)/D13</f>
        <v>1.0101968223855822</v>
      </c>
      <c r="I13" s="36">
        <v>664.35</v>
      </c>
      <c r="J13" s="37">
        <v>43</v>
      </c>
      <c r="K13" s="39">
        <f>J13/D13</f>
        <v>1.0196822385582168E-2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141</v>
      </c>
      <c r="Q13" s="44" t="s">
        <v>61</v>
      </c>
      <c r="R13" s="45" t="s">
        <v>62</v>
      </c>
    </row>
    <row r="14" spans="1:18" s="46" customFormat="1" ht="24.95" customHeight="1" x14ac:dyDescent="0.25">
      <c r="A14" s="47">
        <v>3</v>
      </c>
      <c r="B14" s="35" t="s">
        <v>63</v>
      </c>
      <c r="C14" s="36">
        <v>624.6</v>
      </c>
      <c r="D14" s="37">
        <v>4488</v>
      </c>
      <c r="E14" s="37">
        <v>4548</v>
      </c>
      <c r="F14" s="37">
        <v>0</v>
      </c>
      <c r="G14" s="36">
        <v>10.41</v>
      </c>
      <c r="H14" s="38">
        <f>(E14+F14)/D14</f>
        <v>1.0133689839572193</v>
      </c>
      <c r="I14" s="36">
        <v>624.6</v>
      </c>
      <c r="J14" s="37">
        <v>60</v>
      </c>
      <c r="K14" s="39">
        <f t="shared" ref="K14:K21" si="4">J14/D14</f>
        <v>1.3368983957219251E-2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3" t="s">
        <v>64</v>
      </c>
      <c r="Q14" s="44"/>
      <c r="R14" s="45" t="s">
        <v>65</v>
      </c>
    </row>
    <row r="15" spans="1:18" s="46" customFormat="1" ht="24.95" customHeight="1" x14ac:dyDescent="0.25">
      <c r="A15" s="34">
        <v>4</v>
      </c>
      <c r="B15" s="35" t="s">
        <v>66</v>
      </c>
      <c r="C15" s="36">
        <v>314.04149999999998</v>
      </c>
      <c r="D15" s="37">
        <v>54.81</v>
      </c>
      <c r="E15" s="37">
        <v>57.96</v>
      </c>
      <c r="F15" s="37">
        <v>0</v>
      </c>
      <c r="G15" s="36">
        <v>183.65</v>
      </c>
      <c r="H15" s="38">
        <f>(E15+F15)/D15</f>
        <v>1.0574712643678161</v>
      </c>
      <c r="I15" s="36">
        <v>578.49749999999972</v>
      </c>
      <c r="J15" s="37">
        <v>1.71</v>
      </c>
      <c r="K15" s="39">
        <f t="shared" si="4"/>
        <v>3.1198686371100161E-2</v>
      </c>
      <c r="L15" s="40">
        <f t="shared" si="2"/>
        <v>1.4399999999999986</v>
      </c>
      <c r="M15" s="41">
        <f t="shared" si="3"/>
        <v>2.6272577996715903E-2</v>
      </c>
      <c r="N15" s="42">
        <f t="shared" si="0"/>
        <v>264.45599999999973</v>
      </c>
      <c r="O15" s="43" t="s">
        <v>57</v>
      </c>
      <c r="P15" s="44" t="s">
        <v>67</v>
      </c>
      <c r="Q15" s="44"/>
      <c r="R15" s="45" t="s">
        <v>68</v>
      </c>
    </row>
    <row r="16" spans="1:18" s="46" customFormat="1" ht="24.95" customHeight="1" x14ac:dyDescent="0.25">
      <c r="A16" s="47">
        <v>5</v>
      </c>
      <c r="B16" s="35" t="s">
        <v>69</v>
      </c>
      <c r="C16" s="36">
        <v>306.38</v>
      </c>
      <c r="D16" s="37">
        <v>50.15</v>
      </c>
      <c r="E16" s="37">
        <v>53.69</v>
      </c>
      <c r="F16" s="37">
        <v>0</v>
      </c>
      <c r="G16" s="36">
        <v>153.19</v>
      </c>
      <c r="H16" s="38">
        <f t="shared" si="1"/>
        <v>1.0705882352941176</v>
      </c>
      <c r="I16" s="36">
        <v>542.29259999999988</v>
      </c>
      <c r="J16" s="37">
        <v>2</v>
      </c>
      <c r="K16" s="39">
        <f t="shared" si="4"/>
        <v>3.9880358923230309E-2</v>
      </c>
      <c r="L16" s="40">
        <f t="shared" si="2"/>
        <v>1.5399999999999991</v>
      </c>
      <c r="M16" s="41">
        <f t="shared" si="3"/>
        <v>3.0707876370887323E-2</v>
      </c>
      <c r="N16" s="42">
        <f t="shared" si="0"/>
        <v>235.91259999999986</v>
      </c>
      <c r="O16" s="43" t="s">
        <v>57</v>
      </c>
      <c r="P16" s="44" t="s">
        <v>67</v>
      </c>
      <c r="Q16" s="44"/>
      <c r="R16" s="45" t="s">
        <v>70</v>
      </c>
    </row>
    <row r="17" spans="1:18" s="46" customFormat="1" ht="24.95" customHeight="1" x14ac:dyDescent="0.25">
      <c r="A17" s="34">
        <v>6</v>
      </c>
      <c r="B17" s="35" t="s">
        <v>71</v>
      </c>
      <c r="C17" s="36">
        <v>287.39879999999999</v>
      </c>
      <c r="D17" s="37">
        <v>158.72</v>
      </c>
      <c r="E17" s="37">
        <v>158.01</v>
      </c>
      <c r="F17" s="37">
        <v>3.05</v>
      </c>
      <c r="G17" s="36">
        <v>122.82</v>
      </c>
      <c r="H17" s="38">
        <f t="shared" si="1"/>
        <v>1.014742943548387</v>
      </c>
      <c r="I17" s="36">
        <v>287.39880000000039</v>
      </c>
      <c r="J17" s="37">
        <v>2.34</v>
      </c>
      <c r="K17" s="39">
        <f t="shared" si="4"/>
        <v>1.4742943548387096E-2</v>
      </c>
      <c r="L17" s="40">
        <f t="shared" si="2"/>
        <v>3.5527136788005009E-15</v>
      </c>
      <c r="M17" s="41">
        <f t="shared" si="3"/>
        <v>2.2383528722281384E-17</v>
      </c>
      <c r="N17" s="42">
        <f t="shared" si="0"/>
        <v>4.363442940302775E-13</v>
      </c>
      <c r="O17" s="43" t="s">
        <v>57</v>
      </c>
      <c r="P17" s="43" t="s">
        <v>235</v>
      </c>
      <c r="Q17" s="44"/>
      <c r="R17" s="45" t="s">
        <v>72</v>
      </c>
    </row>
    <row r="18" spans="1:18" s="46" customFormat="1" ht="24.95" customHeight="1" x14ac:dyDescent="0.25">
      <c r="A18" s="47">
        <v>7</v>
      </c>
      <c r="B18" s="35" t="s">
        <v>73</v>
      </c>
      <c r="C18" s="36">
        <v>287.32339999999999</v>
      </c>
      <c r="D18" s="37">
        <v>376.59</v>
      </c>
      <c r="E18" s="37">
        <v>380.5</v>
      </c>
      <c r="F18" s="37">
        <v>0</v>
      </c>
      <c r="G18" s="36">
        <v>157.87</v>
      </c>
      <c r="H18" s="38">
        <f t="shared" si="1"/>
        <v>1.0103826442550254</v>
      </c>
      <c r="I18" s="36">
        <v>617.27170000000399</v>
      </c>
      <c r="J18" s="37">
        <v>1.82</v>
      </c>
      <c r="K18" s="39">
        <f t="shared" si="4"/>
        <v>4.8328420829018299E-3</v>
      </c>
      <c r="L18" s="40">
        <f>((E18+F18)-D18)-J18</f>
        <v>2.0900000000000247</v>
      </c>
      <c r="M18" s="41">
        <f t="shared" si="3"/>
        <v>5.5498021721235953E-3</v>
      </c>
      <c r="N18" s="42">
        <f t="shared" si="0"/>
        <v>329.94830000000394</v>
      </c>
      <c r="O18" s="43" t="s">
        <v>57</v>
      </c>
      <c r="P18" s="43" t="s">
        <v>235</v>
      </c>
      <c r="Q18" s="44"/>
      <c r="R18" s="45" t="s">
        <v>58</v>
      </c>
    </row>
    <row r="19" spans="1:18" s="46" customFormat="1" ht="24.95" customHeight="1" x14ac:dyDescent="0.25">
      <c r="A19" s="34">
        <v>8</v>
      </c>
      <c r="B19" s="35" t="s">
        <v>74</v>
      </c>
      <c r="C19" s="36">
        <v>261.0684</v>
      </c>
      <c r="D19" s="37">
        <v>104.44</v>
      </c>
      <c r="E19" s="37">
        <v>106.88</v>
      </c>
      <c r="F19" s="37">
        <v>0</v>
      </c>
      <c r="G19" s="36">
        <v>189.18</v>
      </c>
      <c r="H19" s="38">
        <f t="shared" si="1"/>
        <v>1.0233626962849482</v>
      </c>
      <c r="I19" s="36">
        <v>461.5991999999996</v>
      </c>
      <c r="J19" s="37">
        <v>1.38</v>
      </c>
      <c r="K19" s="39">
        <f t="shared" si="4"/>
        <v>1.3213328226733052E-2</v>
      </c>
      <c r="L19" s="40">
        <f t="shared" si="2"/>
        <v>1.0599999999999978</v>
      </c>
      <c r="M19" s="41">
        <f t="shared" si="3"/>
        <v>1.0149368058215223E-2</v>
      </c>
      <c r="N19" s="42">
        <f t="shared" si="0"/>
        <v>200.5307999999996</v>
      </c>
      <c r="O19" s="43" t="s">
        <v>57</v>
      </c>
      <c r="P19" s="43" t="s">
        <v>235</v>
      </c>
      <c r="Q19" s="43"/>
      <c r="R19" s="45" t="s">
        <v>75</v>
      </c>
    </row>
    <row r="20" spans="1:18" s="46" customFormat="1" ht="24.95" customHeight="1" x14ac:dyDescent="0.25">
      <c r="A20" s="47">
        <v>9</v>
      </c>
      <c r="B20" s="35" t="s">
        <v>76</v>
      </c>
      <c r="C20" s="36">
        <v>242.98079999999999</v>
      </c>
      <c r="D20" s="37">
        <v>67.59</v>
      </c>
      <c r="E20" s="37">
        <v>67.11999999999999</v>
      </c>
      <c r="F20" s="37">
        <v>2.7</v>
      </c>
      <c r="G20" s="36">
        <v>108.96</v>
      </c>
      <c r="H20" s="38">
        <f t="shared" si="1"/>
        <v>1.0329930463086254</v>
      </c>
      <c r="I20" s="36">
        <v>242.98079999999888</v>
      </c>
      <c r="J20" s="37">
        <v>2.23</v>
      </c>
      <c r="K20" s="39">
        <f t="shared" si="4"/>
        <v>3.2993046308625533E-2</v>
      </c>
      <c r="L20" s="40">
        <f t="shared" si="2"/>
        <v>-1.021405182655144E-14</v>
      </c>
      <c r="M20" s="41">
        <f t="shared" si="3"/>
        <v>-1.511177959247143E-16</v>
      </c>
      <c r="N20" s="42">
        <f t="shared" si="0"/>
        <v>-1.1129230870210449E-12</v>
      </c>
      <c r="O20" s="43" t="s">
        <v>57</v>
      </c>
      <c r="P20" s="43" t="s">
        <v>235</v>
      </c>
      <c r="Q20" s="44"/>
      <c r="R20" s="45" t="s">
        <v>77</v>
      </c>
    </row>
    <row r="21" spans="1:18" s="46" customFormat="1" ht="24.95" customHeight="1" thickBot="1" x14ac:dyDescent="0.3">
      <c r="A21" s="48">
        <v>10</v>
      </c>
      <c r="B21" s="49" t="s">
        <v>78</v>
      </c>
      <c r="C21" s="50">
        <v>239.7</v>
      </c>
      <c r="D21" s="51">
        <v>7974</v>
      </c>
      <c r="E21" s="51">
        <v>8256</v>
      </c>
      <c r="F21" s="51">
        <v>0</v>
      </c>
      <c r="G21" s="50">
        <v>0.85</v>
      </c>
      <c r="H21" s="52">
        <f t="shared" si="1"/>
        <v>1.0353649360421369</v>
      </c>
      <c r="I21" s="50">
        <v>239.7</v>
      </c>
      <c r="J21" s="51">
        <v>282</v>
      </c>
      <c r="K21" s="53">
        <f t="shared" si="4"/>
        <v>3.5364936042136946E-2</v>
      </c>
      <c r="L21" s="54">
        <f t="shared" si="2"/>
        <v>0</v>
      </c>
      <c r="M21" s="55">
        <f t="shared" si="3"/>
        <v>0</v>
      </c>
      <c r="N21" s="56">
        <f t="shared" si="0"/>
        <v>0</v>
      </c>
      <c r="O21" s="57" t="s">
        <v>57</v>
      </c>
      <c r="P21" s="57" t="s">
        <v>64</v>
      </c>
      <c r="Q21" s="57"/>
      <c r="R21" s="58" t="s">
        <v>79</v>
      </c>
    </row>
    <row r="22" spans="1:18" s="67" customFormat="1" ht="24.95" customHeight="1" thickBot="1" x14ac:dyDescent="0.3">
      <c r="A22" s="59"/>
      <c r="B22" s="60"/>
      <c r="C22" s="61"/>
      <c r="D22" s="61"/>
      <c r="E22" s="61"/>
      <c r="F22" s="61"/>
      <c r="G22" s="61"/>
      <c r="H22" s="62"/>
      <c r="I22" s="61"/>
      <c r="J22" s="61"/>
      <c r="K22" s="63"/>
      <c r="L22" s="64"/>
      <c r="M22" s="63"/>
      <c r="N22" s="65"/>
      <c r="O22" s="66"/>
      <c r="P22" s="66"/>
      <c r="Q22" s="66"/>
      <c r="R22" s="60"/>
    </row>
    <row r="23" spans="1:18" s="67" customFormat="1" ht="40.5" customHeight="1" x14ac:dyDescent="0.25">
      <c r="A23" s="104" t="s">
        <v>80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6"/>
    </row>
    <row r="24" spans="1:18" s="67" customFormat="1" ht="24.95" customHeight="1" x14ac:dyDescent="0.25">
      <c r="A24" s="107" t="s">
        <v>32</v>
      </c>
      <c r="B24" s="108"/>
      <c r="C24" s="109"/>
      <c r="D24" s="110" t="s">
        <v>33</v>
      </c>
      <c r="E24" s="108"/>
      <c r="F24" s="108"/>
      <c r="G24" s="108"/>
      <c r="H24" s="108"/>
      <c r="I24" s="108"/>
      <c r="J24" s="108"/>
      <c r="K24" s="108"/>
      <c r="L24" s="108"/>
      <c r="M24" s="108"/>
      <c r="N24" s="109"/>
      <c r="O24" s="111" t="s">
        <v>34</v>
      </c>
      <c r="P24" s="114" t="s">
        <v>35</v>
      </c>
      <c r="Q24" s="99" t="s">
        <v>36</v>
      </c>
      <c r="R24" s="115" t="s">
        <v>37</v>
      </c>
    </row>
    <row r="25" spans="1:18" s="67" customFormat="1" ht="24.95" customHeight="1" x14ac:dyDescent="0.25">
      <c r="A25" s="118" t="s">
        <v>38</v>
      </c>
      <c r="B25" s="121" t="s">
        <v>39</v>
      </c>
      <c r="C25" s="122"/>
      <c r="D25" s="123" t="s">
        <v>40</v>
      </c>
      <c r="E25" s="124"/>
      <c r="F25" s="124"/>
      <c r="G25" s="124"/>
      <c r="H25" s="124"/>
      <c r="I25" s="125"/>
      <c r="J25" s="126" t="s">
        <v>41</v>
      </c>
      <c r="K25" s="127"/>
      <c r="L25" s="127"/>
      <c r="M25" s="127"/>
      <c r="N25" s="128"/>
      <c r="O25" s="112"/>
      <c r="P25" s="99"/>
      <c r="Q25" s="99"/>
      <c r="R25" s="116"/>
    </row>
    <row r="26" spans="1:18" s="67" customFormat="1" ht="24.95" customHeight="1" x14ac:dyDescent="0.3">
      <c r="A26" s="119"/>
      <c r="B26" s="129" t="s">
        <v>42</v>
      </c>
      <c r="C26" s="131" t="s">
        <v>81</v>
      </c>
      <c r="D26" s="133" t="s">
        <v>44</v>
      </c>
      <c r="E26" s="134"/>
      <c r="F26" s="134"/>
      <c r="G26" s="134"/>
      <c r="H26" s="134"/>
      <c r="I26" s="135"/>
      <c r="J26" s="136" t="s">
        <v>45</v>
      </c>
      <c r="K26" s="137"/>
      <c r="L26" s="138"/>
      <c r="M26" s="136" t="s">
        <v>46</v>
      </c>
      <c r="N26" s="138"/>
      <c r="O26" s="112"/>
      <c r="P26" s="99"/>
      <c r="Q26" s="99"/>
      <c r="R26" s="116"/>
    </row>
    <row r="27" spans="1:18" s="67" customFormat="1" ht="50.1" customHeight="1" x14ac:dyDescent="0.25">
      <c r="A27" s="120"/>
      <c r="B27" s="130"/>
      <c r="C27" s="132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113"/>
      <c r="P27" s="99"/>
      <c r="Q27" s="99"/>
      <c r="R27" s="117"/>
    </row>
    <row r="28" spans="1:18" s="67" customFormat="1" ht="24.95" customHeight="1" x14ac:dyDescent="0.25">
      <c r="A28" s="34">
        <v>1</v>
      </c>
      <c r="B28" s="35" t="s">
        <v>82</v>
      </c>
      <c r="C28" s="36">
        <v>2606.5623999999925</v>
      </c>
      <c r="D28" s="37">
        <v>756.32</v>
      </c>
      <c r="E28" s="37">
        <v>750.9</v>
      </c>
      <c r="F28" s="37">
        <v>23.1</v>
      </c>
      <c r="G28" s="36">
        <v>147.43</v>
      </c>
      <c r="H28" s="68">
        <f t="shared" ref="H28:H37" si="5">(E28+F28)/D28</f>
        <v>1.0233763486354981</v>
      </c>
      <c r="I28" s="36">
        <v>2606.5623999999925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17.67999999999995</v>
      </c>
      <c r="N28" s="41">
        <f t="shared" ref="N28:N37" si="9">M28/D28</f>
        <v>2.3376348635498135E-2</v>
      </c>
      <c r="O28" s="43" t="s">
        <v>83</v>
      </c>
      <c r="P28" s="69" t="s">
        <v>84</v>
      </c>
      <c r="Q28" s="44" t="s">
        <v>85</v>
      </c>
      <c r="R28" s="45" t="s">
        <v>58</v>
      </c>
    </row>
    <row r="29" spans="1:18" s="67" customFormat="1" ht="24.95" customHeight="1" x14ac:dyDescent="0.25">
      <c r="A29" s="47">
        <v>2</v>
      </c>
      <c r="B29" s="35" t="s">
        <v>86</v>
      </c>
      <c r="C29" s="36">
        <v>1533.8465999999842</v>
      </c>
      <c r="D29" s="37">
        <v>4826.76</v>
      </c>
      <c r="E29" s="37">
        <v>4800.3</v>
      </c>
      <c r="F29" s="37">
        <v>65.400000000000006</v>
      </c>
      <c r="G29" s="36">
        <v>39.39</v>
      </c>
      <c r="H29" s="68">
        <f t="shared" si="5"/>
        <v>1.0080675235561742</v>
      </c>
      <c r="I29" s="36">
        <v>1533.8465999999842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38.9399999999996</v>
      </c>
      <c r="N29" s="41">
        <f t="shared" si="9"/>
        <v>8.0675235561742456E-3</v>
      </c>
      <c r="O29" s="43" t="s">
        <v>83</v>
      </c>
      <c r="P29" s="43" t="s">
        <v>60</v>
      </c>
      <c r="Q29" s="44" t="s">
        <v>87</v>
      </c>
      <c r="R29" s="45" t="s">
        <v>58</v>
      </c>
    </row>
    <row r="30" spans="1:18" s="67" customFormat="1" ht="24.95" customHeight="1" x14ac:dyDescent="0.25">
      <c r="A30" s="47">
        <v>3</v>
      </c>
      <c r="B30" s="35" t="s">
        <v>88</v>
      </c>
      <c r="C30" s="36">
        <v>1390.7039999999963</v>
      </c>
      <c r="D30" s="37">
        <v>29.92</v>
      </c>
      <c r="E30" s="37">
        <v>30.02</v>
      </c>
      <c r="F30" s="37">
        <v>2</v>
      </c>
      <c r="G30" s="36">
        <v>662.24</v>
      </c>
      <c r="H30" s="68">
        <f t="shared" si="5"/>
        <v>1.070187165775401</v>
      </c>
      <c r="I30" s="36">
        <v>1390.7039999999963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2.0999999999999943</v>
      </c>
      <c r="N30" s="41">
        <f t="shared" si="9"/>
        <v>7.0187165775400878E-2</v>
      </c>
      <c r="O30" s="43" t="s">
        <v>83</v>
      </c>
      <c r="P30" s="69" t="s">
        <v>235</v>
      </c>
      <c r="Q30" s="44"/>
      <c r="R30" s="45" t="s">
        <v>65</v>
      </c>
    </row>
    <row r="31" spans="1:18" s="67" customFormat="1" ht="24.95" customHeight="1" x14ac:dyDescent="0.25">
      <c r="A31" s="34">
        <v>4</v>
      </c>
      <c r="B31" s="35" t="s">
        <v>89</v>
      </c>
      <c r="C31" s="36">
        <v>1324.88</v>
      </c>
      <c r="D31" s="37">
        <v>83.82</v>
      </c>
      <c r="E31" s="37">
        <v>83.52</v>
      </c>
      <c r="F31" s="37">
        <v>2.2999999999999998</v>
      </c>
      <c r="G31" s="36">
        <v>662.44</v>
      </c>
      <c r="H31" s="68">
        <f t="shared" si="5"/>
        <v>1.0238606537819137</v>
      </c>
      <c r="I31" s="36">
        <v>1324.88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</v>
      </c>
      <c r="N31" s="41">
        <f t="shared" si="9"/>
        <v>2.3860653781913627E-2</v>
      </c>
      <c r="O31" s="43" t="s">
        <v>83</v>
      </c>
      <c r="P31" s="69" t="s">
        <v>235</v>
      </c>
      <c r="Q31" s="44"/>
      <c r="R31" s="45" t="s">
        <v>58</v>
      </c>
    </row>
    <row r="32" spans="1:18" s="67" customFormat="1" ht="24.95" customHeight="1" x14ac:dyDescent="0.25">
      <c r="A32" s="47">
        <v>5</v>
      </c>
      <c r="B32" s="35" t="s">
        <v>90</v>
      </c>
      <c r="C32" s="36">
        <v>1205.8808000000022</v>
      </c>
      <c r="D32" s="37">
        <v>57.94</v>
      </c>
      <c r="E32" s="37">
        <v>54.5</v>
      </c>
      <c r="F32" s="37">
        <v>5.28</v>
      </c>
      <c r="G32" s="36">
        <v>655.37</v>
      </c>
      <c r="H32" s="68">
        <f t="shared" si="5"/>
        <v>1.0317569899896446</v>
      </c>
      <c r="I32" s="36">
        <v>1205.8808000000022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1.8400000000000034</v>
      </c>
      <c r="N32" s="41">
        <f t="shared" si="9"/>
        <v>3.1756989989644518E-2</v>
      </c>
      <c r="O32" s="43" t="s">
        <v>83</v>
      </c>
      <c r="P32" s="69" t="s">
        <v>235</v>
      </c>
      <c r="Q32" s="44"/>
      <c r="R32" s="45" t="s">
        <v>77</v>
      </c>
    </row>
    <row r="33" spans="1:18" s="67" customFormat="1" ht="24.95" customHeight="1" x14ac:dyDescent="0.25">
      <c r="A33" s="34">
        <v>6</v>
      </c>
      <c r="B33" s="35" t="s">
        <v>91</v>
      </c>
      <c r="C33" s="36">
        <v>1199.9798999999975</v>
      </c>
      <c r="D33" s="37">
        <v>615.57000000000005</v>
      </c>
      <c r="E33" s="37">
        <v>588.15</v>
      </c>
      <c r="F33" s="37">
        <v>63.75</v>
      </c>
      <c r="G33" s="36">
        <v>33.03</v>
      </c>
      <c r="H33" s="68">
        <f t="shared" si="5"/>
        <v>1.0590184706857058</v>
      </c>
      <c r="I33" s="36">
        <v>1199.9798999999975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36.329999999999927</v>
      </c>
      <c r="N33" s="41">
        <f t="shared" si="9"/>
        <v>5.9018470685705808E-2</v>
      </c>
      <c r="O33" s="43" t="s">
        <v>83</v>
      </c>
      <c r="P33" s="69" t="s">
        <v>235</v>
      </c>
      <c r="Q33" s="44"/>
      <c r="R33" s="45" t="s">
        <v>77</v>
      </c>
    </row>
    <row r="34" spans="1:18" s="67" customFormat="1" ht="24.95" customHeight="1" x14ac:dyDescent="0.25">
      <c r="A34" s="47">
        <v>7</v>
      </c>
      <c r="B34" s="35" t="s">
        <v>92</v>
      </c>
      <c r="C34" s="36">
        <v>1190.2289999999991</v>
      </c>
      <c r="D34" s="37">
        <v>370.16</v>
      </c>
      <c r="E34" s="37">
        <v>356.31</v>
      </c>
      <c r="F34" s="37">
        <v>30.8</v>
      </c>
      <c r="G34" s="36">
        <v>70.22</v>
      </c>
      <c r="H34" s="68">
        <f t="shared" si="5"/>
        <v>1.0457910092932785</v>
      </c>
      <c r="I34" s="36">
        <v>1190.2289999999991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16.949999999999989</v>
      </c>
      <c r="N34" s="41">
        <f t="shared" si="9"/>
        <v>4.5791009293278548E-2</v>
      </c>
      <c r="O34" s="43" t="s">
        <v>83</v>
      </c>
      <c r="P34" s="43" t="s">
        <v>235</v>
      </c>
      <c r="Q34" s="44"/>
      <c r="R34" s="45" t="s">
        <v>93</v>
      </c>
    </row>
    <row r="35" spans="1:18" s="67" customFormat="1" ht="24.95" customHeight="1" x14ac:dyDescent="0.25">
      <c r="A35" s="34">
        <v>8</v>
      </c>
      <c r="B35" s="35" t="s">
        <v>94</v>
      </c>
      <c r="C35" s="36">
        <v>1132.8086000000028</v>
      </c>
      <c r="D35" s="37">
        <v>209.93</v>
      </c>
      <c r="E35" s="37">
        <v>206.21</v>
      </c>
      <c r="F35" s="37">
        <v>5.59</v>
      </c>
      <c r="G35" s="36">
        <v>605.78</v>
      </c>
      <c r="H35" s="68">
        <f t="shared" si="5"/>
        <v>1.008907731148478</v>
      </c>
      <c r="I35" s="36">
        <v>1132.8086000000028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1.8700000000000045</v>
      </c>
      <c r="N35" s="41">
        <f t="shared" si="9"/>
        <v>8.9077311484780861E-3</v>
      </c>
      <c r="O35" s="43" t="s">
        <v>83</v>
      </c>
      <c r="P35" s="43" t="s">
        <v>60</v>
      </c>
      <c r="Q35" s="44" t="s">
        <v>87</v>
      </c>
      <c r="R35" s="45" t="s">
        <v>95</v>
      </c>
    </row>
    <row r="36" spans="1:18" s="67" customFormat="1" ht="24.95" customHeight="1" x14ac:dyDescent="0.25">
      <c r="A36" s="47">
        <v>9</v>
      </c>
      <c r="B36" s="35" t="s">
        <v>96</v>
      </c>
      <c r="C36" s="36">
        <v>826.9829999999954</v>
      </c>
      <c r="D36" s="37">
        <v>618.70000000000005</v>
      </c>
      <c r="E36" s="37">
        <v>589.99</v>
      </c>
      <c r="F36" s="37">
        <v>38.520000000000003</v>
      </c>
      <c r="G36" s="36">
        <v>84.3</v>
      </c>
      <c r="H36" s="68">
        <f t="shared" si="5"/>
        <v>1.0158558267334734</v>
      </c>
      <c r="I36" s="36">
        <v>826.9829999999954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9.8099999999999454</v>
      </c>
      <c r="N36" s="41">
        <f t="shared" si="9"/>
        <v>1.5855826733473324E-2</v>
      </c>
      <c r="O36" s="43" t="s">
        <v>97</v>
      </c>
      <c r="P36" s="43" t="s">
        <v>235</v>
      </c>
      <c r="Q36" s="44"/>
      <c r="R36" s="45" t="s">
        <v>98</v>
      </c>
    </row>
    <row r="37" spans="1:18" s="67" customFormat="1" ht="24.95" customHeight="1" thickBot="1" x14ac:dyDescent="0.3">
      <c r="A37" s="48">
        <v>10</v>
      </c>
      <c r="B37" s="49" t="s">
        <v>99</v>
      </c>
      <c r="C37" s="50">
        <v>744.40800000000183</v>
      </c>
      <c r="D37" s="51">
        <v>32.67</v>
      </c>
      <c r="E37" s="51">
        <v>31.35</v>
      </c>
      <c r="F37" s="51">
        <v>2.52</v>
      </c>
      <c r="G37" s="50">
        <v>620.34</v>
      </c>
      <c r="H37" s="70">
        <f t="shared" si="5"/>
        <v>1.036730945821855</v>
      </c>
      <c r="I37" s="50">
        <v>744.40800000000183</v>
      </c>
      <c r="J37" s="51">
        <v>0</v>
      </c>
      <c r="K37" s="53">
        <f t="shared" si="6"/>
        <v>0</v>
      </c>
      <c r="L37" s="56">
        <f t="shared" si="7"/>
        <v>0</v>
      </c>
      <c r="M37" s="54">
        <f t="shared" si="8"/>
        <v>1.2000000000000028</v>
      </c>
      <c r="N37" s="55">
        <f t="shared" si="9"/>
        <v>3.6730945821854995E-2</v>
      </c>
      <c r="O37" s="57" t="s">
        <v>97</v>
      </c>
      <c r="P37" s="71" t="s">
        <v>235</v>
      </c>
      <c r="Q37" s="72"/>
      <c r="R37" s="58" t="s">
        <v>100</v>
      </c>
    </row>
    <row r="38" spans="1:18" ht="15.75" customHeight="1" thickBot="1" x14ac:dyDescent="0.3"/>
    <row r="39" spans="1:18" ht="40.5" customHeight="1" x14ac:dyDescent="0.3">
      <c r="A39" s="92" t="s">
        <v>101</v>
      </c>
      <c r="B39" s="93"/>
      <c r="C39" s="93"/>
      <c r="D39" s="94"/>
      <c r="E39" s="73"/>
      <c r="F39" s="74"/>
      <c r="H39" s="75"/>
      <c r="I39" s="74"/>
    </row>
    <row r="40" spans="1:18" ht="26.1" customHeight="1" x14ac:dyDescent="0.35">
      <c r="A40" s="95" t="s">
        <v>32</v>
      </c>
      <c r="B40" s="96"/>
      <c r="C40" s="96"/>
      <c r="D40" s="97"/>
      <c r="E40" s="73"/>
      <c r="G40" s="76"/>
    </row>
    <row r="41" spans="1:18" ht="25.5" customHeight="1" x14ac:dyDescent="0.25">
      <c r="A41" s="98" t="s">
        <v>38</v>
      </c>
      <c r="B41" s="99" t="s">
        <v>39</v>
      </c>
      <c r="C41" s="99"/>
      <c r="D41" s="100"/>
      <c r="E41" s="73"/>
    </row>
    <row r="42" spans="1:18" ht="20.45" customHeight="1" x14ac:dyDescent="0.25">
      <c r="A42" s="98"/>
      <c r="B42" s="101" t="s">
        <v>42</v>
      </c>
      <c r="C42" s="102" t="s">
        <v>43</v>
      </c>
      <c r="D42" s="103" t="s">
        <v>102</v>
      </c>
      <c r="E42" s="73"/>
    </row>
    <row r="43" spans="1:18" ht="20.45" customHeight="1" x14ac:dyDescent="0.25">
      <c r="A43" s="98"/>
      <c r="B43" s="101"/>
      <c r="C43" s="102"/>
      <c r="D43" s="103"/>
      <c r="E43" s="73"/>
    </row>
    <row r="44" spans="1:18" s="80" customFormat="1" ht="24.95" customHeight="1" x14ac:dyDescent="0.25">
      <c r="A44" s="77">
        <v>1</v>
      </c>
      <c r="B44" s="35" t="s">
        <v>56</v>
      </c>
      <c r="C44" s="36">
        <v>818.17600000000004</v>
      </c>
      <c r="D44" s="78">
        <f t="shared" ref="D44:D53" si="10">C44/$L$5</f>
        <v>0.31144836225392453</v>
      </c>
      <c r="E44" s="79"/>
    </row>
    <row r="45" spans="1:18" s="80" customFormat="1" ht="24.95" customHeight="1" x14ac:dyDescent="0.25">
      <c r="A45" s="81">
        <v>2</v>
      </c>
      <c r="B45" s="35" t="s">
        <v>73</v>
      </c>
      <c r="C45" s="36">
        <v>287.32339999999999</v>
      </c>
      <c r="D45" s="78">
        <f t="shared" si="10"/>
        <v>0.10937304732383896</v>
      </c>
      <c r="E45" s="79"/>
    </row>
    <row r="46" spans="1:18" s="80" customFormat="1" ht="24.95" customHeight="1" x14ac:dyDescent="0.25">
      <c r="A46" s="81">
        <v>3</v>
      </c>
      <c r="B46" s="35" t="s">
        <v>103</v>
      </c>
      <c r="C46" s="36">
        <v>228.58320000000001</v>
      </c>
      <c r="D46" s="78">
        <f t="shared" si="10"/>
        <v>8.70128960990805E-2</v>
      </c>
      <c r="E46" s="79"/>
    </row>
    <row r="47" spans="1:18" s="80" customFormat="1" ht="24.95" customHeight="1" x14ac:dyDescent="0.25">
      <c r="A47" s="77">
        <v>4</v>
      </c>
      <c r="B47" s="35" t="s">
        <v>104</v>
      </c>
      <c r="C47" s="36">
        <v>203.57999999999998</v>
      </c>
      <c r="D47" s="78">
        <f t="shared" si="10"/>
        <v>7.749513257251979E-2</v>
      </c>
      <c r="E47" s="79"/>
    </row>
    <row r="48" spans="1:18" s="80" customFormat="1" ht="24.95" customHeight="1" x14ac:dyDescent="0.25">
      <c r="A48" s="81">
        <v>5</v>
      </c>
      <c r="B48" s="35" t="s">
        <v>105</v>
      </c>
      <c r="C48" s="36">
        <v>200.9</v>
      </c>
      <c r="D48" s="78">
        <f t="shared" si="10"/>
        <v>7.6474958904701976E-2</v>
      </c>
      <c r="E48" s="79"/>
    </row>
    <row r="49" spans="1:5" s="80" customFormat="1" ht="24.95" customHeight="1" x14ac:dyDescent="0.25">
      <c r="A49" s="77">
        <v>6</v>
      </c>
      <c r="B49" s="35" t="s">
        <v>106</v>
      </c>
      <c r="C49" s="36">
        <v>129.768</v>
      </c>
      <c r="D49" s="78">
        <f t="shared" si="10"/>
        <v>4.9397722584098386E-2</v>
      </c>
      <c r="E49" s="79"/>
    </row>
    <row r="50" spans="1:5" s="80" customFormat="1" ht="24.95" customHeight="1" x14ac:dyDescent="0.25">
      <c r="A50" s="81">
        <v>7</v>
      </c>
      <c r="B50" s="35" t="s">
        <v>107</v>
      </c>
      <c r="C50" s="36">
        <v>128.76299999999998</v>
      </c>
      <c r="D50" s="78">
        <f t="shared" si="10"/>
        <v>4.9015157458666692E-2</v>
      </c>
      <c r="E50" s="79"/>
    </row>
    <row r="51" spans="1:5" s="80" customFormat="1" ht="24.95" customHeight="1" x14ac:dyDescent="0.25">
      <c r="A51" s="77">
        <v>8</v>
      </c>
      <c r="B51" s="35" t="s">
        <v>108</v>
      </c>
      <c r="C51" s="36">
        <v>126.17549999999999</v>
      </c>
      <c r="D51" s="78">
        <f t="shared" si="10"/>
        <v>4.8030195008861236E-2</v>
      </c>
      <c r="E51" s="79"/>
    </row>
    <row r="52" spans="1:5" s="80" customFormat="1" ht="24.95" customHeight="1" x14ac:dyDescent="0.25">
      <c r="A52" s="81">
        <v>9</v>
      </c>
      <c r="B52" s="35" t="s">
        <v>109</v>
      </c>
      <c r="C52" s="36">
        <v>115.84000000000002</v>
      </c>
      <c r="D52" s="78">
        <f t="shared" si="10"/>
        <v>4.4095864805976492E-2</v>
      </c>
      <c r="E52" s="79"/>
    </row>
    <row r="53" spans="1:5" s="80" customFormat="1" ht="24.95" customHeight="1" thickBot="1" x14ac:dyDescent="0.3">
      <c r="A53" s="82">
        <v>10</v>
      </c>
      <c r="B53" s="49" t="s">
        <v>110</v>
      </c>
      <c r="C53" s="50">
        <v>111.342</v>
      </c>
      <c r="D53" s="83">
        <f t="shared" si="10"/>
        <v>4.2383647956034477E-2</v>
      </c>
      <c r="E53" s="79"/>
    </row>
    <row r="54" spans="1:5" x14ac:dyDescent="0.25">
      <c r="A54" s="91" t="s">
        <v>111</v>
      </c>
      <c r="B54" s="91"/>
      <c r="C54" s="91"/>
      <c r="D54" s="91"/>
      <c r="E54" s="91"/>
    </row>
    <row r="55" spans="1:5" x14ac:dyDescent="0.25">
      <c r="A55" s="91"/>
      <c r="B55" s="91"/>
      <c r="C55" s="91"/>
      <c r="D55" s="91"/>
      <c r="E55" s="91"/>
    </row>
    <row r="56" spans="1:5" ht="27" x14ac:dyDescent="0.25">
      <c r="A56" s="85" t="s">
        <v>16</v>
      </c>
      <c r="B56" s="85"/>
      <c r="C56" s="85"/>
      <c r="D56" s="85"/>
      <c r="E56" s="85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67" priority="34" operator="containsText" text="中華">
      <formula>NOT(ISERROR(SEARCH("中華",A12)))</formula>
    </cfRule>
    <cfRule type="containsText" dxfId="66" priority="33" operator="containsText" text="湯凍">
      <formula>NOT(ISERROR(SEARCH("湯凍",A12)))</formula>
    </cfRule>
    <cfRule type="containsText" dxfId="65" priority="32" operator="containsText" text=")川燙小青花菜">
      <formula>NOT(ISERROR(SEARCH(")川燙小青花菜",A12)))</formula>
    </cfRule>
    <cfRule type="containsText" dxfId="64" priority="31" operator="containsText" text="青蔥">
      <formula>NOT(ISERROR(SEARCH("青蔥",A12)))</formula>
    </cfRule>
    <cfRule type="containsText" dxfId="63" priority="30" operator="containsText" text="白醬">
      <formula>NOT(ISERROR(SEARCH("白醬",A12)))</formula>
    </cfRule>
    <cfRule type="containsText" dxfId="62" priority="29" operator="containsText" text="024">
      <formula>NOT(ISERROR(SEARCH("024",A12)))</formula>
    </cfRule>
    <cfRule type="containsText" dxfId="61" priority="28" operator="containsText" text="煮白細麵生(方#12)">
      <formula>NOT(ISERROR(SEARCH("煮白細麵生(方#12)",A12)))</formula>
    </cfRule>
    <cfRule type="containsText" dxfId="60" priority="27" operator="containsText" text="綠豆芽">
      <formula>NOT(ISERROR(SEARCH("綠豆芽",A12)))</formula>
    </cfRule>
  </conditionalFormatting>
  <conditionalFormatting sqref="A28:A37">
    <cfRule type="containsText" dxfId="59" priority="5" operator="containsText" text="綠豆芽">
      <formula>NOT(ISERROR(SEARCH("綠豆芽",A28)))</formula>
    </cfRule>
    <cfRule type="containsText" dxfId="58" priority="6" operator="containsText" text="煮白細麵生(方#12)">
      <formula>NOT(ISERROR(SEARCH("煮白細麵生(方#12)",A28)))</formula>
    </cfRule>
    <cfRule type="containsText" dxfId="57" priority="7" operator="containsText" text="024">
      <formula>NOT(ISERROR(SEARCH("024",A28)))</formula>
    </cfRule>
    <cfRule type="containsText" dxfId="56" priority="8" operator="containsText" text="白醬">
      <formula>NOT(ISERROR(SEARCH("白醬",A28)))</formula>
    </cfRule>
    <cfRule type="containsText" dxfId="55" priority="9" operator="containsText" text="青蔥">
      <formula>NOT(ISERROR(SEARCH("青蔥",A28)))</formula>
    </cfRule>
    <cfRule type="containsText" dxfId="54" priority="10" operator="containsText" text=")川燙小青花菜">
      <formula>NOT(ISERROR(SEARCH(")川燙小青花菜",A28)))</formula>
    </cfRule>
    <cfRule type="containsText" dxfId="53" priority="11" operator="containsText" text="湯凍">
      <formula>NOT(ISERROR(SEARCH("湯凍",A28)))</formula>
    </cfRule>
    <cfRule type="containsText" dxfId="52" priority="12" operator="containsText" text="中華">
      <formula>NOT(ISERROR(SEARCH("中華",A28)))</formula>
    </cfRule>
  </conditionalFormatting>
  <conditionalFormatting sqref="A44:A53">
    <cfRule type="containsText" dxfId="51" priority="17" operator="containsText" text="綠豆芽">
      <formula>NOT(ISERROR(SEARCH("綠豆芽",A44)))</formula>
    </cfRule>
    <cfRule type="containsText" dxfId="50" priority="18" operator="containsText" text="煮白細麵生(方#12)">
      <formula>NOT(ISERROR(SEARCH("煮白細麵生(方#12)",A44)))</formula>
    </cfRule>
    <cfRule type="containsText" dxfId="49" priority="19" operator="containsText" text="024">
      <formula>NOT(ISERROR(SEARCH("024",A44)))</formula>
    </cfRule>
    <cfRule type="containsText" dxfId="48" priority="20" operator="containsText" text="白醬">
      <formula>NOT(ISERROR(SEARCH("白醬",A44)))</formula>
    </cfRule>
    <cfRule type="containsText" dxfId="47" priority="21" operator="containsText" text="青蔥">
      <formula>NOT(ISERROR(SEARCH("青蔥",A44)))</formula>
    </cfRule>
    <cfRule type="containsText" dxfId="46" priority="22" operator="containsText" text=")川燙小青花菜">
      <formula>NOT(ISERROR(SEARCH(")川燙小青花菜",A44)))</formula>
    </cfRule>
    <cfRule type="containsText" dxfId="45" priority="23" operator="containsText" text="湯凍">
      <formula>NOT(ISERROR(SEARCH("湯凍",A44)))</formula>
    </cfRule>
    <cfRule type="containsText" dxfId="44" priority="24" operator="containsText" text="中華">
      <formula>NOT(ISERROR(SEARCH("中華",A44)))</formula>
    </cfRule>
  </conditionalFormatting>
  <conditionalFormatting sqref="D44:D53">
    <cfRule type="cellIs" dxfId="43" priority="16" operator="greaterThan">
      <formula>0.146</formula>
    </cfRule>
  </conditionalFormatting>
  <conditionalFormatting sqref="E5">
    <cfRule type="cellIs" dxfId="42" priority="25" operator="greaterThan">
      <formula>0.072</formula>
    </cfRule>
    <cfRule type="cellIs" dxfId="41" priority="26" operator="greaterThan">
      <formula>7.2</formula>
    </cfRule>
    <cfRule type="cellIs" dxfId="40" priority="14" operator="greaterThan">
      <formula>0.0025</formula>
    </cfRule>
  </conditionalFormatting>
  <conditionalFormatting sqref="G5">
    <cfRule type="cellIs" dxfId="39" priority="3" operator="greaterThan">
      <formula>7.2</formula>
    </cfRule>
    <cfRule type="cellIs" dxfId="38" priority="2" operator="greaterThan">
      <formula>0.072</formula>
    </cfRule>
    <cfRule type="cellIs" dxfId="37" priority="1" operator="greaterThan">
      <formula>0.0025</formula>
    </cfRule>
  </conditionalFormatting>
  <conditionalFormatting sqref="H12:H22">
    <cfRule type="cellIs" dxfId="36" priority="15" operator="greaterThan">
      <formula>1.1</formula>
    </cfRule>
  </conditionalFormatting>
  <conditionalFormatting sqref="H28:H37">
    <cfRule type="cellIs" dxfId="35" priority="4" operator="greaterThan">
      <formula>1.1</formula>
    </cfRule>
  </conditionalFormatting>
  <conditionalFormatting sqref="I5">
    <cfRule type="cellIs" dxfId="3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65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419282-D2B0-4A59-952E-97300233F067}"/>
</file>

<file path=customXml/itemProps2.xml><?xml version="1.0" encoding="utf-8"?>
<ds:datastoreItem xmlns:ds="http://schemas.openxmlformats.org/officeDocument/2006/customXml" ds:itemID="{415B98A3-15CB-4B8F-8756-84C82D8793F3}"/>
</file>

<file path=customXml/itemProps3.xml><?xml version="1.0" encoding="utf-8"?>
<ds:datastoreItem xmlns:ds="http://schemas.openxmlformats.org/officeDocument/2006/customXml" ds:itemID="{F77013F5-E043-4E21-942F-7B30404D55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日別報廢率總表 </vt:lpstr>
      <vt:lpstr>0930分析標準表</vt:lpstr>
      <vt:lpstr>0929分析標準表</vt:lpstr>
      <vt:lpstr>0928分析標準表</vt:lpstr>
      <vt:lpstr>0927分析標準表</vt:lpstr>
      <vt:lpstr>0926分析標準表</vt:lpstr>
      <vt:lpstr>0925分析標準表</vt:lpstr>
      <vt:lpstr>0924分析標準表</vt:lpstr>
      <vt:lpstr>0923分析標準表</vt:lpstr>
      <vt:lpstr>0922分析標準表</vt:lpstr>
      <vt:lpstr>0921分析標準表</vt:lpstr>
      <vt:lpstr>0920分析標準表</vt:lpstr>
      <vt:lpstr>0919分析標準表</vt:lpstr>
      <vt:lpstr>0918分析標準表</vt:lpstr>
      <vt:lpstr>0917分析標準表</vt:lpstr>
      <vt:lpstr>0916分析標準表</vt:lpstr>
      <vt:lpstr>0915分析標準表</vt:lpstr>
      <vt:lpstr>0914分析標準表</vt:lpstr>
      <vt:lpstr>0913分析標準表</vt:lpstr>
      <vt:lpstr>0912分析標準表</vt:lpstr>
      <vt:lpstr>0911分析標準表</vt:lpstr>
      <vt:lpstr>0910分析標準表</vt:lpstr>
      <vt:lpstr>0909分析標準表</vt:lpstr>
      <vt:lpstr>0908分析標準表</vt:lpstr>
      <vt:lpstr>0907分析標準表</vt:lpstr>
      <vt:lpstr>0906分析標準表</vt:lpstr>
      <vt:lpstr>0905分析標準表</vt:lpstr>
      <vt:lpstr>0904分析標準表</vt:lpstr>
      <vt:lpstr>0903分析標準表</vt:lpstr>
      <vt:lpstr>0902分析標準表</vt:lpstr>
      <vt:lpstr>0901分析標準表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食品 屏榮</dc:creator>
  <cp:lastModifiedBy>食品 屏榮</cp:lastModifiedBy>
  <dcterms:created xsi:type="dcterms:W3CDTF">2025-09-02T10:55:04Z</dcterms:created>
  <dcterms:modified xsi:type="dcterms:W3CDTF">2025-10-02T01:47:54Z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